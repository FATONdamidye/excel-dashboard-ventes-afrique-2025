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ENOVO\Desktop\SQL\Github\Analyse\Reports\"/>
    </mc:Choice>
  </mc:AlternateContent>
  <xr:revisionPtr revIDLastSave="0" documentId="13_ncr:1_{52414477-AAA3-4990-A3F2-21EA64E2A959}" xr6:coauthVersionLast="47" xr6:coauthVersionMax="47" xr10:uidLastSave="{00000000-0000-0000-0000-000000000000}"/>
  <bookViews>
    <workbookView xWindow="180" yWindow="24" windowWidth="22860" windowHeight="12336" activeTab="2" xr2:uid="{00000000-000D-0000-FFFF-FFFF00000000}"/>
  </bookViews>
  <sheets>
    <sheet name="Données" sheetId="4" r:id="rId1"/>
    <sheet name="Traitement" sheetId="20" r:id="rId2"/>
    <sheet name="Tableau de bord" sheetId="19" r:id="rId3"/>
    <sheet name="Cleaned data" sheetId="22" state="hidden" r:id="rId4"/>
  </sheets>
  <definedNames>
    <definedName name="ChronologieNative_Date_de_commande">#N/A</definedName>
    <definedName name="DonnéesExternes_1" localSheetId="3" hidden="1">'Cleaned data'!$A$1:$J$1611</definedName>
    <definedName name="Segment_Article">#N/A</definedName>
    <definedName name="Segment_Commercial">#N/A</definedName>
    <definedName name="Segment_Ville">#N/A</definedName>
  </definedNames>
  <calcPr calcId="181029"/>
  <pivotCaches>
    <pivotCache cacheId="0" r:id="rId5"/>
    <pivotCache cacheId="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0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au1  2_a7d1aa87-f996-4861-8913-540db1e52556" name="Tableau1  2" connection="Requête - Tableau1 (2)"/>
        </x15:modelTables>
      </x15:dataModel>
    </ext>
  </extLst>
</workbook>
</file>

<file path=xl/calcChain.xml><?xml version="1.0" encoding="utf-8"?>
<calcChain xmlns="http://schemas.openxmlformats.org/spreadsheetml/2006/main">
  <c r="D93" i="20" l="1"/>
  <c r="D94" i="20"/>
  <c r="D95" i="20"/>
  <c r="D96" i="20"/>
  <c r="D92" i="20"/>
  <c r="E2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3" i="4"/>
  <c r="E4" i="4"/>
  <c r="E5" i="4"/>
  <c r="E6" i="4"/>
  <c r="E7" i="4"/>
  <c r="E8" i="4"/>
  <c r="E9" i="4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40" i="20"/>
  <c r="A7" i="19"/>
  <c r="N7" i="19"/>
  <c r="H7" i="19"/>
  <c r="F52" i="20" l="1"/>
  <c r="F43" i="20"/>
  <c r="F42" i="20"/>
  <c r="F41" i="20"/>
  <c r="F48" i="20"/>
  <c r="F47" i="20"/>
  <c r="F51" i="20"/>
  <c r="F54" i="20"/>
  <c r="F46" i="20"/>
  <c r="F50" i="20"/>
  <c r="F45" i="20"/>
  <c r="F44" i="20"/>
  <c r="F49" i="20"/>
  <c r="F40" i="20"/>
  <c r="F53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3C6436-6538-4C2C-BF3A-C62DACF356C6}" keepAlive="1" name="ModelConnection_DonnéesExternes_1" description="Modèle de données" type="5" refreshedVersion="8" minRefreshableVersion="5" saveData="1">
    <dbPr connection="Data Model Connection" command="Tableau1 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EB08753D-F20A-42C0-BF9F-95EF58E022E7}" keepAlive="1" name="Requête - Tableau1" description="Connexion à la requête « Tableau1 » dans le classeur." type="5" refreshedVersion="8" background="1" saveData="1">
    <dbPr connection="Provider=Microsoft.Mashup.OleDb.1;Data Source=$Workbook$;Location=Tableau1;Extended Properties=&quot;&quot;" command="SELECT * FROM [Tableau1]"/>
  </connection>
  <connection id="3" xr16:uid="{09EDCAE7-9CC0-4E2F-A8D3-623A01D181BE}" name="Requête - Tableau1 (2)" description="Connexion à la requête « Tableau1 (2) » dans le classeur." type="100" refreshedVersion="8" minRefreshableVersion="5">
    <extLst>
      <ext xmlns:x15="http://schemas.microsoft.com/office/spreadsheetml/2010/11/main" uri="{DE250136-89BD-433C-8126-D09CA5730AF9}">
        <x15:connection id="ca898205-f759-4c70-b426-4240a0b0ddae"/>
      </ext>
    </extLst>
  </connection>
  <connection id="4" xr16:uid="{9ACFA264-C7B4-4B67-A0C1-FEEC01494013}" keepAlive="1" name="Requête - Tableau1 (3)" description="Connexion à la requête « Tableau1 (3) » dans le classeur." type="5" refreshedVersion="8" background="1" saveData="1">
    <dbPr connection="Provider=Microsoft.Mashup.OleDb.1;Data Source=$Workbook$;Location=&quot;Tableau1 (3)&quot;;Extended Properties=&quot;&quot;" command="SELECT * FROM [Tableau1 (3)]"/>
  </connection>
  <connection id="5" xr16:uid="{1F8F1718-E8EF-4916-9E4D-CB79B920E7E2}" keepAlive="1" name="ThisWorkbookDataModel" description="Modèle de donnée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<sst xmlns="http://schemas.openxmlformats.org/spreadsheetml/2006/main" count="18158" uniqueCount="285">
  <si>
    <t>Région</t>
  </si>
  <si>
    <t>Commercial</t>
  </si>
  <si>
    <t>Ville</t>
  </si>
  <si>
    <t>Client</t>
  </si>
  <si>
    <t>Date de commande</t>
  </si>
  <si>
    <t>Article</t>
  </si>
  <si>
    <t>Quantité</t>
  </si>
  <si>
    <t>Prix</t>
  </si>
  <si>
    <t>Bénéfice</t>
  </si>
  <si>
    <t>Chiffre d'affaires</t>
  </si>
  <si>
    <t>Aïcha Kouyaté</t>
  </si>
  <si>
    <t>Lagos</t>
  </si>
  <si>
    <t>Afrique de l'Ouest</t>
  </si>
  <si>
    <t>Awa Cissé</t>
  </si>
  <si>
    <t>AgriKit</t>
  </si>
  <si>
    <t>Amara Diallo</t>
  </si>
  <si>
    <t>Lomé</t>
  </si>
  <si>
    <t>Zainab Cissé</t>
  </si>
  <si>
    <t>Fatima Ndiaye</t>
  </si>
  <si>
    <t>Cotonou</t>
  </si>
  <si>
    <t>Mariama Dembélé</t>
  </si>
  <si>
    <t>MoMo Pack</t>
  </si>
  <si>
    <t>Douala</t>
  </si>
  <si>
    <t>Afrique Centrale</t>
  </si>
  <si>
    <t>Chioma Nwosu</t>
  </si>
  <si>
    <t>Kampala</t>
  </si>
  <si>
    <t>Afrique de l'Est</t>
  </si>
  <si>
    <t>Mariama Cissé</t>
  </si>
  <si>
    <t>Emeka Nwosu</t>
  </si>
  <si>
    <t>Dar es Salaam</t>
  </si>
  <si>
    <t>Moussa Keïta</t>
  </si>
  <si>
    <t>Dakar</t>
  </si>
  <si>
    <t>Chidi Keïta</t>
  </si>
  <si>
    <t>Solaire Pro</t>
  </si>
  <si>
    <t>Emeka Mensah</t>
  </si>
  <si>
    <t>Oumar Nwosu</t>
  </si>
  <si>
    <t>EduTablet</t>
  </si>
  <si>
    <t>Ibrahim Traoré</t>
  </si>
  <si>
    <t>Kinshasa</t>
  </si>
  <si>
    <t>Kwame Bah</t>
  </si>
  <si>
    <t>AquaFilter</t>
  </si>
  <si>
    <t>Kofi Mensah</t>
  </si>
  <si>
    <t>Chidi Mensah</t>
  </si>
  <si>
    <t>Emeka Asante</t>
  </si>
  <si>
    <t>Seydou Okonkwo</t>
  </si>
  <si>
    <t>Awa Dembélé</t>
  </si>
  <si>
    <t>Nairobi</t>
  </si>
  <si>
    <t>Kwame Touré</t>
  </si>
  <si>
    <t>Chioma Bah</t>
  </si>
  <si>
    <t>Awa Coulibaly</t>
  </si>
  <si>
    <t>Adama Diop</t>
  </si>
  <si>
    <t>Ouagadougou</t>
  </si>
  <si>
    <t>Mariama Asante</t>
  </si>
  <si>
    <t>Emeka Touré</t>
  </si>
  <si>
    <t>Oumar Mensah</t>
  </si>
  <si>
    <t>Ngozi Diop</t>
  </si>
  <si>
    <t>Yaoundé</t>
  </si>
  <si>
    <t>Zainab Coulibaly</t>
  </si>
  <si>
    <t>Mariama Bah</t>
  </si>
  <si>
    <t>Awa Okonkwo</t>
  </si>
  <si>
    <t>Chidi Touré</t>
  </si>
  <si>
    <t>Chidi Coulibaly</t>
  </si>
  <si>
    <t>Kadiatou Diop</t>
  </si>
  <si>
    <t>Adama Bah</t>
  </si>
  <si>
    <t>Seydou Touré</t>
  </si>
  <si>
    <t>Yaw Kamara</t>
  </si>
  <si>
    <t>Yaw Okonkwo</t>
  </si>
  <si>
    <t>Awa Kamara</t>
  </si>
  <si>
    <t>Moussa Coulibaly</t>
  </si>
  <si>
    <t>Kwame Coulibaly</t>
  </si>
  <si>
    <t>Ngozi Abubakar</t>
  </si>
  <si>
    <t>Seydou Dembélé</t>
  </si>
  <si>
    <t>Kwame Diop</t>
  </si>
  <si>
    <t>Adama Nwosu</t>
  </si>
  <si>
    <t>Emeka Keïta</t>
  </si>
  <si>
    <t>Yaw Diop</t>
  </si>
  <si>
    <t>Mariama Keïta</t>
  </si>
  <si>
    <t>Bamako</t>
  </si>
  <si>
    <t>Mariama Ekwueme</t>
  </si>
  <si>
    <t>Aminata Keïta</t>
  </si>
  <si>
    <t>Kadiatou Cissé</t>
  </si>
  <si>
    <t>Addis-Abeba</t>
  </si>
  <si>
    <t>Adama Mensah</t>
  </si>
  <si>
    <t>Mariama Mensah</t>
  </si>
  <si>
    <t>Abidjan</t>
  </si>
  <si>
    <t>Yaw Touré</t>
  </si>
  <si>
    <t>Chioma Abubakar</t>
  </si>
  <si>
    <t>Awa Asante</t>
  </si>
  <si>
    <t>Accra</t>
  </si>
  <si>
    <t>Chidi Kamara</t>
  </si>
  <si>
    <t>Ngozi Kamara</t>
  </si>
  <si>
    <t>Seydou Bah</t>
  </si>
  <si>
    <t>Awa Ekwueme</t>
  </si>
  <si>
    <t>Ngozi Dembélé</t>
  </si>
  <si>
    <t>Kadiatou Ekwueme</t>
  </si>
  <si>
    <t>Yaw Ekwueme</t>
  </si>
  <si>
    <t>Chioma Asante</t>
  </si>
  <si>
    <t>Chioma Mensah</t>
  </si>
  <si>
    <t>Emeka Okonkwo</t>
  </si>
  <si>
    <t>Adama Ekwueme</t>
  </si>
  <si>
    <t>Aminata Bah</t>
  </si>
  <si>
    <t>Zainab Dembélé</t>
  </si>
  <si>
    <t>Yaw Coulibaly</t>
  </si>
  <si>
    <t>Ngozi Bah</t>
  </si>
  <si>
    <t>Chidi Bah</t>
  </si>
  <si>
    <t>Kadiatou Coulibaly</t>
  </si>
  <si>
    <t>Mariama Touré</t>
  </si>
  <si>
    <t>Oumar Okonkwo</t>
  </si>
  <si>
    <t>Oumar Kamara</t>
  </si>
  <si>
    <t>Moussa Nwosu</t>
  </si>
  <si>
    <t>Awa Diop</t>
  </si>
  <si>
    <t>Aminata Mensah</t>
  </si>
  <si>
    <t>Moussa Cissé</t>
  </si>
  <si>
    <t>Mariama Abubakar</t>
  </si>
  <si>
    <t>Chioma Diop</t>
  </si>
  <si>
    <t>Yaw Keïta</t>
  </si>
  <si>
    <t>Adama Abubakar</t>
  </si>
  <si>
    <t>Oumar Ekwueme</t>
  </si>
  <si>
    <t>Kadiatou Keïta</t>
  </si>
  <si>
    <t>Chioma Coulibaly</t>
  </si>
  <si>
    <t>Emeka Bah</t>
  </si>
  <si>
    <t>Emeka Coulibaly</t>
  </si>
  <si>
    <t>Kwame Dembélé</t>
  </si>
  <si>
    <t>Aminata Cissé</t>
  </si>
  <si>
    <t>Kadiatou Kamara</t>
  </si>
  <si>
    <t>Moussa Mensah</t>
  </si>
  <si>
    <t>Kadiatou Asante</t>
  </si>
  <si>
    <t>Oumar Bah</t>
  </si>
  <si>
    <t>Yaw Asante</t>
  </si>
  <si>
    <t>Chidi Okonkwo</t>
  </si>
  <si>
    <t>Kwame Mensah</t>
  </si>
  <si>
    <t>Seydou Diop</t>
  </si>
  <si>
    <t>Mariama Sawadogo</t>
  </si>
  <si>
    <t>Yaw Abubakar</t>
  </si>
  <si>
    <t>Oumar Asante</t>
  </si>
  <si>
    <t>Adama Keïta</t>
  </si>
  <si>
    <t>Ngozi Asante</t>
  </si>
  <si>
    <t>Aminata Diop</t>
  </si>
  <si>
    <t>Aminata Okonkwo</t>
  </si>
  <si>
    <t>Yaw Dembélé</t>
  </si>
  <si>
    <t>Chidi Sawadogo</t>
  </si>
  <si>
    <t>Emeka Cissé</t>
  </si>
  <si>
    <t>Adama Dembélé</t>
  </si>
  <si>
    <t>Aminata Sawadogo</t>
  </si>
  <si>
    <t>Moussa Abubakar</t>
  </si>
  <si>
    <t>Moussa Diop</t>
  </si>
  <si>
    <t>Mariama Nwosu</t>
  </si>
  <si>
    <t>Seydou Coulibaly</t>
  </si>
  <si>
    <t>Zainab Touré</t>
  </si>
  <si>
    <t>Awa Keïta</t>
  </si>
  <si>
    <t>Chioma Cissé</t>
  </si>
  <si>
    <t>Chidi Cissé</t>
  </si>
  <si>
    <t>Kwame Ekwueme</t>
  </si>
  <si>
    <t>Kwame Sawadogo</t>
  </si>
  <si>
    <t>Aminata Asante</t>
  </si>
  <si>
    <t>Moussa Okonkwo</t>
  </si>
  <si>
    <t>Zainab Keïta</t>
  </si>
  <si>
    <t>Mariama Coulibaly</t>
  </si>
  <si>
    <t>Moussa Asante</t>
  </si>
  <si>
    <t>Moussa Sawadogo</t>
  </si>
  <si>
    <t>Kadiatou Dembélé</t>
  </si>
  <si>
    <t>Oumar Abubakar</t>
  </si>
  <si>
    <t>Zainab Sawadogo</t>
  </si>
  <si>
    <t>Ngozi Touré</t>
  </si>
  <si>
    <t>Seydou Cissé</t>
  </si>
  <si>
    <t>Kadiatou Touré</t>
  </si>
  <si>
    <t>Zainab Mensah</t>
  </si>
  <si>
    <t>Chioma Sawadogo</t>
  </si>
  <si>
    <t>Chidi Ekwueme</t>
  </si>
  <si>
    <t>Aminata Touré</t>
  </si>
  <si>
    <t>Kadiatou Sawadogo</t>
  </si>
  <si>
    <t>Yaw Cissé</t>
  </si>
  <si>
    <t>Awa Touré</t>
  </si>
  <si>
    <t>Kwame Keïta</t>
  </si>
  <si>
    <t>Seydou Asante</t>
  </si>
  <si>
    <t>Kadiatou Mensah</t>
  </si>
  <si>
    <t>Chidi Diop</t>
  </si>
  <si>
    <t>Ngozi Nwosu</t>
  </si>
  <si>
    <t>Moussa Ekwueme</t>
  </si>
  <si>
    <t>Seydou Kamara</t>
  </si>
  <si>
    <t>Kwame Cissé</t>
  </si>
  <si>
    <t>Chioma Touré</t>
  </si>
  <si>
    <t>Kadiatou Nwosu</t>
  </si>
  <si>
    <t>Aminata Nwosu</t>
  </si>
  <si>
    <t>Adama Sawadogo</t>
  </si>
  <si>
    <t>Zainab Asante</t>
  </si>
  <si>
    <t>Chidi Asante</t>
  </si>
  <si>
    <t>Chidi Nwosu</t>
  </si>
  <si>
    <t>Ngozi Cissé</t>
  </si>
  <si>
    <t>Aminata Dembélé</t>
  </si>
  <si>
    <t>Seydou Sawadogo</t>
  </si>
  <si>
    <t>Yaw Bah</t>
  </si>
  <si>
    <t>Adama Cissé</t>
  </si>
  <si>
    <t>Aminata Abubakar</t>
  </si>
  <si>
    <t>Awa Bah</t>
  </si>
  <si>
    <t>Kwame Kamara</t>
  </si>
  <si>
    <t>Oumar Sawadogo</t>
  </si>
  <si>
    <t>Aminata Kamara</t>
  </si>
  <si>
    <t>Emeka Dembélé</t>
  </si>
  <si>
    <t>Ngozi Coulibaly</t>
  </si>
  <si>
    <t>Emeka Abubakar</t>
  </si>
  <si>
    <t>Zainab Nwosu</t>
  </si>
  <si>
    <t>Kwame Asante</t>
  </si>
  <si>
    <t>Chioma Dembélé</t>
  </si>
  <si>
    <t>Zainab Okonkwo</t>
  </si>
  <si>
    <t>Awa Mensah</t>
  </si>
  <si>
    <t>Awa Abubakar</t>
  </si>
  <si>
    <t>Seydou Keïta</t>
  </si>
  <si>
    <t>Awa Nwosu</t>
  </si>
  <si>
    <t>Kadiatou Abubakar</t>
  </si>
  <si>
    <t>Chidi Dembélé</t>
  </si>
  <si>
    <t>Ngozi Ekwueme</t>
  </si>
  <si>
    <t>Oumar Dembélé</t>
  </si>
  <si>
    <t>Ngozi Mensah</t>
  </si>
  <si>
    <t>Emeka Sawadogo</t>
  </si>
  <si>
    <t>Emeka Kamara</t>
  </si>
  <si>
    <t>Oumar Touré</t>
  </si>
  <si>
    <t>Yaw Mensah</t>
  </si>
  <si>
    <t>Seydou Nwosu</t>
  </si>
  <si>
    <t>Emeka Diop</t>
  </si>
  <si>
    <t>Oumar Keïta</t>
  </si>
  <si>
    <t>Adama Touré</t>
  </si>
  <si>
    <t>Moussa Kamara</t>
  </si>
  <si>
    <t>Emeka Ekwueme</t>
  </si>
  <si>
    <t>Mariama Okonkwo</t>
  </si>
  <si>
    <t>Zainab Abubakar</t>
  </si>
  <si>
    <t>Kadiatou Okonkwo</t>
  </si>
  <si>
    <t>Moussa Touré</t>
  </si>
  <si>
    <t>Chioma Ekwueme</t>
  </si>
  <si>
    <t>Mariama Diop</t>
  </si>
  <si>
    <t>Adama Asante</t>
  </si>
  <si>
    <t>Chioma Keïta</t>
  </si>
  <si>
    <t>Adama Okonkwo</t>
  </si>
  <si>
    <t>Adama Kamara</t>
  </si>
  <si>
    <t>Yaw Sawadogo</t>
  </si>
  <si>
    <t>Kadiatou Bah</t>
  </si>
  <si>
    <t>Zainab Ekwueme</t>
  </si>
  <si>
    <t>Kwame Abubakar</t>
  </si>
  <si>
    <t>Oumar Coulibaly</t>
  </si>
  <si>
    <t>Adama Coulibaly</t>
  </si>
  <si>
    <t>Zainab Diop</t>
  </si>
  <si>
    <t>Zainab Bah</t>
  </si>
  <si>
    <t>Kwame Nwosu</t>
  </si>
  <si>
    <t>Zainab Kamara</t>
  </si>
  <si>
    <t>Chioma Okonkwo</t>
  </si>
  <si>
    <t>Yaw Nwosu</t>
  </si>
  <si>
    <t>Seydou Abubakar</t>
  </si>
  <si>
    <t>Chidi Abubakar</t>
  </si>
  <si>
    <t>Ngozi Sawadogo</t>
  </si>
  <si>
    <t>Kwame Okonkwo</t>
  </si>
  <si>
    <t>Seydou Ekwueme</t>
  </si>
  <si>
    <t>Awa Sawadogo</t>
  </si>
  <si>
    <t>Mariama Kamara</t>
  </si>
  <si>
    <t>Oumar Diop</t>
  </si>
  <si>
    <t>Oumar Cissé</t>
  </si>
  <si>
    <t>Moussa Bah</t>
  </si>
  <si>
    <t>Chioma Kamara</t>
  </si>
  <si>
    <t>Moussa Dembélé</t>
  </si>
  <si>
    <t>Ngozi Okonkwo</t>
  </si>
  <si>
    <t>Aminata Ekwueme</t>
  </si>
  <si>
    <t>Seydou Mensah</t>
  </si>
  <si>
    <t>Ngozi Keïta</t>
  </si>
  <si>
    <t>Aminata Coulibaly</t>
  </si>
  <si>
    <t>Étiquettes de lignes</t>
  </si>
  <si>
    <t>Total général</t>
  </si>
  <si>
    <t>Somme de Chiffre d'affaires</t>
  </si>
  <si>
    <t>Somme de Bénéfice</t>
  </si>
  <si>
    <t>Somme de Quantité</t>
  </si>
  <si>
    <t>X</t>
  </si>
  <si>
    <t>Y</t>
  </si>
  <si>
    <t>Max CA</t>
  </si>
  <si>
    <t xml:space="preserve"> CA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</si>
  <si>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</si>
  <si>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</si>
  <si>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</si>
  <si>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</si>
  <si>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</si>
  <si>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</si>
  <si>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</si>
  <si>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</si>
  <si>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</si>
  <si>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</si>
  <si>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</si>
  <si>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</si>
  <si>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Dashboard UTMP 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</si>
</sst>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[$CFA-300C]"/>
    <numFmt numFmtId="167" formatCode="#,##0\ _€"/>
  </numFmts>
  <fonts count="12" x14ac:knownFonts="1">
    <font>
      <sz val="11"/>
      <color theme="1"/>
      <name val="Calibri"/>
      <family val="2"/>
      <scheme val="minor"/>
    </font>
    <font>
      <b/>
      <sz val="11"/>
      <color theme="7"/>
      <name val="Roboto"/>
    </font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36"/>
      <color theme="0"/>
      <name val="Bookman Old Style"/>
      <family val="1"/>
    </font>
    <font>
      <sz val="11"/>
      <color theme="1"/>
      <name val="Bookman Old Style"/>
      <family val="1"/>
    </font>
    <font>
      <b/>
      <sz val="22"/>
      <color theme="4"/>
      <name val="Bookman Old Style"/>
      <family val="1"/>
    </font>
    <font>
      <sz val="12"/>
      <name val="Bookman Old Style"/>
      <family val="1"/>
    </font>
    <font>
      <sz val="9"/>
      <name val="Bookman Old Style"/>
      <family val="1"/>
    </font>
    <font>
      <sz val="8"/>
      <name val="Calibri"/>
      <family val="2"/>
      <scheme val="minor"/>
    </font>
    <font>
      <b/>
      <sz val="18"/>
      <color theme="4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center"/>
    </xf>
    <xf numFmtId="3" fontId="4" fillId="4" borderId="1" xfId="0" applyNumberFormat="1" applyFont="1" applyFill="1" applyBorder="1" applyAlignment="1">
      <alignment horizontal="right"/>
    </xf>
    <xf numFmtId="0" fontId="4" fillId="5" borderId="1" xfId="0" applyFont="1" applyFill="1" applyBorder="1"/>
    <xf numFmtId="0" fontId="4" fillId="5" borderId="1" xfId="0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4" fontId="4" fillId="4" borderId="1" xfId="0" applyNumberFormat="1" applyFont="1" applyFill="1" applyBorder="1"/>
    <xf numFmtId="0" fontId="4" fillId="4" borderId="2" xfId="0" applyFont="1" applyFill="1" applyBorder="1"/>
    <xf numFmtId="0" fontId="4" fillId="5" borderId="2" xfId="0" applyFont="1" applyFill="1" applyBorder="1"/>
    <xf numFmtId="3" fontId="4" fillId="4" borderId="3" xfId="0" applyNumberFormat="1" applyFont="1" applyFill="1" applyBorder="1" applyAlignment="1">
      <alignment horizontal="right"/>
    </xf>
    <xf numFmtId="3" fontId="4" fillId="5" borderId="3" xfId="0" applyNumberFormat="1" applyFont="1" applyFill="1" applyBorder="1" applyAlignment="1">
      <alignment horizontal="right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5" borderId="8" xfId="0" applyFont="1" applyFill="1" applyBorder="1"/>
    <xf numFmtId="0" fontId="4" fillId="5" borderId="8" xfId="0" applyFont="1" applyFill="1" applyBorder="1" applyAlignment="1">
      <alignment horizontal="center"/>
    </xf>
    <xf numFmtId="3" fontId="4" fillId="5" borderId="8" xfId="0" applyNumberFormat="1" applyFont="1" applyFill="1" applyBorder="1" applyAlignment="1">
      <alignment horizontal="right"/>
    </xf>
    <xf numFmtId="3" fontId="4" fillId="5" borderId="9" xfId="0" applyNumberFormat="1" applyFont="1" applyFill="1" applyBorder="1" applyAlignment="1">
      <alignment horizontal="right"/>
    </xf>
    <xf numFmtId="3" fontId="0" fillId="0" borderId="0" xfId="0" applyNumberFormat="1"/>
    <xf numFmtId="10" fontId="0" fillId="0" borderId="0" xfId="0" applyNumberFormat="1"/>
    <xf numFmtId="9" fontId="0" fillId="0" borderId="0" xfId="1" applyFont="1"/>
    <xf numFmtId="9" fontId="0" fillId="0" borderId="0" xfId="0" applyNumberFormat="1"/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0" xfId="0" applyFont="1"/>
    <xf numFmtId="0" fontId="9" fillId="0" borderId="0" xfId="0" applyFont="1"/>
    <xf numFmtId="22" fontId="0" fillId="0" borderId="0" xfId="0" applyNumberFormat="1"/>
    <xf numFmtId="0" fontId="5" fillId="2" borderId="0" xfId="0" applyFont="1" applyFill="1" applyAlignment="1">
      <alignment horizontal="center"/>
    </xf>
    <xf numFmtId="0" fontId="0" fillId="0" borderId="0" xfId="0" applyNumberFormat="1"/>
    <xf numFmtId="167" fontId="11" fillId="0" borderId="0" xfId="0" applyNumberFormat="1" applyFont="1" applyAlignment="1">
      <alignment horizontal="center" vertical="center"/>
    </xf>
  </cellXfs>
  <cellStyles count="2">
    <cellStyle name="Normal" xfId="0" builtinId="0"/>
    <cellStyle name="Pourcentage" xfId="1" builtinId="5"/>
  </cellStyles>
  <dxfs count="37">
    <dxf>
      <numFmt numFmtId="164" formatCode="#,##0\ [$CFA-300C]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9" formatCode="dd/mm/yyyy"/>
      <fill>
        <patternFill patternType="solid">
          <fgColor indexed="64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rgb="FFFFFFFF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#,##0\ [$CFA-300C]"/>
    </dxf>
    <dxf>
      <numFmt numFmtId="13" formatCode="0%"/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DDEBF7"/>
          <bgColor rgb="FFDDEBF7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5B9BD5"/>
        </top>
      </border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color rgb="FF000000"/>
      </font>
      <border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  <horizontal style="thin">
          <color rgb="FF9BC2E6"/>
        </horizontal>
      </border>
    </dxf>
    <dxf>
      <font>
        <b/>
        <i val="0"/>
        <name val="Bookman Old Style"/>
        <family val="1"/>
        <scheme val="none"/>
      </font>
      <fill>
        <patternFill patternType="none">
          <bgColor auto="1"/>
        </patternFill>
      </fill>
    </dxf>
    <dxf>
      <font>
        <b/>
        <i val="0"/>
        <u/>
        <name val="Bookman Old Style"/>
        <family val="1"/>
        <scheme val="none"/>
      </font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name val="Bookman Old Style"/>
        <family val="1"/>
        <scheme val="none"/>
      </font>
      <fill>
        <patternFill>
          <bgColor theme="8" tint="-0.24994659260841701"/>
        </patternFill>
      </fill>
      <border diagonalDown="1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diagonal style="thick">
          <color auto="1"/>
        </diagonal>
      </border>
    </dxf>
    <dxf>
      <font>
        <b/>
        <sz val="11"/>
        <color theme="1"/>
      </font>
    </dxf>
    <dxf>
      <font>
        <b/>
        <i val="0"/>
        <name val="Bookman Old Style"/>
        <family val="1"/>
        <scheme val="none"/>
      </font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/>
        <sz val="11"/>
        <color theme="1"/>
      </font>
    </dxf>
    <dxf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</dxfs>
  <tableStyles count="7" defaultTableStyle="TableStyleMedium2" defaultPivotStyle="PivotStyleLight16">
    <tableStyle name="Style de chronologie 1" pivot="0" table="0" count="8" xr9:uid="{F623E182-0D84-4DE8-BF5F-247B2ED5369D}">
      <tableStyleElement type="wholeTable" dxfId="36"/>
      <tableStyleElement type="headerRow" dxfId="35"/>
    </tableStyle>
    <tableStyle name="Style de chronologie 2" pivot="0" table="0" count="8" xr9:uid="{AF2B5B85-DC53-42EF-A7A7-E06494F7ACA9}">
      <tableStyleElement type="wholeTable" dxfId="34"/>
      <tableStyleElement type="headerRow" dxfId="33"/>
    </tableStyle>
    <tableStyle name="Style de segment 1" pivot="0" table="0" count="1" xr9:uid="{981E29A4-B4FF-4591-ACA6-FFB8F3332454}"/>
    <tableStyle name="Style de segment 2" pivot="0" table="0" count="1" xr9:uid="{707CCC0E-3A1F-43B8-9174-92C71A10A1E2}">
      <tableStyleElement type="wholeTable" dxfId="32"/>
    </tableStyle>
    <tableStyle name="Style de segment 3" pivot="0" table="0" count="1" xr9:uid="{02F62B9F-65C5-4F61-B25C-5AC3F3D35C10}">
      <tableStyleElement type="wholeTable" dxfId="31"/>
    </tableStyle>
    <tableStyle name="Style de segment 4" pivot="0" table="0" count="2" xr9:uid="{ADB7C687-6B11-41C4-ABC8-01BA98D3FF1C}">
      <tableStyleElement type="wholeTable" dxfId="30"/>
    </tableStyle>
    <tableStyle name="TableStyleMedium2 2" pivot="0" count="7" xr9:uid="{00000000-0011-0000-FFFF-FFFF00000000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</tableStyles>
  <extLst>
    <ext xmlns:x14="http://schemas.microsoft.com/office/spreadsheetml/2009/9/main" uri="{46F421CA-312F-682f-3DD2-61675219B42D}">
      <x14:dxfs count="2">
        <dxf>
          <font>
            <b/>
            <i val="0"/>
            <name val="Bookman Old Style"/>
            <family val="1"/>
            <scheme val="none"/>
          </font>
          <fill>
            <patternFill>
              <bgColor theme="4"/>
            </patternFill>
          </fill>
        </dxf>
        <dxf>
          <font>
            <name val="times"/>
          </font>
        </dxf>
      </x14:dxfs>
    </ext>
    <ext xmlns:x14="http://schemas.microsoft.com/office/spreadsheetml/2009/9/main" uri="{EB79DEF2-80B8-43e5-95BD-54CBDDF9020C}">
      <x14:slicerStyles defaultSlicerStyle="Style de segment 3">
        <x14:slicerStyle name="Style de segment 1">
          <x14:slicerStyleElements>
            <x14:slicerStyleElement type="selectedItemWithNoData" dxfId="1"/>
          </x14:slicerStyleElements>
        </x14:slicerStyle>
        <x14:slicerStyle name="Style de segment 2"/>
        <x14:slicerStyle name="Style de segment 3"/>
        <x14:slicerStyle name="Style de segment 4">
          <x14:slicerStyleElements>
            <x14:slicerStyleElement type="unselectedItemWithData" dxfId="0"/>
          </x14:slicerStyleElements>
        </x14:slicerStyle>
      </x14:slicerStyles>
    </ext>
    <ext xmlns:x15="http://schemas.microsoft.com/office/spreadsheetml/2010/11/main" uri="{A0A4C193-F2C1-4fcb-8827-314CF55A85BB}">
      <x15:dxfs count="12"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Style de chronologie 1">
          <x15:timelineStyleElements>
            <x15:timelineStyleElement type="selectionLabel" dxfId="11"/>
            <x15:timelineStyleElement type="timeLevel" dxfId="10"/>
            <x15:timelineStyleElement type="periodLabel1" dxfId="9"/>
            <x15:timelineStyleElement type="periodLabel2" dxfId="8"/>
            <x15:timelineStyleElement type="selectedTimeBlock" dxfId="7"/>
            <x15:timelineStyleElement type="unselectedTimeBlock" dxfId="6"/>
          </x15:timelineStyleElements>
        </x15:timelineStyle>
        <x15:timelineStyle name="Style de chronologie 2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5" Type="http://schemas.openxmlformats.org/officeDocument/2006/relationships/powerPivotData" Target="model/item.data"/><Relationship Id="rId10" Type="http://schemas.microsoft.com/office/2011/relationships/timelineCache" Target="timelineCaches/timelineCach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hyperlink" Target="https://openclipart.org/detail/188411/map-of-africa-showing-ethiopia" TargetMode="Externa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Africa 2025.xlsx]Traitement!Tableau croisé dynamique5</c:name>
    <c:fmtId val="0"/>
  </c:pivotSource>
  <c:chart>
    <c:autoTitleDeleted val="1"/>
    <c:pivotFmts>
      <c:pivotFmt>
        <c:idx val="0"/>
        <c:spPr>
          <a:ln w="41275" cap="rnd">
            <a:solidFill>
              <a:schemeClr val="accent1"/>
            </a:solidFill>
            <a:round/>
            <a:tailEnd type="stealth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6664467046267035E-2"/>
          <c:y val="0.15740740740740741"/>
          <c:w val="0.9127799840813684"/>
          <c:h val="0.73519320501603957"/>
        </c:manualLayout>
      </c:layout>
      <c:lineChart>
        <c:grouping val="standard"/>
        <c:varyColors val="0"/>
        <c:ser>
          <c:idx val="0"/>
          <c:order val="0"/>
          <c:tx>
            <c:strRef>
              <c:f>Traitement!$C$56</c:f>
              <c:strCache>
                <c:ptCount val="1"/>
                <c:pt idx="0">
                  <c:v>Total</c:v>
                </c:pt>
              </c:strCache>
            </c:strRef>
          </c:tx>
          <c:spPr>
            <a:ln w="41275" cap="rnd">
              <a:solidFill>
                <a:schemeClr val="accent1"/>
              </a:solidFill>
              <a:round/>
              <a:tailEnd type="stealth"/>
            </a:ln>
            <a:effectLst/>
          </c:spPr>
          <c:marker>
            <c:symbol val="none"/>
          </c:marker>
          <c:cat>
            <c:strRef>
              <c:f>Traitement!$B$57:$B$69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Traitement!$C$57:$C$69</c:f>
              <c:numCache>
                <c:formatCode>#,##0</c:formatCode>
                <c:ptCount val="12"/>
                <c:pt idx="0">
                  <c:v>31140395</c:v>
                </c:pt>
                <c:pt idx="1">
                  <c:v>27096656</c:v>
                </c:pt>
                <c:pt idx="2">
                  <c:v>24073359</c:v>
                </c:pt>
                <c:pt idx="3">
                  <c:v>27327721</c:v>
                </c:pt>
                <c:pt idx="4">
                  <c:v>30357206</c:v>
                </c:pt>
                <c:pt idx="5">
                  <c:v>31527048</c:v>
                </c:pt>
                <c:pt idx="6">
                  <c:v>20057043</c:v>
                </c:pt>
                <c:pt idx="7">
                  <c:v>24513767</c:v>
                </c:pt>
                <c:pt idx="8">
                  <c:v>26055104</c:v>
                </c:pt>
                <c:pt idx="9">
                  <c:v>27420603</c:v>
                </c:pt>
                <c:pt idx="10">
                  <c:v>26227727</c:v>
                </c:pt>
                <c:pt idx="11">
                  <c:v>29882965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902-490F-99F6-3FAE2B6ED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smooth val="0"/>
        <c:axId val="958894911"/>
        <c:axId val="958888671"/>
      </c:lineChart>
      <c:catAx>
        <c:axId val="95889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58888671"/>
        <c:crosses val="autoZero"/>
        <c:auto val="1"/>
        <c:lblAlgn val="ctr"/>
        <c:lblOffset val="100"/>
        <c:noMultiLvlLbl val="0"/>
      </c:catAx>
      <c:valAx>
        <c:axId val="958888671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958894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ubbleChart>
        <c:varyColors val="0"/>
        <c:ser>
          <c:idx val="0"/>
          <c:order val="0"/>
          <c:tx>
            <c:v>CA</c:v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xVal>
            <c:numRef>
              <c:f>Traitement!$C$40:$C$54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6</c:v>
                </c:pt>
                <c:pt idx="6">
                  <c:v>9</c:v>
                </c:pt>
                <c:pt idx="7">
                  <c:v>3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11.5</c:v>
                </c:pt>
                <c:pt idx="12">
                  <c:v>8</c:v>
                </c:pt>
                <c:pt idx="13">
                  <c:v>10</c:v>
                </c:pt>
                <c:pt idx="14">
                  <c:v>7</c:v>
                </c:pt>
              </c:numCache>
            </c:numRef>
          </c:xVal>
          <c:yVal>
            <c:numRef>
              <c:f>Traitement!$D$40:$D$54</c:f>
              <c:numCache>
                <c:formatCode>General</c:formatCode>
                <c:ptCount val="15"/>
                <c:pt idx="0">
                  <c:v>11</c:v>
                </c:pt>
                <c:pt idx="1">
                  <c:v>10</c:v>
                </c:pt>
                <c:pt idx="2">
                  <c:v>14</c:v>
                </c:pt>
                <c:pt idx="3">
                  <c:v>12</c:v>
                </c:pt>
                <c:pt idx="4">
                  <c:v>10</c:v>
                </c:pt>
                <c:pt idx="5">
                  <c:v>4</c:v>
                </c:pt>
                <c:pt idx="6">
                  <c:v>14</c:v>
                </c:pt>
                <c:pt idx="7">
                  <c:v>12</c:v>
                </c:pt>
                <c:pt idx="8">
                  <c:v>12</c:v>
                </c:pt>
                <c:pt idx="9">
                  <c:v>7</c:v>
                </c:pt>
                <c:pt idx="10">
                  <c:v>4</c:v>
                </c:pt>
                <c:pt idx="11">
                  <c:v>8.5</c:v>
                </c:pt>
                <c:pt idx="12">
                  <c:v>1</c:v>
                </c:pt>
                <c:pt idx="13">
                  <c:v>8</c:v>
                </c:pt>
                <c:pt idx="14">
                  <c:v>9</c:v>
                </c:pt>
              </c:numCache>
            </c:numRef>
          </c:yVal>
          <c:bubbleSize>
            <c:numRef>
              <c:f>Traitement!$E$40:$E$54</c:f>
              <c:numCache>
                <c:formatCode>General</c:formatCode>
                <c:ptCount val="15"/>
                <c:pt idx="0">
                  <c:v>26310321</c:v>
                </c:pt>
                <c:pt idx="1">
                  <c:v>24706785</c:v>
                </c:pt>
                <c:pt idx="2">
                  <c:v>18437887</c:v>
                </c:pt>
                <c:pt idx="3">
                  <c:v>23961933</c:v>
                </c:pt>
                <c:pt idx="4">
                  <c:v>19648160</c:v>
                </c:pt>
                <c:pt idx="5">
                  <c:v>21103205</c:v>
                </c:pt>
                <c:pt idx="6">
                  <c:v>18801088</c:v>
                </c:pt>
                <c:pt idx="7">
                  <c:v>25753332</c:v>
                </c:pt>
                <c:pt idx="8">
                  <c:v>21144109</c:v>
                </c:pt>
                <c:pt idx="9">
                  <c:v>23305594</c:v>
                </c:pt>
                <c:pt idx="10">
                  <c:v>18281053</c:v>
                </c:pt>
                <c:pt idx="11">
                  <c:v>23944099</c:v>
                </c:pt>
                <c:pt idx="12">
                  <c:v>18192338</c:v>
                </c:pt>
                <c:pt idx="13">
                  <c:v>21008017</c:v>
                </c:pt>
                <c:pt idx="14">
                  <c:v>21081673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E9CD-480C-B176-583EA9DA98B5}"/>
            </c:ext>
          </c:extLst>
        </c:ser>
        <c:ser>
          <c:idx val="1"/>
          <c:order val="1"/>
          <c:tx>
            <c:v>Max Ca</c:v>
          </c:tx>
          <c:spPr>
            <a:solidFill>
              <a:schemeClr val="accent2"/>
            </a:solidFill>
            <a:ln w="25400">
              <a:noFill/>
            </a:ln>
            <a:effectLst/>
          </c:spPr>
          <c:invertIfNegative val="0"/>
          <c:xVal>
            <c:numRef>
              <c:f>Traitement!$C$40:$C$54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6</c:v>
                </c:pt>
                <c:pt idx="6">
                  <c:v>9</c:v>
                </c:pt>
                <c:pt idx="7">
                  <c:v>3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11.5</c:v>
                </c:pt>
                <c:pt idx="12">
                  <c:v>8</c:v>
                </c:pt>
                <c:pt idx="13">
                  <c:v>10</c:v>
                </c:pt>
                <c:pt idx="14">
                  <c:v>7</c:v>
                </c:pt>
              </c:numCache>
            </c:numRef>
          </c:xVal>
          <c:yVal>
            <c:numRef>
              <c:f>Traitement!$D$40:$D$54</c:f>
              <c:numCache>
                <c:formatCode>General</c:formatCode>
                <c:ptCount val="15"/>
                <c:pt idx="0">
                  <c:v>11</c:v>
                </c:pt>
                <c:pt idx="1">
                  <c:v>10</c:v>
                </c:pt>
                <c:pt idx="2">
                  <c:v>14</c:v>
                </c:pt>
                <c:pt idx="3">
                  <c:v>12</c:v>
                </c:pt>
                <c:pt idx="4">
                  <c:v>10</c:v>
                </c:pt>
                <c:pt idx="5">
                  <c:v>4</c:v>
                </c:pt>
                <c:pt idx="6">
                  <c:v>14</c:v>
                </c:pt>
                <c:pt idx="7">
                  <c:v>12</c:v>
                </c:pt>
                <c:pt idx="8">
                  <c:v>12</c:v>
                </c:pt>
                <c:pt idx="9">
                  <c:v>7</c:v>
                </c:pt>
                <c:pt idx="10">
                  <c:v>4</c:v>
                </c:pt>
                <c:pt idx="11">
                  <c:v>8.5</c:v>
                </c:pt>
                <c:pt idx="12">
                  <c:v>1</c:v>
                </c:pt>
                <c:pt idx="13">
                  <c:v>8</c:v>
                </c:pt>
                <c:pt idx="14">
                  <c:v>9</c:v>
                </c:pt>
              </c:numCache>
            </c:numRef>
          </c:yVal>
          <c:bubbleSize>
            <c:numRef>
              <c:f>Traitement!$F$40:$F$54</c:f>
              <c:numCache>
                <c:formatCode>General</c:formatCode>
                <c:ptCount val="15"/>
                <c:pt idx="0">
                  <c:v>26310321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E9CD-480C-B176-583EA9DA9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60"/>
        <c:showNegBubbles val="0"/>
        <c:axId val="958799871"/>
        <c:axId val="958792191"/>
      </c:bubbleChart>
      <c:valAx>
        <c:axId val="958799871"/>
        <c:scaling>
          <c:orientation val="minMax"/>
          <c:min val="0"/>
        </c:scaling>
        <c:delete val="1"/>
        <c:axPos val="b"/>
        <c:numFmt formatCode="General" sourceLinked="1"/>
        <c:majorTickMark val="out"/>
        <c:minorTickMark val="none"/>
        <c:tickLblPos val="nextTo"/>
        <c:crossAx val="958792191"/>
        <c:crosses val="autoZero"/>
        <c:crossBetween val="midCat"/>
        <c:majorUnit val="1"/>
      </c:valAx>
      <c:valAx>
        <c:axId val="95879219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958799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blipFill>
      <a:blip xmlns:r="http://schemas.openxmlformats.org/officeDocument/2006/relationships" r:embed="rId3">
        <a:extLst>
          <a:ext uri="{837473B0-CC2E-450A-ABE3-18F120FF3D39}">
            <a1611:picAttrSrcUrl xmlns:a1611="http://schemas.microsoft.com/office/drawing/2016/11/main" r:id="rId4"/>
          </a:ext>
        </a:extLst>
      </a:blip>
      <a:stretch>
        <a:fillRect/>
      </a:stretch>
    </a:blipFill>
    <a:ln w="9525" cap="flat" cmpd="sng" algn="ctr">
      <a:solidFill>
        <a:schemeClr val="bg2"/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Africa 2025.xlsx]Traitement!Tableau croisé dynamique5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 w="41275" cap="rnd">
            <a:solidFill>
              <a:schemeClr val="accent1"/>
            </a:solidFill>
            <a:round/>
            <a:tailEnd type="stealth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41275" cap="rnd">
            <a:solidFill>
              <a:schemeClr val="accent1"/>
            </a:solidFill>
            <a:round/>
            <a:tailEnd type="stealth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  <a:tailEnd type="stealth"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6664467046267035E-2"/>
          <c:y val="0.15740740740740741"/>
          <c:w val="0.9127799840813684"/>
          <c:h val="0.73519320501603957"/>
        </c:manualLayout>
      </c:layout>
      <c:lineChart>
        <c:grouping val="standard"/>
        <c:varyColors val="0"/>
        <c:ser>
          <c:idx val="0"/>
          <c:order val="0"/>
          <c:tx>
            <c:strRef>
              <c:f>Traitement!$C$56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tailEnd type="stealth"/>
            </a:ln>
            <a:effectLst/>
          </c:spPr>
          <c:marker>
            <c:symbol val="none"/>
          </c:marker>
          <c:cat>
            <c:strRef>
              <c:f>Traitement!$B$57:$B$69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Traitement!$C$57:$C$69</c:f>
              <c:numCache>
                <c:formatCode>#,##0</c:formatCode>
                <c:ptCount val="12"/>
                <c:pt idx="0">
                  <c:v>31140395</c:v>
                </c:pt>
                <c:pt idx="1">
                  <c:v>27096656</c:v>
                </c:pt>
                <c:pt idx="2">
                  <c:v>24073359</c:v>
                </c:pt>
                <c:pt idx="3">
                  <c:v>27327721</c:v>
                </c:pt>
                <c:pt idx="4">
                  <c:v>30357206</c:v>
                </c:pt>
                <c:pt idx="5">
                  <c:v>31527048</c:v>
                </c:pt>
                <c:pt idx="6">
                  <c:v>20057043</c:v>
                </c:pt>
                <c:pt idx="7">
                  <c:v>24513767</c:v>
                </c:pt>
                <c:pt idx="8">
                  <c:v>26055104</c:v>
                </c:pt>
                <c:pt idx="9">
                  <c:v>27420603</c:v>
                </c:pt>
                <c:pt idx="10">
                  <c:v>26227727</c:v>
                </c:pt>
                <c:pt idx="11">
                  <c:v>29882965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6A-4C7C-BF08-BB810660C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dropLines>
        <c:smooth val="0"/>
        <c:axId val="958894911"/>
        <c:axId val="958888671"/>
      </c:lineChart>
      <c:catAx>
        <c:axId val="95889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ookman Old Style" panose="02050604050505020204" pitchFamily="18" charset="0"/>
                <a:ea typeface="+mn-ea"/>
                <a:cs typeface="+mn-cs"/>
              </a:defRPr>
            </a:pPr>
            <a:endParaRPr lang="fr-FR"/>
          </a:p>
        </c:txPr>
        <c:crossAx val="958888671"/>
        <c:crosses val="autoZero"/>
        <c:auto val="1"/>
        <c:lblAlgn val="ctr"/>
        <c:lblOffset val="100"/>
        <c:noMultiLvlLbl val="0"/>
      </c:catAx>
      <c:valAx>
        <c:axId val="958888671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958894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Africa 2025.xlsx]Traitement!Tableau croisé dynamique6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Bookman Old Style" panose="02050604050505020204" pitchFamily="18" charset="0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Traitement!$C$73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Bookman Old Style" panose="02050604050505020204" pitchFamily="18" charset="0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Traitement!$B$74:$B$79</c:f>
              <c:strCache>
                <c:ptCount val="5"/>
                <c:pt idx="0">
                  <c:v>Aïcha Kouyaté</c:v>
                </c:pt>
                <c:pt idx="1">
                  <c:v>Amara Diallo</c:v>
                </c:pt>
                <c:pt idx="2">
                  <c:v>Fatima Ndiaye</c:v>
                </c:pt>
                <c:pt idx="3">
                  <c:v>Ibrahim Traoré</c:v>
                </c:pt>
                <c:pt idx="4">
                  <c:v>Kofi Mensah</c:v>
                </c:pt>
              </c:strCache>
            </c:strRef>
          </c:cat>
          <c:val>
            <c:numRef>
              <c:f>Traitement!$C$74:$C$79</c:f>
              <c:numCache>
                <c:formatCode>General</c:formatCode>
                <c:ptCount val="5"/>
                <c:pt idx="0">
                  <c:v>2216</c:v>
                </c:pt>
                <c:pt idx="1">
                  <c:v>2155</c:v>
                </c:pt>
                <c:pt idx="2">
                  <c:v>2164</c:v>
                </c:pt>
                <c:pt idx="3">
                  <c:v>2301</c:v>
                </c:pt>
                <c:pt idx="4">
                  <c:v>1999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FB-412A-BE61-1A28E1D02A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9"/>
        <c:axId val="1008960431"/>
        <c:axId val="1008961871"/>
      </c:barChart>
      <c:catAx>
        <c:axId val="100896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ookman Old Style" panose="02050604050505020204" pitchFamily="18" charset="0"/>
                <a:ea typeface="+mn-ea"/>
                <a:cs typeface="+mn-cs"/>
              </a:defRPr>
            </a:pPr>
            <a:endParaRPr lang="fr-FR"/>
          </a:p>
        </c:txPr>
        <c:crossAx val="1008961871"/>
        <c:crosses val="autoZero"/>
        <c:auto val="1"/>
        <c:lblAlgn val="ctr"/>
        <c:lblOffset val="100"/>
        <c:noMultiLvlLbl val="0"/>
      </c:catAx>
      <c:valAx>
        <c:axId val="1008961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8960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ysDash"/>
      <a:round/>
    </a:ln>
    <a:effectLst/>
  </c:spPr>
  <c:txPr>
    <a:bodyPr/>
    <a:lstStyle/>
    <a:p>
      <a:pPr>
        <a:defRPr b="1">
          <a:latin typeface="Product sans" panose="020B0403030502040203"/>
        </a:defRPr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Africa 2025.xlsx]Traitement!Tableau croisé dynamique7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Bookman Old Style" panose="02050604050505020204" pitchFamily="18" charset="0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658214977607371"/>
          <c:y val="6.960034356762293E-2"/>
          <c:w val="0.82393326424697022"/>
          <c:h val="0.930399656432377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Traitement!$C$82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Bookman Old Style" panose="02050604050505020204" pitchFamily="18" charset="0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Traitement!$B$83:$B$88</c:f>
              <c:strCache>
                <c:ptCount val="5"/>
                <c:pt idx="0">
                  <c:v>Yaw Cissé</c:v>
                </c:pt>
                <c:pt idx="1">
                  <c:v>Chidi Sawadogo</c:v>
                </c:pt>
                <c:pt idx="2">
                  <c:v>Yaw Touré</c:v>
                </c:pt>
                <c:pt idx="3">
                  <c:v>Awa Cissé</c:v>
                </c:pt>
                <c:pt idx="4">
                  <c:v>Emeka Touré</c:v>
                </c:pt>
              </c:strCache>
            </c:strRef>
          </c:cat>
          <c:val>
            <c:numRef>
              <c:f>Traitement!$C$83:$C$88</c:f>
              <c:numCache>
                <c:formatCode>#,##0</c:formatCode>
                <c:ptCount val="5"/>
                <c:pt idx="0">
                  <c:v>2899783</c:v>
                </c:pt>
                <c:pt idx="1">
                  <c:v>3066707</c:v>
                </c:pt>
                <c:pt idx="2">
                  <c:v>3501542</c:v>
                </c:pt>
                <c:pt idx="3">
                  <c:v>3616276</c:v>
                </c:pt>
                <c:pt idx="4">
                  <c:v>3748977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39-43DA-B311-DB79A07E1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9"/>
        <c:axId val="1465989903"/>
        <c:axId val="1465989423"/>
      </c:barChart>
      <c:catAx>
        <c:axId val="14659899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ookman Old Style" panose="02050604050505020204" pitchFamily="18" charset="0"/>
                <a:ea typeface="+mn-ea"/>
                <a:cs typeface="+mn-cs"/>
              </a:defRPr>
            </a:pPr>
            <a:endParaRPr lang="fr-FR"/>
          </a:p>
        </c:txPr>
        <c:crossAx val="1465989423"/>
        <c:crosses val="autoZero"/>
        <c:auto val="1"/>
        <c:lblAlgn val="ctr"/>
        <c:lblOffset val="100"/>
        <c:noMultiLvlLbl val="0"/>
      </c:catAx>
      <c:valAx>
        <c:axId val="1465989423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146598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v>Agrikit</c:v>
          </c:tx>
          <c:spPr>
            <a:solidFill>
              <a:schemeClr val="accent5">
                <a:lumMod val="75000"/>
              </a:schemeClr>
            </a:solidFill>
          </c:spPr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BD-4ADB-9B53-96E93996F0F4}"/>
              </c:ext>
            </c:extLst>
          </c:dPt>
          <c:dPt>
            <c:idx val="1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5BD-4ADB-9B53-96E93996F0F4}"/>
              </c:ext>
            </c:extLst>
          </c:dPt>
          <c:dPt>
            <c:idx val="2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5BD-4ADB-9B53-96E93996F0F4}"/>
              </c:ext>
            </c:extLst>
          </c:dPt>
          <c:dPt>
            <c:idx val="3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5BD-4ADB-9B53-96E93996F0F4}"/>
              </c:ext>
            </c:extLst>
          </c:dPt>
          <c:dPt>
            <c:idx val="4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5BD-4ADB-9B53-96E93996F0F4}"/>
              </c:ext>
            </c:extLst>
          </c:dPt>
          <c:dPt>
            <c:idx val="5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5BD-4ADB-9B53-96E93996F0F4}"/>
              </c:ext>
            </c:extLst>
          </c:dPt>
          <c:dPt>
            <c:idx val="6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5BD-4ADB-9B53-96E93996F0F4}"/>
              </c:ext>
            </c:extLst>
          </c:dPt>
          <c:dPt>
            <c:idx val="7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5BD-4ADB-9B53-96E93996F0F4}"/>
              </c:ext>
            </c:extLst>
          </c:dPt>
          <c:dPt>
            <c:idx val="8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5BD-4ADB-9B53-96E93996F0F4}"/>
              </c:ext>
            </c:extLst>
          </c:dPt>
          <c:dPt>
            <c:idx val="9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5BD-4ADB-9B53-96E93996F0F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5BD-4ADB-9B53-96E93996F0F4}"/>
              </c:ext>
            </c:extLst>
          </c:dPt>
          <c:dPt>
            <c:idx val="11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5BD-4ADB-9B53-96E93996F0F4}"/>
              </c:ext>
            </c:extLst>
          </c:dPt>
          <c:dPt>
            <c:idx val="12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5BD-4ADB-9B53-96E93996F0F4}"/>
              </c:ext>
            </c:extLst>
          </c:dPt>
          <c:dPt>
            <c:idx val="13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5BD-4ADB-9B53-96E93996F0F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5BD-4ADB-9B53-96E93996F0F4}"/>
              </c:ext>
            </c:extLst>
          </c:dPt>
          <c:dPt>
            <c:idx val="15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5BD-4ADB-9B53-96E93996F0F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5BD-4ADB-9B53-96E93996F0F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5BD-4ADB-9B53-96E93996F0F4}"/>
              </c:ext>
            </c:extLst>
          </c:dPt>
          <c:dPt>
            <c:idx val="18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5BD-4ADB-9B53-96E93996F0F4}"/>
              </c:ext>
            </c:extLst>
          </c:dPt>
          <c:dPt>
            <c:idx val="19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5BD-4ADB-9B53-96E93996F0F4}"/>
              </c:ext>
            </c:extLst>
          </c:dPt>
          <c:dPt>
            <c:idx val="2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5BD-4ADB-9B53-96E93996F0F4}"/>
              </c:ext>
            </c:extLst>
          </c:dPt>
          <c:dPt>
            <c:idx val="21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5BD-4ADB-9B53-96E93996F0F4}"/>
              </c:ext>
            </c:extLst>
          </c:dPt>
          <c:dPt>
            <c:idx val="22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5BD-4ADB-9B53-96E93996F0F4}"/>
              </c:ext>
            </c:extLst>
          </c:dPt>
          <c:dPt>
            <c:idx val="23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5BD-4ADB-9B53-96E93996F0F4}"/>
              </c:ext>
            </c:extLst>
          </c:dPt>
          <c:dPt>
            <c:idx val="24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5BD-4ADB-9B53-96E93996F0F4}"/>
              </c:ext>
            </c:extLst>
          </c:dPt>
          <c:dPt>
            <c:idx val="25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5BD-4ADB-9B53-96E93996F0F4}"/>
              </c:ext>
            </c:extLst>
          </c:dPt>
          <c:dPt>
            <c:idx val="26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5BD-4ADB-9B53-96E93996F0F4}"/>
              </c:ext>
            </c:extLst>
          </c:dPt>
          <c:val>
            <c:numLit>
              <c:formatCode>General</c:formatCode>
              <c:ptCount val="2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  <c:pt idx="11">
                <c:v>1</c:v>
              </c:pt>
              <c:pt idx="12">
                <c:v>1</c:v>
              </c:pt>
              <c:pt idx="13">
                <c:v>1</c:v>
              </c:pt>
              <c:pt idx="14">
                <c:v>1</c:v>
              </c:pt>
              <c:pt idx="15">
                <c:v>1</c:v>
              </c:pt>
              <c:pt idx="16">
                <c:v>1</c:v>
              </c:pt>
              <c:pt idx="17">
                <c:v>1</c:v>
              </c:pt>
              <c:pt idx="18">
                <c:v>1</c:v>
              </c:pt>
              <c:pt idx="19">
                <c:v>1</c:v>
              </c:pt>
              <c:pt idx="20">
                <c:v>1</c:v>
              </c:pt>
              <c:pt idx="21">
                <c:v>1</c:v>
              </c:pt>
              <c:pt idx="22">
                <c:v>1</c:v>
              </c:pt>
              <c:pt idx="23">
                <c:v>1</c:v>
              </c:pt>
              <c:pt idx="24">
                <c:v>1</c:v>
              </c:pt>
              <c:pt idx="25">
                <c:v>1</c:v>
              </c:pt>
              <c:pt idx="26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36-25BD-4ADB-9B53-96E93996F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1"/>
          <c:order val="1"/>
          <c:tx>
            <c:v>Edutable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25BD-4ADB-9B53-96E93996F0F4}"/>
              </c:ext>
            </c:extLst>
          </c:dPt>
          <c:dPt>
            <c:idx val="1"/>
            <c:bubble3D val="0"/>
            <c:spPr>
              <a:solidFill>
                <a:schemeClr val="bg1">
                  <a:lumMod val="95000"/>
                  <a:alpha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25BD-4ADB-9B53-96E93996F0F4}"/>
              </c:ext>
            </c:extLst>
          </c:dPt>
          <c:val>
            <c:numRef>
              <c:f>Traitement!$C$94:$D$94</c:f>
              <c:numCache>
                <c:formatCode>0%</c:formatCode>
                <c:ptCount val="2"/>
                <c:pt idx="0">
                  <c:v>0.39600045067607154</c:v>
                </c:pt>
                <c:pt idx="1">
                  <c:v>0.60399954932392852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25BD-4ADB-9B53-96E93996F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v>Agrikit</c:v>
          </c:tx>
          <c:spPr>
            <a:solidFill>
              <a:schemeClr val="accent3">
                <a:lumMod val="40000"/>
                <a:lumOff val="60000"/>
              </a:schemeClr>
            </a:solidFill>
          </c:spPr>
          <c:dPt>
            <c:idx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50-41B1-919C-349BB9C04FB9}"/>
              </c:ext>
            </c:extLst>
          </c:dPt>
          <c:dPt>
            <c:idx val="1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50-41B1-919C-349BB9C04FB9}"/>
              </c:ext>
            </c:extLst>
          </c:dPt>
          <c:dPt>
            <c:idx val="2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B50-41B1-919C-349BB9C04FB9}"/>
              </c:ext>
            </c:extLst>
          </c:dPt>
          <c:dPt>
            <c:idx val="3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B50-41B1-919C-349BB9C04FB9}"/>
              </c:ext>
            </c:extLst>
          </c:dPt>
          <c:dPt>
            <c:idx val="4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B50-41B1-919C-349BB9C04FB9}"/>
              </c:ext>
            </c:extLst>
          </c:dPt>
          <c:dPt>
            <c:idx val="5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B50-41B1-919C-349BB9C04FB9}"/>
              </c:ext>
            </c:extLst>
          </c:dPt>
          <c:dPt>
            <c:idx val="6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B50-41B1-919C-349BB9C04FB9}"/>
              </c:ext>
            </c:extLst>
          </c:dPt>
          <c:dPt>
            <c:idx val="7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B50-41B1-919C-349BB9C04FB9}"/>
              </c:ext>
            </c:extLst>
          </c:dPt>
          <c:dPt>
            <c:idx val="8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B50-41B1-919C-349BB9C04FB9}"/>
              </c:ext>
            </c:extLst>
          </c:dPt>
          <c:dPt>
            <c:idx val="9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B50-41B1-919C-349BB9C04FB9}"/>
              </c:ext>
            </c:extLst>
          </c:dPt>
          <c:dPt>
            <c:idx val="1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B50-41B1-919C-349BB9C04FB9}"/>
              </c:ext>
            </c:extLst>
          </c:dPt>
          <c:dPt>
            <c:idx val="11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B50-41B1-919C-349BB9C04FB9}"/>
              </c:ext>
            </c:extLst>
          </c:dPt>
          <c:dPt>
            <c:idx val="12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B50-41B1-919C-349BB9C04FB9}"/>
              </c:ext>
            </c:extLst>
          </c:dPt>
          <c:dPt>
            <c:idx val="13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B50-41B1-919C-349BB9C04FB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B50-41B1-919C-349BB9C04FB9}"/>
              </c:ext>
            </c:extLst>
          </c:dPt>
          <c:dPt>
            <c:idx val="15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B50-41B1-919C-349BB9C04FB9}"/>
              </c:ext>
            </c:extLst>
          </c:dPt>
          <c:dPt>
            <c:idx val="16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B50-41B1-919C-349BB9C04FB9}"/>
              </c:ext>
            </c:extLst>
          </c:dPt>
          <c:dPt>
            <c:idx val="17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B50-41B1-919C-349BB9C04FB9}"/>
              </c:ext>
            </c:extLst>
          </c:dPt>
          <c:dPt>
            <c:idx val="18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B50-41B1-919C-349BB9C04FB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B50-41B1-919C-349BB9C04FB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B50-41B1-919C-349BB9C04FB9}"/>
              </c:ext>
            </c:extLst>
          </c:dPt>
          <c:dPt>
            <c:idx val="21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1B50-41B1-919C-349BB9C04FB9}"/>
              </c:ext>
            </c:extLst>
          </c:dPt>
          <c:dPt>
            <c:idx val="22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1B50-41B1-919C-349BB9C04FB9}"/>
              </c:ext>
            </c:extLst>
          </c:dPt>
          <c:dPt>
            <c:idx val="23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1B50-41B1-919C-349BB9C04FB9}"/>
              </c:ext>
            </c:extLst>
          </c:dPt>
          <c:dPt>
            <c:idx val="24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1B50-41B1-919C-349BB9C04FB9}"/>
              </c:ext>
            </c:extLst>
          </c:dPt>
          <c:dPt>
            <c:idx val="25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1B50-41B1-919C-349BB9C04FB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1B50-41B1-919C-349BB9C04FB9}"/>
              </c:ext>
            </c:extLst>
          </c:dPt>
          <c:val>
            <c:numLit>
              <c:formatCode>General</c:formatCode>
              <c:ptCount val="2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  <c:pt idx="11">
                <c:v>1</c:v>
              </c:pt>
              <c:pt idx="12">
                <c:v>1</c:v>
              </c:pt>
              <c:pt idx="13">
                <c:v>1</c:v>
              </c:pt>
              <c:pt idx="14">
                <c:v>1</c:v>
              </c:pt>
              <c:pt idx="15">
                <c:v>1</c:v>
              </c:pt>
              <c:pt idx="16">
                <c:v>1</c:v>
              </c:pt>
              <c:pt idx="17">
                <c:v>1</c:v>
              </c:pt>
              <c:pt idx="18">
                <c:v>1</c:v>
              </c:pt>
              <c:pt idx="19">
                <c:v>1</c:v>
              </c:pt>
              <c:pt idx="20">
                <c:v>1</c:v>
              </c:pt>
              <c:pt idx="21">
                <c:v>1</c:v>
              </c:pt>
              <c:pt idx="22">
                <c:v>1</c:v>
              </c:pt>
              <c:pt idx="23">
                <c:v>1</c:v>
              </c:pt>
              <c:pt idx="24">
                <c:v>1</c:v>
              </c:pt>
              <c:pt idx="25">
                <c:v>1</c:v>
              </c:pt>
              <c:pt idx="26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36-1B50-41B1-919C-349BB9C04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1"/>
          <c:order val="1"/>
          <c:tx>
            <c:v>agrikit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1B50-41B1-919C-349BB9C04FB9}"/>
              </c:ext>
            </c:extLst>
          </c:dPt>
          <c:dPt>
            <c:idx val="1"/>
            <c:bubble3D val="0"/>
            <c:spPr>
              <a:solidFill>
                <a:schemeClr val="bg1">
                  <a:lumMod val="95000"/>
                  <a:alpha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1B50-41B1-919C-349BB9C04FB9}"/>
              </c:ext>
            </c:extLst>
          </c:dPt>
          <c:val>
            <c:numRef>
              <c:f>Traitement!$C$92:$D$92</c:f>
              <c:numCache>
                <c:formatCode>0%</c:formatCode>
                <c:ptCount val="2"/>
                <c:pt idx="0">
                  <c:v>0.11413843447618643</c:v>
                </c:pt>
                <c:pt idx="1">
                  <c:v>0.88586156552381357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1B50-41B1-919C-349BB9C04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v>Agrikit</c:v>
          </c:tx>
          <c:spPr>
            <a:solidFill>
              <a:srgbClr val="7030A0"/>
            </a:solidFill>
          </c:spPr>
          <c:dPt>
            <c:idx val="0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B61-4AFD-8C65-669DA417915B}"/>
              </c:ext>
            </c:extLst>
          </c:dPt>
          <c:dPt>
            <c:idx val="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B61-4AFD-8C65-669DA417915B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B61-4AFD-8C65-669DA417915B}"/>
              </c:ext>
            </c:extLst>
          </c:dPt>
          <c:dPt>
            <c:idx val="3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B61-4AFD-8C65-669DA417915B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B61-4AFD-8C65-669DA417915B}"/>
              </c:ext>
            </c:extLst>
          </c:dPt>
          <c:dPt>
            <c:idx val="5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B61-4AFD-8C65-669DA417915B}"/>
              </c:ext>
            </c:extLst>
          </c:dPt>
          <c:dPt>
            <c:idx val="6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B61-4AFD-8C65-669DA417915B}"/>
              </c:ext>
            </c:extLst>
          </c:dPt>
          <c:dPt>
            <c:idx val="7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B61-4AFD-8C65-669DA417915B}"/>
              </c:ext>
            </c:extLst>
          </c:dPt>
          <c:dPt>
            <c:idx val="8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B61-4AFD-8C65-669DA417915B}"/>
              </c:ext>
            </c:extLst>
          </c:dPt>
          <c:dPt>
            <c:idx val="9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B61-4AFD-8C65-669DA417915B}"/>
              </c:ext>
            </c:extLst>
          </c:dPt>
          <c:dPt>
            <c:idx val="10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B61-4AFD-8C65-669DA417915B}"/>
              </c:ext>
            </c:extLst>
          </c:dPt>
          <c:dPt>
            <c:idx val="1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B61-4AFD-8C65-669DA417915B}"/>
              </c:ext>
            </c:extLst>
          </c:dPt>
          <c:dPt>
            <c:idx val="1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B61-4AFD-8C65-669DA417915B}"/>
              </c:ext>
            </c:extLst>
          </c:dPt>
          <c:dPt>
            <c:idx val="13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B61-4AFD-8C65-669DA417915B}"/>
              </c:ext>
            </c:extLst>
          </c:dPt>
          <c:dPt>
            <c:idx val="1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B61-4AFD-8C65-669DA417915B}"/>
              </c:ext>
            </c:extLst>
          </c:dPt>
          <c:dPt>
            <c:idx val="15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B61-4AFD-8C65-669DA417915B}"/>
              </c:ext>
            </c:extLst>
          </c:dPt>
          <c:dPt>
            <c:idx val="16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B61-4AFD-8C65-669DA417915B}"/>
              </c:ext>
            </c:extLst>
          </c:dPt>
          <c:dPt>
            <c:idx val="17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B61-4AFD-8C65-669DA417915B}"/>
              </c:ext>
            </c:extLst>
          </c:dPt>
          <c:dPt>
            <c:idx val="18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B61-4AFD-8C65-669DA417915B}"/>
              </c:ext>
            </c:extLst>
          </c:dPt>
          <c:dPt>
            <c:idx val="19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DB61-4AFD-8C65-669DA417915B}"/>
              </c:ext>
            </c:extLst>
          </c:dPt>
          <c:dPt>
            <c:idx val="20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DB61-4AFD-8C65-669DA417915B}"/>
              </c:ext>
            </c:extLst>
          </c:dPt>
          <c:dPt>
            <c:idx val="2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DB61-4AFD-8C65-669DA417915B}"/>
              </c:ext>
            </c:extLst>
          </c:dPt>
          <c:dPt>
            <c:idx val="2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DB61-4AFD-8C65-669DA417915B}"/>
              </c:ext>
            </c:extLst>
          </c:dPt>
          <c:dPt>
            <c:idx val="23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B61-4AFD-8C65-669DA417915B}"/>
              </c:ext>
            </c:extLst>
          </c:dPt>
          <c:dPt>
            <c:idx val="2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B61-4AFD-8C65-669DA417915B}"/>
              </c:ext>
            </c:extLst>
          </c:dPt>
          <c:dPt>
            <c:idx val="25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B61-4AFD-8C65-669DA417915B}"/>
              </c:ext>
            </c:extLst>
          </c:dPt>
          <c:dPt>
            <c:idx val="26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DB61-4AFD-8C65-669DA417915B}"/>
              </c:ext>
            </c:extLst>
          </c:dPt>
          <c:val>
            <c:numLit>
              <c:formatCode>General</c:formatCode>
              <c:ptCount val="2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  <c:pt idx="11">
                <c:v>1</c:v>
              </c:pt>
              <c:pt idx="12">
                <c:v>1</c:v>
              </c:pt>
              <c:pt idx="13">
                <c:v>1</c:v>
              </c:pt>
              <c:pt idx="14">
                <c:v>1</c:v>
              </c:pt>
              <c:pt idx="15">
                <c:v>1</c:v>
              </c:pt>
              <c:pt idx="16">
                <c:v>1</c:v>
              </c:pt>
              <c:pt idx="17">
                <c:v>1</c:v>
              </c:pt>
              <c:pt idx="18">
                <c:v>1</c:v>
              </c:pt>
              <c:pt idx="19">
                <c:v>1</c:v>
              </c:pt>
              <c:pt idx="20">
                <c:v>1</c:v>
              </c:pt>
              <c:pt idx="21">
                <c:v>1</c:v>
              </c:pt>
              <c:pt idx="22">
                <c:v>1</c:v>
              </c:pt>
              <c:pt idx="23">
                <c:v>1</c:v>
              </c:pt>
              <c:pt idx="24">
                <c:v>1</c:v>
              </c:pt>
              <c:pt idx="25">
                <c:v>1</c:v>
              </c:pt>
              <c:pt idx="26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36-DB61-4AFD-8C65-669DA4179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1"/>
          <c:order val="1"/>
          <c:tx>
            <c:v>Momo Pack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DB61-4AFD-8C65-669DA417915B}"/>
              </c:ext>
            </c:extLst>
          </c:dPt>
          <c:dPt>
            <c:idx val="1"/>
            <c:bubble3D val="0"/>
            <c:spPr>
              <a:solidFill>
                <a:schemeClr val="bg1">
                  <a:lumMod val="95000"/>
                  <a:alpha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DB61-4AFD-8C65-669DA417915B}"/>
              </c:ext>
            </c:extLst>
          </c:dPt>
          <c:val>
            <c:numRef>
              <c:f>Traitement!$C$95:$D$95</c:f>
              <c:numCache>
                <c:formatCode>0%</c:formatCode>
                <c:ptCount val="2"/>
                <c:pt idx="0">
                  <c:v>8.1544577828232004E-2</c:v>
                </c:pt>
                <c:pt idx="1">
                  <c:v>0.91845542217176801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DB61-4AFD-8C65-669DA4179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v>Agrikit</c:v>
          </c:tx>
          <c:spPr>
            <a:solidFill>
              <a:schemeClr val="accent2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73-4945-9A09-E4D7DEB6C61C}"/>
              </c:ext>
            </c:extLst>
          </c:dPt>
          <c:dPt>
            <c:idx val="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73-4945-9A09-E4D7DEB6C61C}"/>
              </c:ext>
            </c:extLst>
          </c:dPt>
          <c:dPt>
            <c:idx val="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73-4945-9A09-E4D7DEB6C61C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73-4945-9A09-E4D7DEB6C61C}"/>
              </c:ext>
            </c:extLst>
          </c:dPt>
          <c:dPt>
            <c:idx val="4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73-4945-9A09-E4D7DEB6C61C}"/>
              </c:ext>
            </c:extLst>
          </c:dPt>
          <c:dPt>
            <c:idx val="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73-4945-9A09-E4D7DEB6C61C}"/>
              </c:ext>
            </c:extLst>
          </c:dPt>
          <c:dPt>
            <c:idx val="6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73-4945-9A09-E4D7DEB6C6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73-4945-9A09-E4D7DEB6C61C}"/>
              </c:ext>
            </c:extLst>
          </c:dPt>
          <c:dPt>
            <c:idx val="8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73-4945-9A09-E4D7DEB6C61C}"/>
              </c:ext>
            </c:extLst>
          </c:dPt>
          <c:dPt>
            <c:idx val="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73-4945-9A09-E4D7DEB6C61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73-4945-9A09-E4D7DEB6C61C}"/>
              </c:ext>
            </c:extLst>
          </c:dPt>
          <c:dPt>
            <c:idx val="1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73-4945-9A09-E4D7DEB6C61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273-4945-9A09-E4D7DEB6C61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273-4945-9A09-E4D7DEB6C61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273-4945-9A09-E4D7DEB6C61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273-4945-9A09-E4D7DEB6C61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273-4945-9A09-E4D7DEB6C61C}"/>
              </c:ext>
            </c:extLst>
          </c:dPt>
          <c:dPt>
            <c:idx val="1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273-4945-9A09-E4D7DEB6C61C}"/>
              </c:ext>
            </c:extLst>
          </c:dPt>
          <c:dPt>
            <c:idx val="18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273-4945-9A09-E4D7DEB6C61C}"/>
              </c:ext>
            </c:extLst>
          </c:dPt>
          <c:dPt>
            <c:idx val="1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273-4945-9A09-E4D7DEB6C61C}"/>
              </c:ext>
            </c:extLst>
          </c:dPt>
          <c:dPt>
            <c:idx val="2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273-4945-9A09-E4D7DEB6C61C}"/>
              </c:ext>
            </c:extLst>
          </c:dPt>
          <c:dPt>
            <c:idx val="2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273-4945-9A09-E4D7DEB6C61C}"/>
              </c:ext>
            </c:extLst>
          </c:dPt>
          <c:dPt>
            <c:idx val="2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273-4945-9A09-E4D7DEB6C61C}"/>
              </c:ext>
            </c:extLst>
          </c:dPt>
          <c:dPt>
            <c:idx val="2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273-4945-9A09-E4D7DEB6C61C}"/>
              </c:ext>
            </c:extLst>
          </c:dPt>
          <c:dPt>
            <c:idx val="24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273-4945-9A09-E4D7DEB6C61C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273-4945-9A09-E4D7DEB6C61C}"/>
              </c:ext>
            </c:extLst>
          </c:dPt>
          <c:dPt>
            <c:idx val="26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273-4945-9A09-E4D7DEB6C61C}"/>
              </c:ext>
            </c:extLst>
          </c:dPt>
          <c:val>
            <c:numLit>
              <c:formatCode>General</c:formatCode>
              <c:ptCount val="2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  <c:pt idx="11">
                <c:v>1</c:v>
              </c:pt>
              <c:pt idx="12">
                <c:v>1</c:v>
              </c:pt>
              <c:pt idx="13">
                <c:v>1</c:v>
              </c:pt>
              <c:pt idx="14">
                <c:v>1</c:v>
              </c:pt>
              <c:pt idx="15">
                <c:v>1</c:v>
              </c:pt>
              <c:pt idx="16">
                <c:v>1</c:v>
              </c:pt>
              <c:pt idx="17">
                <c:v>1</c:v>
              </c:pt>
              <c:pt idx="18">
                <c:v>1</c:v>
              </c:pt>
              <c:pt idx="19">
                <c:v>1</c:v>
              </c:pt>
              <c:pt idx="20">
                <c:v>1</c:v>
              </c:pt>
              <c:pt idx="21">
                <c:v>1</c:v>
              </c:pt>
              <c:pt idx="22">
                <c:v>1</c:v>
              </c:pt>
              <c:pt idx="23">
                <c:v>1</c:v>
              </c:pt>
              <c:pt idx="24">
                <c:v>1</c:v>
              </c:pt>
              <c:pt idx="25">
                <c:v>1</c:v>
              </c:pt>
              <c:pt idx="26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36-6273-4945-9A09-E4D7DEB6C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1"/>
          <c:order val="1"/>
          <c:tx>
            <c:v>Aquafilter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6273-4945-9A09-E4D7DEB6C61C}"/>
              </c:ext>
            </c:extLst>
          </c:dPt>
          <c:dPt>
            <c:idx val="1"/>
            <c:bubble3D val="0"/>
            <c:spPr>
              <a:solidFill>
                <a:schemeClr val="bg1">
                  <a:lumMod val="95000"/>
                  <a:alpha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6273-4945-9A09-E4D7DEB6C61C}"/>
              </c:ext>
            </c:extLst>
          </c:dPt>
          <c:val>
            <c:numRef>
              <c:f>Traitement!$C$93:$D$93</c:f>
              <c:numCache>
                <c:formatCode>0%</c:formatCode>
                <c:ptCount val="2"/>
                <c:pt idx="0">
                  <c:v>9.4375919051286949E-2</c:v>
                </c:pt>
                <c:pt idx="1">
                  <c:v>0.90562408094871305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6273-4945-9A09-E4D7DEB6C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v>Agrikit</c:v>
          </c:tx>
          <c:spPr>
            <a:solidFill>
              <a:srgbClr val="92D050"/>
            </a:solidFill>
          </c:spPr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73-4945-9A09-E4D7DEB6C61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73-4945-9A09-E4D7DEB6C61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73-4945-9A09-E4D7DEB6C61C}"/>
              </c:ext>
            </c:extLst>
          </c:dPt>
          <c:dPt>
            <c:idx val="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73-4945-9A09-E4D7DEB6C61C}"/>
              </c:ext>
            </c:extLst>
          </c:dPt>
          <c:dPt>
            <c:idx val="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73-4945-9A09-E4D7DEB6C61C}"/>
              </c:ext>
            </c:extLst>
          </c:dPt>
          <c:dPt>
            <c:idx val="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73-4945-9A09-E4D7DEB6C61C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73-4945-9A09-E4D7DEB6C61C}"/>
              </c:ext>
            </c:extLst>
          </c:dPt>
          <c:dPt>
            <c:idx val="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73-4945-9A09-E4D7DEB6C61C}"/>
              </c:ext>
            </c:extLst>
          </c:dPt>
          <c:dPt>
            <c:idx val="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73-4945-9A09-E4D7DEB6C61C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73-4945-9A09-E4D7DEB6C61C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73-4945-9A09-E4D7DEB6C61C}"/>
              </c:ext>
            </c:extLst>
          </c:dPt>
          <c:dPt>
            <c:idx val="1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73-4945-9A09-E4D7DEB6C61C}"/>
              </c:ext>
            </c:extLst>
          </c:dPt>
          <c:dPt>
            <c:idx val="1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273-4945-9A09-E4D7DEB6C61C}"/>
              </c:ext>
            </c:extLst>
          </c:dPt>
          <c:dPt>
            <c:idx val="1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273-4945-9A09-E4D7DEB6C61C}"/>
              </c:ext>
            </c:extLst>
          </c:dPt>
          <c:dPt>
            <c:idx val="1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273-4945-9A09-E4D7DEB6C61C}"/>
              </c:ext>
            </c:extLst>
          </c:dPt>
          <c:dPt>
            <c:idx val="1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273-4945-9A09-E4D7DEB6C61C}"/>
              </c:ext>
            </c:extLst>
          </c:dPt>
          <c:dPt>
            <c:idx val="1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273-4945-9A09-E4D7DEB6C61C}"/>
              </c:ext>
            </c:extLst>
          </c:dPt>
          <c:dPt>
            <c:idx val="1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273-4945-9A09-E4D7DEB6C61C}"/>
              </c:ext>
            </c:extLst>
          </c:dPt>
          <c:dPt>
            <c:idx val="18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273-4945-9A09-E4D7DEB6C61C}"/>
              </c:ext>
            </c:extLst>
          </c:dPt>
          <c:dPt>
            <c:idx val="1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273-4945-9A09-E4D7DEB6C61C}"/>
              </c:ext>
            </c:extLst>
          </c:dPt>
          <c:dPt>
            <c:idx val="2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273-4945-9A09-E4D7DEB6C61C}"/>
              </c:ext>
            </c:extLst>
          </c:dPt>
          <c:dPt>
            <c:idx val="2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273-4945-9A09-E4D7DEB6C61C}"/>
              </c:ext>
            </c:extLst>
          </c:dPt>
          <c:dPt>
            <c:idx val="22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273-4945-9A09-E4D7DEB6C61C}"/>
              </c:ext>
            </c:extLst>
          </c:dPt>
          <c:dPt>
            <c:idx val="23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273-4945-9A09-E4D7DEB6C61C}"/>
              </c:ext>
            </c:extLst>
          </c:dPt>
          <c:dPt>
            <c:idx val="24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273-4945-9A09-E4D7DEB6C61C}"/>
              </c:ext>
            </c:extLst>
          </c:dPt>
          <c:dPt>
            <c:idx val="25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273-4945-9A09-E4D7DEB6C61C}"/>
              </c:ext>
            </c:extLst>
          </c:dPt>
          <c:dPt>
            <c:idx val="2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273-4945-9A09-E4D7DEB6C61C}"/>
              </c:ext>
            </c:extLst>
          </c:dPt>
          <c:val>
            <c:numLit>
              <c:formatCode>General</c:formatCode>
              <c:ptCount val="2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  <c:pt idx="11">
                <c:v>1</c:v>
              </c:pt>
              <c:pt idx="12">
                <c:v>1</c:v>
              </c:pt>
              <c:pt idx="13">
                <c:v>1</c:v>
              </c:pt>
              <c:pt idx="14">
                <c:v>1</c:v>
              </c:pt>
              <c:pt idx="15">
                <c:v>1</c:v>
              </c:pt>
              <c:pt idx="16">
                <c:v>1</c:v>
              </c:pt>
              <c:pt idx="17">
                <c:v>1</c:v>
              </c:pt>
              <c:pt idx="18">
                <c:v>1</c:v>
              </c:pt>
              <c:pt idx="19">
                <c:v>1</c:v>
              </c:pt>
              <c:pt idx="20">
                <c:v>1</c:v>
              </c:pt>
              <c:pt idx="21">
                <c:v>1</c:v>
              </c:pt>
              <c:pt idx="22">
                <c:v>1</c:v>
              </c:pt>
              <c:pt idx="23">
                <c:v>1</c:v>
              </c:pt>
              <c:pt idx="24">
                <c:v>1</c:v>
              </c:pt>
              <c:pt idx="25">
                <c:v>1</c:v>
              </c:pt>
              <c:pt idx="26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36-6273-4945-9A09-E4D7DEB6C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1"/>
          <c:order val="1"/>
          <c:tx>
            <c:v>Solaire pro</c:v>
          </c:tx>
          <c:dPt>
            <c:idx val="0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6273-4945-9A09-E4D7DEB6C61C}"/>
              </c:ext>
            </c:extLst>
          </c:dPt>
          <c:dPt>
            <c:idx val="1"/>
            <c:bubble3D val="0"/>
            <c:spPr>
              <a:solidFill>
                <a:schemeClr val="bg1">
                  <a:lumMod val="95000"/>
                  <a:alpha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6273-4945-9A09-E4D7DEB6C61C}"/>
              </c:ext>
            </c:extLst>
          </c:dPt>
          <c:val>
            <c:numRef>
              <c:f>Traitement!$C$96:$D$96</c:f>
              <c:numCache>
                <c:formatCode>0%</c:formatCode>
                <c:ptCount val="2"/>
                <c:pt idx="0">
                  <c:v>0.31394061796822309</c:v>
                </c:pt>
                <c:pt idx="1">
                  <c:v>0.68605938203177685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6273-4945-9A09-E4D7DEB6C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image" Target="../media/image5.png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image" Target="../media/image4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image" Target="../media/image3.png"/><Relationship Id="rId5" Type="http://schemas.openxmlformats.org/officeDocument/2006/relationships/chart" Target="../charts/chart6.xml"/><Relationship Id="rId10" Type="http://schemas.openxmlformats.org/officeDocument/2006/relationships/image" Target="../media/image2.png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1256060</xdr:colOff>
      <xdr:row>40</xdr:row>
      <xdr:rowOff>46075</xdr:rowOff>
    </xdr:from>
    <xdr:to>
      <xdr:col>7</xdr:col>
      <xdr:colOff>509479</xdr:colOff>
      <xdr:row>54</xdr:row>
      <xdr:rowOff>184299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B8157453-131D-F8C0-6CD8-EEC14315A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113270</xdr:colOff>
      <xdr:row>4</xdr:row>
      <xdr:rowOff>82769</xdr:rowOff>
    </xdr:from>
    <xdr:to>
      <xdr:col>6</xdr:col>
      <xdr:colOff>10511</xdr:colOff>
      <xdr:row>10</xdr:row>
      <xdr:rowOff>68316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13270" y="690310"/>
          <a:ext cx="2245025" cy="912303"/>
        </a:xfrm>
        <a:prstGeom prst="rect">
          <a:avLst/>
        </a:prstGeom>
        <a:noFill/>
        <a:ln w="12700">
          <a:solidFill>
            <a:schemeClr val="accent6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0</xdr:col>
      <xdr:colOff>61784</xdr:colOff>
      <xdr:row>4</xdr:row>
      <xdr:rowOff>51486</xdr:rowOff>
    </xdr:from>
    <xdr:to>
      <xdr:col>6</xdr:col>
      <xdr:colOff>89338</xdr:colOff>
      <xdr:row>5</xdr:row>
      <xdr:rowOff>122735</xdr:rowOff>
    </xdr:to>
    <xdr:sp macro="" textlink="">
      <xdr:nvSpPr>
        <xdr:cNvPr id="4" name="ZoneText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61784" y="659027"/>
          <a:ext cx="2375338" cy="246303"/>
        </a:xfrm>
        <a:prstGeom prst="rect">
          <a:avLst/>
        </a:prstGeom>
        <a:solidFill>
          <a:schemeClr val="accent6"/>
        </a:solidFill>
        <a:ln w="9525" cmpd="sng">
          <a:solidFill>
            <a:schemeClr val="accent6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100" b="1">
              <a:solidFill>
                <a:schemeClr val="bg1"/>
              </a:solidFill>
              <a:latin typeface="Bookman Old Style" panose="02050604050505020204" pitchFamily="18" charset="0"/>
            </a:rPr>
            <a:t>Chiffre</a:t>
          </a:r>
          <a:r>
            <a:rPr lang="fr-FR" sz="1100" b="1">
              <a:solidFill>
                <a:schemeClr val="bg1"/>
              </a:solidFill>
              <a:latin typeface="Product Sans" panose="020B0403030502040203" pitchFamily="34" charset="0"/>
            </a:rPr>
            <a:t> </a:t>
          </a:r>
          <a:r>
            <a:rPr lang="fr-FR" sz="1100" b="1">
              <a:solidFill>
                <a:schemeClr val="bg1"/>
              </a:solidFill>
              <a:latin typeface="Bookman Old Style" panose="02050604050505020204" pitchFamily="18" charset="0"/>
            </a:rPr>
            <a:t>d'affaire</a:t>
          </a:r>
        </a:p>
      </xdr:txBody>
    </xdr:sp>
    <xdr:clientData/>
  </xdr:twoCellAnchor>
  <xdr:twoCellAnchor>
    <xdr:from>
      <xdr:col>6</xdr:col>
      <xdr:colOff>268014</xdr:colOff>
      <xdr:row>4</xdr:row>
      <xdr:rowOff>82769</xdr:rowOff>
    </xdr:from>
    <xdr:to>
      <xdr:col>12</xdr:col>
      <xdr:colOff>99849</xdr:colOff>
      <xdr:row>10</xdr:row>
      <xdr:rowOff>68316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2222938" y="634562"/>
          <a:ext cx="1786759" cy="826375"/>
        </a:xfrm>
        <a:prstGeom prst="rect">
          <a:avLst/>
        </a:prstGeom>
        <a:noFill/>
        <a:ln w="12700">
          <a:solidFill>
            <a:schemeClr val="accent6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6</xdr:col>
      <xdr:colOff>202850</xdr:colOff>
      <xdr:row>4</xdr:row>
      <xdr:rowOff>56266</xdr:rowOff>
    </xdr:from>
    <xdr:to>
      <xdr:col>12</xdr:col>
      <xdr:colOff>178676</xdr:colOff>
      <xdr:row>5</xdr:row>
      <xdr:rowOff>122735</xdr:rowOff>
    </xdr:to>
    <xdr:sp macro="" textlink="">
      <xdr:nvSpPr>
        <xdr:cNvPr id="21" name="ZoneTexte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/>
      </xdr:nvSpPr>
      <xdr:spPr>
        <a:xfrm>
          <a:off x="2150920" y="612857"/>
          <a:ext cx="1923895" cy="252000"/>
        </a:xfrm>
        <a:prstGeom prst="rect">
          <a:avLst/>
        </a:prstGeom>
        <a:solidFill>
          <a:schemeClr val="accent6"/>
        </a:solidFill>
        <a:ln w="9525" cmpd="sng">
          <a:solidFill>
            <a:schemeClr val="accent6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100" b="1">
              <a:solidFill>
                <a:schemeClr val="bg1"/>
              </a:solidFill>
              <a:latin typeface="Bookman Old Style" panose="02050604050505020204" pitchFamily="18" charset="0"/>
            </a:rPr>
            <a:t>Bénéfice</a:t>
          </a:r>
        </a:p>
      </xdr:txBody>
    </xdr:sp>
    <xdr:clientData/>
  </xdr:twoCellAnchor>
  <xdr:twoCellAnchor>
    <xdr:from>
      <xdr:col>13</xdr:col>
      <xdr:colOff>10511</xdr:colOff>
      <xdr:row>4</xdr:row>
      <xdr:rowOff>82769</xdr:rowOff>
    </xdr:from>
    <xdr:to>
      <xdr:col>18</xdr:col>
      <xdr:colOff>168167</xdr:colOff>
      <xdr:row>10</xdr:row>
      <xdr:rowOff>68316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4246180" y="634562"/>
          <a:ext cx="1786759" cy="826375"/>
        </a:xfrm>
        <a:prstGeom prst="rect">
          <a:avLst/>
        </a:prstGeom>
        <a:noFill/>
        <a:ln w="12700">
          <a:solidFill>
            <a:schemeClr val="accent6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12</xdr:col>
      <xdr:colOff>271168</xdr:colOff>
      <xdr:row>4</xdr:row>
      <xdr:rowOff>56266</xdr:rowOff>
    </xdr:from>
    <xdr:to>
      <xdr:col>18</xdr:col>
      <xdr:colOff>246994</xdr:colOff>
      <xdr:row>5</xdr:row>
      <xdr:rowOff>122735</xdr:rowOff>
    </xdr:to>
    <xdr:sp macro="" textlink="">
      <xdr:nvSpPr>
        <xdr:cNvPr id="23" name="ZoneTexte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/>
      </xdr:nvSpPr>
      <xdr:spPr>
        <a:xfrm>
          <a:off x="4167307" y="612857"/>
          <a:ext cx="1923896" cy="252000"/>
        </a:xfrm>
        <a:prstGeom prst="rect">
          <a:avLst/>
        </a:prstGeom>
        <a:solidFill>
          <a:schemeClr val="accent6"/>
        </a:solidFill>
        <a:ln w="9525" cmpd="sng">
          <a:solidFill>
            <a:schemeClr val="accent6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100" b="1">
              <a:solidFill>
                <a:schemeClr val="bg1"/>
              </a:solidFill>
              <a:latin typeface="Bookman Old Style" panose="02050604050505020204" pitchFamily="18" charset="0"/>
            </a:rPr>
            <a:t>Total</a:t>
          </a:r>
          <a:r>
            <a:rPr lang="fr-FR" sz="1100" b="1" baseline="0">
              <a:solidFill>
                <a:schemeClr val="bg1"/>
              </a:solidFill>
              <a:latin typeface="Bookman Old Style" panose="02050604050505020204" pitchFamily="18" charset="0"/>
            </a:rPr>
            <a:t> des articles vendus</a:t>
          </a:r>
          <a:endParaRPr lang="fr-FR" sz="1100" b="1">
            <a:solidFill>
              <a:schemeClr val="bg1"/>
            </a:solidFill>
            <a:latin typeface="Bookman Old Style" panose="02050604050505020204" pitchFamily="18" charset="0"/>
          </a:endParaRPr>
        </a:p>
      </xdr:txBody>
    </xdr:sp>
    <xdr:clientData/>
  </xdr:twoCellAnchor>
  <xdr:twoCellAnchor>
    <xdr:from>
      <xdr:col>36</xdr:col>
      <xdr:colOff>295882</xdr:colOff>
      <xdr:row>15</xdr:row>
      <xdr:rowOff>62183</xdr:rowOff>
    </xdr:from>
    <xdr:to>
      <xdr:col>39</xdr:col>
      <xdr:colOff>224523</xdr:colOff>
      <xdr:row>17</xdr:row>
      <xdr:rowOff>83845</xdr:rowOff>
    </xdr:to>
    <xdr:sp macro="" textlink="B6">
      <xdr:nvSpPr>
        <xdr:cNvPr id="38" name="ZoneText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 txBox="1"/>
      </xdr:nvSpPr>
      <xdr:spPr>
        <a:xfrm>
          <a:off x="12091642" y="2363423"/>
          <a:ext cx="911621" cy="3874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6D5F1C4-402F-4ED8-B2D8-D3DC4D45EB45}" type="TxLink">
            <a:rPr lang="en-US" sz="2100" b="1" i="0" u="none" strike="noStrike">
              <a:solidFill>
                <a:schemeClr val="accent2"/>
              </a:solidFill>
              <a:latin typeface="Product Sans" panose="020B0403030502040203" pitchFamily="34" charset="0"/>
              <a:cs typeface="Calibri"/>
            </a:rPr>
            <a:pPr/>
            <a:t> </a:t>
          </a:fld>
          <a:endParaRPr lang="fr-FR" sz="2100" b="1">
            <a:solidFill>
              <a:schemeClr val="accent2"/>
            </a:solidFill>
            <a:latin typeface="Product Sans" panose="020B0403030502040203" pitchFamily="34" charset="0"/>
          </a:endParaRPr>
        </a:p>
      </xdr:txBody>
    </xdr:sp>
    <xdr:clientData/>
  </xdr:twoCellAnchor>
  <xdr:twoCellAnchor>
    <xdr:from>
      <xdr:col>0</xdr:col>
      <xdr:colOff>170328</xdr:colOff>
      <xdr:row>10</xdr:row>
      <xdr:rowOff>137482</xdr:rowOff>
    </xdr:from>
    <xdr:to>
      <xdr:col>14</xdr:col>
      <xdr:colOff>250657</xdr:colOff>
      <xdr:row>33</xdr:row>
      <xdr:rowOff>72570</xdr:rowOff>
    </xdr:to>
    <xdr:grpSp>
      <xdr:nvGrpSpPr>
        <xdr:cNvPr id="67" name="Groupe 66">
          <a:extLst>
            <a:ext uri="{FF2B5EF4-FFF2-40B4-BE49-F238E27FC236}">
              <a16:creationId xmlns:a16="http://schemas.microsoft.com/office/drawing/2014/main" id="{F637EC9C-68D1-9173-C76E-72C7E61B3079}"/>
            </a:ext>
          </a:extLst>
        </xdr:cNvPr>
        <xdr:cNvGrpSpPr/>
      </xdr:nvGrpSpPr>
      <xdr:grpSpPr>
        <a:xfrm>
          <a:off x="170328" y="1671779"/>
          <a:ext cx="5558491" cy="4435007"/>
          <a:chOff x="170328" y="1487311"/>
          <a:chExt cx="5566729" cy="4441773"/>
        </a:xfrm>
      </xdr:grpSpPr>
      <xdr:graphicFrame macro="">
        <xdr:nvGraphicFramePr>
          <xdr:cNvPr id="12" name="Graphique 11">
            <a:extLst>
              <a:ext uri="{FF2B5EF4-FFF2-40B4-BE49-F238E27FC236}">
                <a16:creationId xmlns:a16="http://schemas.microsoft.com/office/drawing/2014/main" id="{59640994-02F0-401B-B84D-052C727E47E4}"/>
              </a:ext>
            </a:extLst>
          </xdr:cNvPr>
          <xdr:cNvGraphicFramePr>
            <a:graphicFrameLocks/>
          </xdr:cNvGraphicFramePr>
        </xdr:nvGraphicFramePr>
        <xdr:xfrm>
          <a:off x="170328" y="1636006"/>
          <a:ext cx="5566729" cy="429307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4" name="ZoneTexte 13">
            <a:extLst>
              <a:ext uri="{FF2B5EF4-FFF2-40B4-BE49-F238E27FC236}">
                <a16:creationId xmlns:a16="http://schemas.microsoft.com/office/drawing/2014/main" id="{7C8EA89C-AE44-11E5-156A-24A25B8D386C}"/>
              </a:ext>
            </a:extLst>
          </xdr:cNvPr>
          <xdr:cNvSpPr txBox="1"/>
        </xdr:nvSpPr>
        <xdr:spPr>
          <a:xfrm>
            <a:off x="1790122" y="1487311"/>
            <a:ext cx="2327140" cy="244481"/>
          </a:xfrm>
          <a:prstGeom prst="rect">
            <a:avLst/>
          </a:prstGeom>
          <a:solidFill>
            <a:schemeClr val="accent6"/>
          </a:solidFill>
          <a:ln w="9525" cmpd="sng">
            <a:solidFill>
              <a:schemeClr val="accent6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fr-FR" sz="1100" b="1">
                <a:solidFill>
                  <a:schemeClr val="bg1"/>
                </a:solidFill>
                <a:latin typeface="Bookman Old Style" panose="02050604050505020204" pitchFamily="18" charset="0"/>
              </a:rPr>
              <a:t>Chiffre</a:t>
            </a:r>
            <a:r>
              <a:rPr lang="fr-FR" sz="1100" b="1" baseline="0">
                <a:solidFill>
                  <a:schemeClr val="bg1"/>
                </a:solidFill>
                <a:latin typeface="Bookman Old Style" panose="02050604050505020204" pitchFamily="18" charset="0"/>
              </a:rPr>
              <a:t> d'affaire par ville</a:t>
            </a:r>
            <a:endParaRPr lang="fr-FR" sz="1100" b="1">
              <a:solidFill>
                <a:schemeClr val="bg1"/>
              </a:solidFill>
              <a:latin typeface="Bookman Old Style" panose="02050604050505020204" pitchFamily="18" charset="0"/>
            </a:endParaRPr>
          </a:p>
        </xdr:txBody>
      </xdr:sp>
    </xdr:grpSp>
    <xdr:clientData/>
  </xdr:twoCellAnchor>
  <xdr:twoCellAnchor>
    <xdr:from>
      <xdr:col>15</xdr:col>
      <xdr:colOff>81624</xdr:colOff>
      <xdr:row>10</xdr:row>
      <xdr:rowOff>187349</xdr:rowOff>
    </xdr:from>
    <xdr:to>
      <xdr:col>32</xdr:col>
      <xdr:colOff>130343</xdr:colOff>
      <xdr:row>33</xdr:row>
      <xdr:rowOff>54430</xdr:rowOff>
    </xdr:to>
    <xdr:grpSp>
      <xdr:nvGrpSpPr>
        <xdr:cNvPr id="16" name="Groupe 15">
          <a:extLst>
            <a:ext uri="{FF2B5EF4-FFF2-40B4-BE49-F238E27FC236}">
              <a16:creationId xmlns:a16="http://schemas.microsoft.com/office/drawing/2014/main" id="{A48882E7-650D-FB95-1A3C-EE52B400B318}"/>
            </a:ext>
          </a:extLst>
        </xdr:cNvPr>
        <xdr:cNvGrpSpPr/>
      </xdr:nvGrpSpPr>
      <xdr:grpSpPr>
        <a:xfrm>
          <a:off x="5951083" y="1721646"/>
          <a:ext cx="6700774" cy="4367000"/>
          <a:chOff x="4867835" y="1663290"/>
          <a:chExt cx="4555899" cy="2819063"/>
        </a:xfrm>
      </xdr:grpSpPr>
      <xdr:graphicFrame macro="">
        <xdr:nvGraphicFramePr>
          <xdr:cNvPr id="13" name="Graphique 12">
            <a:extLst>
              <a:ext uri="{FF2B5EF4-FFF2-40B4-BE49-F238E27FC236}">
                <a16:creationId xmlns:a16="http://schemas.microsoft.com/office/drawing/2014/main" id="{1D4D0BCE-8C4F-4567-9EA3-CF040CF5317D}"/>
              </a:ext>
            </a:extLst>
          </xdr:cNvPr>
          <xdr:cNvGraphicFramePr>
            <a:graphicFrameLocks/>
          </xdr:cNvGraphicFramePr>
        </xdr:nvGraphicFramePr>
        <xdr:xfrm>
          <a:off x="4867835" y="1740111"/>
          <a:ext cx="4555899" cy="274224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15" name="ZoneTexte 14">
            <a:extLst>
              <a:ext uri="{FF2B5EF4-FFF2-40B4-BE49-F238E27FC236}">
                <a16:creationId xmlns:a16="http://schemas.microsoft.com/office/drawing/2014/main" id="{1570FEDF-8929-FE11-E3F7-FC2D9AE9B3DA}"/>
              </a:ext>
            </a:extLst>
          </xdr:cNvPr>
          <xdr:cNvSpPr txBox="1"/>
        </xdr:nvSpPr>
        <xdr:spPr>
          <a:xfrm>
            <a:off x="6089262" y="1663290"/>
            <a:ext cx="1965991" cy="157783"/>
          </a:xfrm>
          <a:prstGeom prst="rect">
            <a:avLst/>
          </a:prstGeom>
          <a:solidFill>
            <a:schemeClr val="accent6"/>
          </a:solidFill>
          <a:ln w="9525" cmpd="sng">
            <a:solidFill>
              <a:schemeClr val="accent6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fr-FR" sz="1100" b="1">
                <a:solidFill>
                  <a:schemeClr val="bg1"/>
                </a:solidFill>
                <a:latin typeface="Bookman Old Style" panose="02050604050505020204" pitchFamily="18" charset="0"/>
              </a:rPr>
              <a:t>Tendance des ventes</a:t>
            </a:r>
          </a:p>
        </xdr:txBody>
      </xdr:sp>
    </xdr:grpSp>
    <xdr:clientData/>
  </xdr:twoCellAnchor>
  <xdr:twoCellAnchor>
    <xdr:from>
      <xdr:col>0</xdr:col>
      <xdr:colOff>155816</xdr:colOff>
      <xdr:row>34</xdr:row>
      <xdr:rowOff>56554</xdr:rowOff>
    </xdr:from>
    <xdr:to>
      <xdr:col>14</xdr:col>
      <xdr:colOff>266700</xdr:colOff>
      <xdr:row>45</xdr:row>
      <xdr:rowOff>39539</xdr:rowOff>
    </xdr:to>
    <xdr:grpSp>
      <xdr:nvGrpSpPr>
        <xdr:cNvPr id="62" name="Groupe 61">
          <a:extLst>
            <a:ext uri="{FF2B5EF4-FFF2-40B4-BE49-F238E27FC236}">
              <a16:creationId xmlns:a16="http://schemas.microsoft.com/office/drawing/2014/main" id="{848689F1-9181-85DB-DB8F-173FFAEC1DB3}"/>
            </a:ext>
          </a:extLst>
        </xdr:cNvPr>
        <xdr:cNvGrpSpPr/>
      </xdr:nvGrpSpPr>
      <xdr:grpSpPr>
        <a:xfrm>
          <a:off x="155816" y="6286419"/>
          <a:ext cx="5589046" cy="2135120"/>
          <a:chOff x="79616" y="7144967"/>
          <a:chExt cx="5698884" cy="2178271"/>
        </a:xfrm>
      </xdr:grpSpPr>
      <xdr:graphicFrame macro="">
        <xdr:nvGraphicFramePr>
          <xdr:cNvPr id="18" name="Graphique 17">
            <a:extLst>
              <a:ext uri="{FF2B5EF4-FFF2-40B4-BE49-F238E27FC236}">
                <a16:creationId xmlns:a16="http://schemas.microsoft.com/office/drawing/2014/main" id="{4CEB311E-EF0D-452B-83F4-573D808D2EED}"/>
              </a:ext>
            </a:extLst>
          </xdr:cNvPr>
          <xdr:cNvGraphicFramePr>
            <a:graphicFrameLocks/>
          </xdr:cNvGraphicFramePr>
        </xdr:nvGraphicFramePr>
        <xdr:xfrm>
          <a:off x="79616" y="7314438"/>
          <a:ext cx="5698884" cy="2008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5" name="ZoneTexte 24">
            <a:extLst>
              <a:ext uri="{FF2B5EF4-FFF2-40B4-BE49-F238E27FC236}">
                <a16:creationId xmlns:a16="http://schemas.microsoft.com/office/drawing/2014/main" id="{22D30636-7507-AC4F-379C-80CD724B4CEE}"/>
              </a:ext>
            </a:extLst>
          </xdr:cNvPr>
          <xdr:cNvSpPr txBox="1"/>
        </xdr:nvSpPr>
        <xdr:spPr>
          <a:xfrm>
            <a:off x="1743717" y="7144967"/>
            <a:ext cx="2370683" cy="245988"/>
          </a:xfrm>
          <a:prstGeom prst="rect">
            <a:avLst/>
          </a:prstGeom>
          <a:solidFill>
            <a:schemeClr val="accent6"/>
          </a:solidFill>
          <a:ln w="9525" cmpd="sng">
            <a:solidFill>
              <a:schemeClr val="accent6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fr-FR" sz="1100" b="1">
                <a:solidFill>
                  <a:schemeClr val="bg1"/>
                </a:solidFill>
                <a:latin typeface="Bookman Old Style" panose="02050604050505020204" pitchFamily="18" charset="0"/>
              </a:rPr>
              <a:t>Meilleurs</a:t>
            </a:r>
            <a:r>
              <a:rPr lang="fr-FR" sz="1100" b="1" baseline="0">
                <a:solidFill>
                  <a:schemeClr val="bg1"/>
                </a:solidFill>
                <a:latin typeface="Product Sans" panose="020B0403030502040203" pitchFamily="34" charset="0"/>
              </a:rPr>
              <a:t> </a:t>
            </a:r>
            <a:r>
              <a:rPr lang="fr-FR" sz="1100" b="1" baseline="0">
                <a:solidFill>
                  <a:schemeClr val="bg1"/>
                </a:solidFill>
                <a:latin typeface="Bookman Old Style" panose="02050604050505020204" pitchFamily="18" charset="0"/>
              </a:rPr>
              <a:t>commerciaux</a:t>
            </a:r>
            <a:endParaRPr lang="fr-FR" sz="1100" b="1">
              <a:solidFill>
                <a:schemeClr val="bg1"/>
              </a:solidFill>
              <a:latin typeface="Bookman Old Style" panose="02050604050505020204" pitchFamily="18" charset="0"/>
            </a:endParaRPr>
          </a:p>
        </xdr:txBody>
      </xdr:sp>
    </xdr:grpSp>
    <xdr:clientData/>
  </xdr:twoCellAnchor>
  <xdr:twoCellAnchor>
    <xdr:from>
      <xdr:col>15</xdr:col>
      <xdr:colOff>112774</xdr:colOff>
      <xdr:row>34</xdr:row>
      <xdr:rowOff>88625</xdr:rowOff>
    </xdr:from>
    <xdr:to>
      <xdr:col>32</xdr:col>
      <xdr:colOff>152401</xdr:colOff>
      <xdr:row>45</xdr:row>
      <xdr:rowOff>27512</xdr:rowOff>
    </xdr:to>
    <xdr:grpSp>
      <xdr:nvGrpSpPr>
        <xdr:cNvPr id="61" name="Groupe 60">
          <a:extLst>
            <a:ext uri="{FF2B5EF4-FFF2-40B4-BE49-F238E27FC236}">
              <a16:creationId xmlns:a16="http://schemas.microsoft.com/office/drawing/2014/main" id="{EFBE56FB-F769-04A6-7198-7B208E86E7F0}"/>
            </a:ext>
          </a:extLst>
        </xdr:cNvPr>
        <xdr:cNvGrpSpPr/>
      </xdr:nvGrpSpPr>
      <xdr:grpSpPr>
        <a:xfrm>
          <a:off x="5982233" y="6318490"/>
          <a:ext cx="6691682" cy="2091022"/>
          <a:chOff x="6328517" y="7042781"/>
          <a:chExt cx="6825055" cy="2134174"/>
        </a:xfrm>
      </xdr:grpSpPr>
      <xdr:graphicFrame macro="">
        <xdr:nvGraphicFramePr>
          <xdr:cNvPr id="26" name="Graphique 25">
            <a:extLst>
              <a:ext uri="{FF2B5EF4-FFF2-40B4-BE49-F238E27FC236}">
                <a16:creationId xmlns:a16="http://schemas.microsoft.com/office/drawing/2014/main" id="{A2899439-58E0-424A-AB8B-F4526E6CB994}"/>
              </a:ext>
            </a:extLst>
          </xdr:cNvPr>
          <xdr:cNvGraphicFramePr>
            <a:graphicFrameLocks/>
          </xdr:cNvGraphicFramePr>
        </xdr:nvGraphicFramePr>
        <xdr:xfrm>
          <a:off x="6328517" y="7169781"/>
          <a:ext cx="6825055" cy="20071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60" name="ZoneTexte 59">
            <a:extLst>
              <a:ext uri="{FF2B5EF4-FFF2-40B4-BE49-F238E27FC236}">
                <a16:creationId xmlns:a16="http://schemas.microsoft.com/office/drawing/2014/main" id="{14630560-94EA-C054-5479-B055E1A7CB80}"/>
              </a:ext>
            </a:extLst>
          </xdr:cNvPr>
          <xdr:cNvSpPr txBox="1"/>
        </xdr:nvSpPr>
        <xdr:spPr>
          <a:xfrm>
            <a:off x="8555703" y="7042781"/>
            <a:ext cx="2370683" cy="238827"/>
          </a:xfrm>
          <a:prstGeom prst="rect">
            <a:avLst/>
          </a:prstGeom>
          <a:solidFill>
            <a:schemeClr val="accent6"/>
          </a:solidFill>
          <a:ln w="9525" cmpd="sng">
            <a:solidFill>
              <a:schemeClr val="accent6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fr-FR" sz="1100" b="1">
                <a:solidFill>
                  <a:schemeClr val="bg1"/>
                </a:solidFill>
                <a:latin typeface="Bookman Old Style" panose="02050604050505020204" pitchFamily="18" charset="0"/>
              </a:rPr>
              <a:t>5 Meilleurs</a:t>
            </a:r>
            <a:r>
              <a:rPr lang="fr-FR" sz="1100" b="1" baseline="0">
                <a:solidFill>
                  <a:schemeClr val="bg1"/>
                </a:solidFill>
                <a:latin typeface="Bookman Old Style" panose="02050604050505020204" pitchFamily="18" charset="0"/>
              </a:rPr>
              <a:t> clients</a:t>
            </a:r>
            <a:endParaRPr lang="fr-FR" sz="1100" b="1">
              <a:solidFill>
                <a:schemeClr val="bg1"/>
              </a:solidFill>
              <a:latin typeface="Bookman Old Style" panose="02050604050505020204" pitchFamily="18" charset="0"/>
            </a:endParaRPr>
          </a:p>
        </xdr:txBody>
      </xdr:sp>
    </xdr:grpSp>
    <xdr:clientData/>
  </xdr:twoCellAnchor>
  <xdr:twoCellAnchor>
    <xdr:from>
      <xdr:col>32</xdr:col>
      <xdr:colOff>181425</xdr:colOff>
      <xdr:row>9</xdr:row>
      <xdr:rowOff>87085</xdr:rowOff>
    </xdr:from>
    <xdr:to>
      <xdr:col>48</xdr:col>
      <xdr:colOff>239486</xdr:colOff>
      <xdr:row>44</xdr:row>
      <xdr:rowOff>43543</xdr:rowOff>
    </xdr:to>
    <xdr:grpSp>
      <xdr:nvGrpSpPr>
        <xdr:cNvPr id="19" name="Groupe 18">
          <a:extLst>
            <a:ext uri="{FF2B5EF4-FFF2-40B4-BE49-F238E27FC236}">
              <a16:creationId xmlns:a16="http://schemas.microsoft.com/office/drawing/2014/main" id="{CF8DF3E2-C1BA-26BA-E54F-D1BED5CCB0C2}"/>
            </a:ext>
          </a:extLst>
        </xdr:cNvPr>
        <xdr:cNvGrpSpPr/>
      </xdr:nvGrpSpPr>
      <xdr:grpSpPr>
        <a:xfrm>
          <a:off x="12702939" y="1518409"/>
          <a:ext cx="6318817" cy="6711485"/>
          <a:chOff x="12721768" y="1689866"/>
          <a:chExt cx="4989289" cy="6606004"/>
        </a:xfrm>
      </xdr:grpSpPr>
      <xdr:grpSp>
        <xdr:nvGrpSpPr>
          <xdr:cNvPr id="44" name="Groupe 43">
            <a:extLst>
              <a:ext uri="{FF2B5EF4-FFF2-40B4-BE49-F238E27FC236}">
                <a16:creationId xmlns:a16="http://schemas.microsoft.com/office/drawing/2014/main" id="{EF6A8D29-98AD-6B1A-7254-C5FCE95130FC}"/>
              </a:ext>
            </a:extLst>
          </xdr:cNvPr>
          <xdr:cNvGrpSpPr/>
        </xdr:nvGrpSpPr>
        <xdr:grpSpPr>
          <a:xfrm>
            <a:off x="12721768" y="3707908"/>
            <a:ext cx="2560723" cy="4587962"/>
            <a:chOff x="12721768" y="3156858"/>
            <a:chExt cx="2504853" cy="5032628"/>
          </a:xfrm>
        </xdr:grpSpPr>
        <xdr:graphicFrame macro="">
          <xdr:nvGraphicFramePr>
            <xdr:cNvPr id="30" name="Graphique 29">
              <a:extLst>
                <a:ext uri="{FF2B5EF4-FFF2-40B4-BE49-F238E27FC236}">
                  <a16:creationId xmlns:a16="http://schemas.microsoft.com/office/drawing/2014/main" id="{BC6E7EDB-4433-41AE-98A5-3FDE8D441CCA}"/>
                </a:ext>
              </a:extLst>
            </xdr:cNvPr>
            <xdr:cNvGraphicFramePr>
              <a:graphicFrameLocks/>
            </xdr:cNvGraphicFramePr>
          </xdr:nvGraphicFramePr>
          <xdr:xfrm>
            <a:off x="12838090" y="6043516"/>
            <a:ext cx="2388531" cy="234191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  <xdr:sp macro="" textlink="Traitement!B94">
          <xdr:nvSpPr>
            <xdr:cNvPr id="41" name="Rectangle 40">
              <a:extLst>
                <a:ext uri="{FF2B5EF4-FFF2-40B4-BE49-F238E27FC236}">
                  <a16:creationId xmlns:a16="http://schemas.microsoft.com/office/drawing/2014/main" id="{60D38D61-6341-0BCF-AC48-889490458BDB}"/>
                </a:ext>
              </a:extLst>
            </xdr:cNvPr>
            <xdr:cNvSpPr/>
          </xdr:nvSpPr>
          <xdr:spPr>
            <a:xfrm>
              <a:off x="12890710" y="5685854"/>
              <a:ext cx="963069" cy="977901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A9B1A852-03C8-429D-A560-236D3BD711AF}" type="TxLink">
                <a:rPr lang="en-US" sz="1100" b="1" i="0" u="none" strike="noStrike">
                  <a:solidFill>
                    <a:srgbClr val="000000"/>
                  </a:solidFill>
                  <a:latin typeface="Bookman Old Style" panose="02050604050505020204" pitchFamily="18" charset="0"/>
                  <a:cs typeface="Calibri"/>
                </a:rPr>
                <a:pPr algn="ctr"/>
                <a:t>EduTablet</a:t>
              </a:fld>
              <a:endParaRPr lang="fr-FR" sz="1100" b="1">
                <a:solidFill>
                  <a:schemeClr val="accent5">
                    <a:lumMod val="75000"/>
                  </a:schemeClr>
                </a:solidFill>
                <a:latin typeface="Bookman Old Style" panose="02050604050505020204" pitchFamily="18" charset="0"/>
              </a:endParaRPr>
            </a:p>
          </xdr:txBody>
        </xdr:sp>
        <xdr:grpSp>
          <xdr:nvGrpSpPr>
            <xdr:cNvPr id="40" name="Groupe 39">
              <a:extLst>
                <a:ext uri="{FF2B5EF4-FFF2-40B4-BE49-F238E27FC236}">
                  <a16:creationId xmlns:a16="http://schemas.microsoft.com/office/drawing/2014/main" id="{9B73AB43-DD44-A7B6-379B-BEC0B52A30EA}"/>
                </a:ext>
              </a:extLst>
            </xdr:cNvPr>
            <xdr:cNvGrpSpPr/>
          </xdr:nvGrpSpPr>
          <xdr:grpSpPr>
            <a:xfrm>
              <a:off x="12838090" y="3700460"/>
              <a:ext cx="2388531" cy="2341913"/>
              <a:chOff x="13970000" y="2530929"/>
              <a:chExt cx="2477765" cy="1876646"/>
            </a:xfrm>
          </xdr:grpSpPr>
          <xdr:graphicFrame macro="">
            <xdr:nvGraphicFramePr>
              <xdr:cNvPr id="28" name="Graphique 27">
                <a:extLst>
                  <a:ext uri="{FF2B5EF4-FFF2-40B4-BE49-F238E27FC236}">
                    <a16:creationId xmlns:a16="http://schemas.microsoft.com/office/drawing/2014/main" id="{28A6BD8D-7F5B-4A48-B0AC-D6686D75F4DD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13970000" y="2530929"/>
              <a:ext cx="2477765" cy="1876646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6"/>
              </a:graphicData>
            </a:graphic>
          </xdr:graphicFrame>
          <xdr:sp macro="" textlink="Traitement!C92">
            <xdr:nvSpPr>
              <xdr:cNvPr id="33" name="Rectangle 32">
                <a:extLst>
                  <a:ext uri="{FF2B5EF4-FFF2-40B4-BE49-F238E27FC236}">
                    <a16:creationId xmlns:a16="http://schemas.microsoft.com/office/drawing/2014/main" id="{9A0FB9BC-3D81-1B3E-8166-46A5707026EC}"/>
                  </a:ext>
                </a:extLst>
              </xdr:cNvPr>
              <xdr:cNvSpPr/>
            </xdr:nvSpPr>
            <xdr:spPr>
              <a:xfrm>
                <a:off x="14795498" y="3088253"/>
                <a:ext cx="943429" cy="761999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fld id="{082A5717-7FD0-49F5-8F8C-EA0F9BA68ACF}" type="TxLink">
                  <a:rPr lang="en-US" sz="2100" b="1" i="0" u="none" strike="noStrike">
                    <a:solidFill>
                      <a:schemeClr val="accent3">
                        <a:lumMod val="60000"/>
                        <a:lumOff val="40000"/>
                      </a:schemeClr>
                    </a:solidFill>
                    <a:latin typeface="Bookman Old Style" panose="02050604050505020204" pitchFamily="18" charset="0"/>
                    <a:cs typeface="Calibri"/>
                  </a:rPr>
                  <a:pPr algn="ctr"/>
                  <a:t>11%</a:t>
                </a:fld>
                <a:endParaRPr lang="fr-FR" sz="2100" b="1">
                  <a:solidFill>
                    <a:schemeClr val="accent3">
                      <a:lumMod val="60000"/>
                      <a:lumOff val="40000"/>
                    </a:schemeClr>
                  </a:solidFill>
                  <a:latin typeface="Bookman Old Style" panose="02050604050505020204" pitchFamily="18" charset="0"/>
                </a:endParaRPr>
              </a:p>
            </xdr:txBody>
          </xdr:sp>
        </xdr:grpSp>
        <xdr:sp macro="" textlink="Traitement!B92">
          <xdr:nvSpPr>
            <xdr:cNvPr id="45" name="Rectangle 44">
              <a:extLst>
                <a:ext uri="{FF2B5EF4-FFF2-40B4-BE49-F238E27FC236}">
                  <a16:creationId xmlns:a16="http://schemas.microsoft.com/office/drawing/2014/main" id="{75D3881D-51A6-3331-6855-75052EB3F06E}"/>
                </a:ext>
              </a:extLst>
            </xdr:cNvPr>
            <xdr:cNvSpPr/>
          </xdr:nvSpPr>
          <xdr:spPr>
            <a:xfrm>
              <a:off x="12721768" y="3352800"/>
              <a:ext cx="999294" cy="105177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79545BF-1266-4BD4-A961-006DD12A1060}" type="TxLink">
                <a:rPr lang="en-US" sz="1100" b="1" i="0" u="none" strike="noStrike">
                  <a:solidFill>
                    <a:srgbClr val="000000"/>
                  </a:solidFill>
                  <a:latin typeface="Bookman Old Style" panose="02050604050505020204" pitchFamily="18" charset="0"/>
                  <a:cs typeface="Calibri"/>
                </a:rPr>
                <a:pPr algn="ctr"/>
                <a:t>AgriKit</a:t>
              </a:fld>
              <a:endParaRPr lang="fr-FR" sz="1100" b="1">
                <a:solidFill>
                  <a:schemeClr val="accent5">
                    <a:lumMod val="75000"/>
                  </a:schemeClr>
                </a:solidFill>
                <a:latin typeface="Bookman Old Style" panose="02050604050505020204" pitchFamily="18" charset="0"/>
              </a:endParaRPr>
            </a:p>
          </xdr:txBody>
        </xdr:sp>
      </xdr:grpSp>
      <xdr:sp macro="" textlink="Traitement!C94">
        <xdr:nvSpPr>
          <xdr:cNvPr id="35" name="Rectangle 34">
            <a:extLst>
              <a:ext uri="{FF2B5EF4-FFF2-40B4-BE49-F238E27FC236}">
                <a16:creationId xmlns:a16="http://schemas.microsoft.com/office/drawing/2014/main" id="{FE5D542D-A86A-D4BD-8366-1EFF9E4EEF38}"/>
              </a:ext>
            </a:extLst>
          </xdr:cNvPr>
          <xdr:cNvSpPr/>
        </xdr:nvSpPr>
        <xdr:spPr>
          <a:xfrm>
            <a:off x="13586443" y="6903667"/>
            <a:ext cx="984550" cy="986425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7987968-A642-4DBF-B70B-05F3042C1A2F}" type="TxLink">
              <a:rPr lang="en-US" sz="2100" b="1" i="0" u="none" strike="noStrike">
                <a:solidFill>
                  <a:schemeClr val="accent5">
                    <a:lumMod val="75000"/>
                  </a:schemeClr>
                </a:solidFill>
                <a:latin typeface="Bookman Old Style" panose="02050604050505020204" pitchFamily="18" charset="0"/>
                <a:cs typeface="Calibri"/>
              </a:rPr>
              <a:pPr algn="ctr"/>
              <a:t>40%</a:t>
            </a:fld>
            <a:endParaRPr lang="fr-FR" sz="2100" b="1">
              <a:solidFill>
                <a:schemeClr val="accent5">
                  <a:lumMod val="75000"/>
                </a:schemeClr>
              </a:solidFill>
              <a:latin typeface="Bookman Old Style" panose="02050604050505020204" pitchFamily="18" charset="0"/>
            </a:endParaRPr>
          </a:p>
        </xdr:txBody>
      </xdr:sp>
      <xdr:grpSp>
        <xdr:nvGrpSpPr>
          <xdr:cNvPr id="2" name="Groupe 1">
            <a:extLst>
              <a:ext uri="{FF2B5EF4-FFF2-40B4-BE49-F238E27FC236}">
                <a16:creationId xmlns:a16="http://schemas.microsoft.com/office/drawing/2014/main" id="{CF1CE267-9E17-4A32-CEF6-53030935CD72}"/>
              </a:ext>
            </a:extLst>
          </xdr:cNvPr>
          <xdr:cNvGrpSpPr/>
        </xdr:nvGrpSpPr>
        <xdr:grpSpPr>
          <a:xfrm>
            <a:off x="12841735" y="1689866"/>
            <a:ext cx="2441808" cy="2516142"/>
            <a:chOff x="15269249" y="5978837"/>
            <a:chExt cx="2441808" cy="2516142"/>
          </a:xfrm>
        </xdr:grpSpPr>
        <xdr:grpSp>
          <xdr:nvGrpSpPr>
            <xdr:cNvPr id="48" name="Groupe 47">
              <a:extLst>
                <a:ext uri="{FF2B5EF4-FFF2-40B4-BE49-F238E27FC236}">
                  <a16:creationId xmlns:a16="http://schemas.microsoft.com/office/drawing/2014/main" id="{BF02812B-29CA-1251-9E44-4435B1E393F3}"/>
                </a:ext>
              </a:extLst>
            </xdr:cNvPr>
            <xdr:cNvGrpSpPr/>
          </xdr:nvGrpSpPr>
          <xdr:grpSpPr>
            <a:xfrm>
              <a:off x="15269249" y="6313876"/>
              <a:ext cx="2441808" cy="2181103"/>
              <a:chOff x="22934935" y="2505313"/>
              <a:chExt cx="2477765" cy="1876646"/>
            </a:xfrm>
          </xdr:grpSpPr>
          <xdr:graphicFrame macro="">
            <xdr:nvGraphicFramePr>
              <xdr:cNvPr id="31" name="Graphique 30">
                <a:extLst>
                  <a:ext uri="{FF2B5EF4-FFF2-40B4-BE49-F238E27FC236}">
                    <a16:creationId xmlns:a16="http://schemas.microsoft.com/office/drawing/2014/main" id="{0AF2D969-B2AC-4505-AD54-E118754043B9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2934935" y="2505313"/>
              <a:ext cx="2477765" cy="1876646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7"/>
              </a:graphicData>
            </a:graphic>
          </xdr:graphicFrame>
          <xdr:sp macro="" textlink="Traitement!C95">
            <xdr:nvSpPr>
              <xdr:cNvPr id="34" name="Rectangle 33">
                <a:extLst>
                  <a:ext uri="{FF2B5EF4-FFF2-40B4-BE49-F238E27FC236}">
                    <a16:creationId xmlns:a16="http://schemas.microsoft.com/office/drawing/2014/main" id="{27503ACC-18C2-22E2-79FA-5B6655EB179C}"/>
                  </a:ext>
                </a:extLst>
              </xdr:cNvPr>
              <xdr:cNvSpPr/>
            </xdr:nvSpPr>
            <xdr:spPr>
              <a:xfrm>
                <a:off x="23783471" y="3083716"/>
                <a:ext cx="889000" cy="771072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fld id="{07D61858-5E89-4FD0-A346-136E42039DDA}" type="TxLink">
                  <a:rPr lang="en-US" sz="2100" b="1" i="0" u="none" strike="noStrike">
                    <a:solidFill>
                      <a:srgbClr val="7030A0"/>
                    </a:solidFill>
                    <a:latin typeface="Bookman Old Style" panose="02050604050505020204" pitchFamily="18" charset="0"/>
                    <a:cs typeface="Calibri"/>
                  </a:rPr>
                  <a:pPr algn="ctr"/>
                  <a:t>8%</a:t>
                </a:fld>
                <a:endParaRPr lang="fr-FR" sz="2100" b="1">
                  <a:solidFill>
                    <a:srgbClr val="7030A0"/>
                  </a:solidFill>
                  <a:latin typeface="Bookman Old Style" panose="02050604050505020204" pitchFamily="18" charset="0"/>
                </a:endParaRPr>
              </a:p>
            </xdr:txBody>
          </xdr:sp>
        </xdr:grpSp>
        <xdr:sp macro="" textlink="Traitement!B95">
          <xdr:nvSpPr>
            <xdr:cNvPr id="43" name="Rectangle 42">
              <a:extLst>
                <a:ext uri="{FF2B5EF4-FFF2-40B4-BE49-F238E27FC236}">
                  <a16:creationId xmlns:a16="http://schemas.microsoft.com/office/drawing/2014/main" id="{405FFBCD-C998-9AED-CB81-EB739FF41EBD}"/>
                </a:ext>
              </a:extLst>
            </xdr:cNvPr>
            <xdr:cNvSpPr/>
          </xdr:nvSpPr>
          <xdr:spPr>
            <a:xfrm>
              <a:off x="15306540" y="5978837"/>
              <a:ext cx="1069095" cy="1007967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28896FBD-08BC-414F-A9A8-674AEEE40C55}" type="TxLink">
                <a:rPr lang="en-US" sz="1100" b="1" i="0" u="none" strike="noStrike">
                  <a:solidFill>
                    <a:srgbClr val="000000"/>
                  </a:solidFill>
                  <a:latin typeface="Bookman Old Style" panose="02050604050505020204" pitchFamily="18" charset="0"/>
                  <a:cs typeface="Calibri"/>
                </a:rPr>
                <a:pPr algn="ctr"/>
                <a:t>MoMo Pack</a:t>
              </a:fld>
              <a:endParaRPr lang="fr-FR" sz="2100" b="1">
                <a:solidFill>
                  <a:schemeClr val="accent5">
                    <a:lumMod val="75000"/>
                  </a:schemeClr>
                </a:solidFill>
                <a:latin typeface="Bookman Old Style" panose="02050604050505020204" pitchFamily="18" charset="0"/>
              </a:endParaRPr>
            </a:p>
          </xdr:txBody>
        </xdr:sp>
      </xdr:grpSp>
      <xdr:grpSp>
        <xdr:nvGrpSpPr>
          <xdr:cNvPr id="39" name="Groupe 38">
            <a:extLst>
              <a:ext uri="{FF2B5EF4-FFF2-40B4-BE49-F238E27FC236}">
                <a16:creationId xmlns:a16="http://schemas.microsoft.com/office/drawing/2014/main" id="{3954E3F9-0E5C-B98B-1544-97C9C0A85EC2}"/>
              </a:ext>
            </a:extLst>
          </xdr:cNvPr>
          <xdr:cNvGrpSpPr/>
        </xdr:nvGrpSpPr>
        <xdr:grpSpPr>
          <a:xfrm>
            <a:off x="15269249" y="4204102"/>
            <a:ext cx="2441808" cy="2131639"/>
            <a:chOff x="16951840" y="2530929"/>
            <a:chExt cx="2477765" cy="1876646"/>
          </a:xfrm>
        </xdr:grpSpPr>
        <xdr:graphicFrame macro="">
          <xdr:nvGraphicFramePr>
            <xdr:cNvPr id="29" name="Graphique 28">
              <a:extLst>
                <a:ext uri="{FF2B5EF4-FFF2-40B4-BE49-F238E27FC236}">
                  <a16:creationId xmlns:a16="http://schemas.microsoft.com/office/drawing/2014/main" id="{B3E19881-B5AF-4FB3-80AC-6F0553369295}"/>
                </a:ext>
              </a:extLst>
            </xdr:cNvPr>
            <xdr:cNvGraphicFramePr>
              <a:graphicFrameLocks/>
            </xdr:cNvGraphicFramePr>
          </xdr:nvGraphicFramePr>
          <xdr:xfrm>
            <a:off x="16951840" y="2530929"/>
            <a:ext cx="2477765" cy="187664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sp macro="" textlink="Traitement!C93">
          <xdr:nvSpPr>
            <xdr:cNvPr id="36" name="Rectangle 35">
              <a:extLst>
                <a:ext uri="{FF2B5EF4-FFF2-40B4-BE49-F238E27FC236}">
                  <a16:creationId xmlns:a16="http://schemas.microsoft.com/office/drawing/2014/main" id="{97788DBC-25F2-899D-658C-C0F0ABA74EB3}"/>
                </a:ext>
              </a:extLst>
            </xdr:cNvPr>
            <xdr:cNvSpPr/>
          </xdr:nvSpPr>
          <xdr:spPr>
            <a:xfrm>
              <a:off x="17774556" y="3083716"/>
              <a:ext cx="889000" cy="771072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A2BCDD16-244F-4C33-B64C-4C6BCA3D51B7}" type="TxLink">
                <a:rPr lang="en-US" sz="2100" b="1" i="0" u="none" strike="noStrike">
                  <a:solidFill>
                    <a:schemeClr val="accent2">
                      <a:lumMod val="60000"/>
                      <a:lumOff val="40000"/>
                    </a:schemeClr>
                  </a:solidFill>
                  <a:latin typeface="Bookman Old Style" panose="02050604050505020204" pitchFamily="18" charset="0"/>
                  <a:cs typeface="Calibri"/>
                </a:rPr>
                <a:pPr algn="ctr"/>
                <a:t>9%</a:t>
              </a:fld>
              <a:endParaRPr lang="fr-FR" sz="2100" b="1">
                <a:solidFill>
                  <a:schemeClr val="accent2">
                    <a:lumMod val="60000"/>
                    <a:lumOff val="40000"/>
                  </a:schemeClr>
                </a:solidFill>
                <a:latin typeface="Bookman Old Style" panose="02050604050505020204" pitchFamily="18" charset="0"/>
              </a:endParaRPr>
            </a:p>
          </xdr:txBody>
        </xdr:sp>
      </xdr:grpSp>
      <xdr:sp macro="" textlink="Traitement!B93">
        <xdr:nvSpPr>
          <xdr:cNvPr id="46" name="Rectangle 45">
            <a:extLst>
              <a:ext uri="{FF2B5EF4-FFF2-40B4-BE49-F238E27FC236}">
                <a16:creationId xmlns:a16="http://schemas.microsoft.com/office/drawing/2014/main" id="{8B7C136A-0503-571C-BD19-99CEC4F1748E}"/>
              </a:ext>
            </a:extLst>
          </xdr:cNvPr>
          <xdr:cNvSpPr/>
        </xdr:nvSpPr>
        <xdr:spPr>
          <a:xfrm>
            <a:off x="15240291" y="3830851"/>
            <a:ext cx="1023651" cy="97955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44431BA-5B79-4FDD-A868-66CB5FCA2766}" type="TxLink">
              <a:rPr lang="en-US" sz="1100" b="1" i="0" u="none" strike="noStrike">
                <a:solidFill>
                  <a:srgbClr val="000000"/>
                </a:solidFill>
                <a:latin typeface="Bookman Old Style" panose="02050604050505020204" pitchFamily="18" charset="0"/>
                <a:cs typeface="Calibri"/>
              </a:rPr>
              <a:pPr algn="ctr"/>
              <a:t>AquaFilter</a:t>
            </a:fld>
            <a:endParaRPr lang="fr-FR" sz="2100" b="1">
              <a:solidFill>
                <a:schemeClr val="accent5">
                  <a:lumMod val="75000"/>
                </a:schemeClr>
              </a:solidFill>
              <a:latin typeface="Bookman Old Style" panose="02050604050505020204" pitchFamily="18" charset="0"/>
            </a:endParaRPr>
          </a:p>
        </xdr:txBody>
      </xdr:sp>
      <xdr:grpSp>
        <xdr:nvGrpSpPr>
          <xdr:cNvPr id="27" name="Groupe 26">
            <a:extLst>
              <a:ext uri="{FF2B5EF4-FFF2-40B4-BE49-F238E27FC236}">
                <a16:creationId xmlns:a16="http://schemas.microsoft.com/office/drawing/2014/main" id="{D101125E-8038-3C85-3AD4-15879A5226F8}"/>
              </a:ext>
            </a:extLst>
          </xdr:cNvPr>
          <xdr:cNvGrpSpPr/>
        </xdr:nvGrpSpPr>
        <xdr:grpSpPr>
          <a:xfrm>
            <a:off x="15240291" y="1698171"/>
            <a:ext cx="2470763" cy="2496742"/>
            <a:chOff x="12180884" y="8109858"/>
            <a:chExt cx="2416856" cy="2689573"/>
          </a:xfrm>
        </xdr:grpSpPr>
        <xdr:grpSp>
          <xdr:nvGrpSpPr>
            <xdr:cNvPr id="5" name="Groupe 4">
              <a:extLst>
                <a:ext uri="{FF2B5EF4-FFF2-40B4-BE49-F238E27FC236}">
                  <a16:creationId xmlns:a16="http://schemas.microsoft.com/office/drawing/2014/main" id="{2EB8F291-0F5C-04C4-DB3E-5EB29815AFC3}"/>
                </a:ext>
              </a:extLst>
            </xdr:cNvPr>
            <xdr:cNvGrpSpPr/>
          </xdr:nvGrpSpPr>
          <xdr:grpSpPr>
            <a:xfrm>
              <a:off x="12209208" y="8457518"/>
              <a:ext cx="2388532" cy="2341913"/>
              <a:chOff x="16951838" y="2530929"/>
              <a:chExt cx="2477765" cy="1876646"/>
            </a:xfrm>
          </xdr:grpSpPr>
          <xdr:graphicFrame macro="">
            <xdr:nvGraphicFramePr>
              <xdr:cNvPr id="6" name="Graphique 5">
                <a:extLst>
                  <a:ext uri="{FF2B5EF4-FFF2-40B4-BE49-F238E27FC236}">
                    <a16:creationId xmlns:a16="http://schemas.microsoft.com/office/drawing/2014/main" id="{E1B589F8-5E82-C508-5C7F-CEF12CA24B95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16951838" y="2530929"/>
              <a:ext cx="2477765" cy="1876646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9"/>
              </a:graphicData>
            </a:graphic>
          </xdr:graphicFrame>
          <xdr:sp macro="" textlink="Traitement!C96">
            <xdr:nvSpPr>
              <xdr:cNvPr id="8" name="Rectangle 7">
                <a:extLst>
                  <a:ext uri="{FF2B5EF4-FFF2-40B4-BE49-F238E27FC236}">
                    <a16:creationId xmlns:a16="http://schemas.microsoft.com/office/drawing/2014/main" id="{8AAD7951-15C7-3259-C8F1-D16384DD22EC}"/>
                  </a:ext>
                </a:extLst>
              </xdr:cNvPr>
              <xdr:cNvSpPr/>
            </xdr:nvSpPr>
            <xdr:spPr>
              <a:xfrm>
                <a:off x="17774555" y="3083716"/>
                <a:ext cx="889000" cy="771072"/>
              </a:xfrm>
              <a:prstGeom prst="rect">
                <a:avLst/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fld id="{92F86267-32A0-4244-A616-6DD7BA9272F9}" type="TxLink">
                  <a:rPr lang="en-US" sz="2100" b="1" i="0" u="none" strike="noStrike">
                    <a:solidFill>
                      <a:srgbClr val="92D050"/>
                    </a:solidFill>
                    <a:latin typeface="Bookman Old Style" panose="02050604050505020204" pitchFamily="18" charset="0"/>
                    <a:cs typeface="Calibri"/>
                  </a:rPr>
                  <a:pPr algn="ctr"/>
                  <a:t>31%</a:t>
                </a:fld>
                <a:endParaRPr lang="fr-FR" sz="2100" b="1">
                  <a:solidFill>
                    <a:srgbClr val="92D050"/>
                  </a:solidFill>
                  <a:latin typeface="Bookman Old Style" panose="02050604050505020204" pitchFamily="18" charset="0"/>
                </a:endParaRPr>
              </a:p>
            </xdr:txBody>
          </xdr:sp>
        </xdr:grpSp>
        <xdr:sp macro="" textlink="Traitement!B96">
          <xdr:nvSpPr>
            <xdr:cNvPr id="10" name="Rectangle 9">
              <a:extLst>
                <a:ext uri="{FF2B5EF4-FFF2-40B4-BE49-F238E27FC236}">
                  <a16:creationId xmlns:a16="http://schemas.microsoft.com/office/drawing/2014/main" id="{82B81FA3-080A-A1E9-0238-578973906F78}"/>
                </a:ext>
              </a:extLst>
            </xdr:cNvPr>
            <xdr:cNvSpPr/>
          </xdr:nvSpPr>
          <xdr:spPr>
            <a:xfrm>
              <a:off x="12180884" y="8109858"/>
              <a:ext cx="1056145" cy="1051773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3221D044-1BAA-474A-A1EA-2AF697E80016}" type="TxLink">
                <a:rPr lang="en-US" sz="1200" b="1" i="0" u="none" strike="noStrike">
                  <a:solidFill>
                    <a:srgbClr val="000000"/>
                  </a:solidFill>
                  <a:latin typeface="Bookman Old Style" panose="02050604050505020204" pitchFamily="18" charset="0"/>
                  <a:cs typeface="Calibri"/>
                </a:rPr>
                <a:pPr algn="ctr"/>
                <a:t>Solaire Pro</a:t>
              </a:fld>
              <a:endParaRPr lang="fr-FR" sz="1200" b="1">
                <a:solidFill>
                  <a:schemeClr val="accent5">
                    <a:lumMod val="75000"/>
                  </a:schemeClr>
                </a:solidFill>
                <a:latin typeface="Bookman Old Style" panose="02050604050505020204" pitchFamily="18" charset="0"/>
              </a:endParaRPr>
            </a:p>
          </xdr:txBody>
        </xdr:sp>
      </xdr:grpSp>
    </xdr:grpSp>
    <xdr:clientData/>
  </xdr:twoCellAnchor>
  <xdr:twoCellAnchor editAs="oneCell">
    <xdr:from>
      <xdr:col>19</xdr:col>
      <xdr:colOff>185057</xdr:colOff>
      <xdr:row>1</xdr:row>
      <xdr:rowOff>0</xdr:rowOff>
    </xdr:from>
    <xdr:to>
      <xdr:col>30</xdr:col>
      <xdr:colOff>206829</xdr:colOff>
      <xdr:row>9</xdr:row>
      <xdr:rowOff>75771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2" name="Ville">
              <a:extLst>
                <a:ext uri="{FF2B5EF4-FFF2-40B4-BE49-F238E27FC236}">
                  <a16:creationId xmlns:a16="http://schemas.microsoft.com/office/drawing/2014/main" id="{C9D82E08-853A-4B36-AC21-3938B33E12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il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19706" y="82378"/>
              <a:ext cx="4326042" cy="14247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42</xdr:col>
      <xdr:colOff>359229</xdr:colOff>
      <xdr:row>1</xdr:row>
      <xdr:rowOff>0</xdr:rowOff>
    </xdr:from>
    <xdr:to>
      <xdr:col>48</xdr:col>
      <xdr:colOff>228601</xdr:colOff>
      <xdr:row>9</xdr:row>
      <xdr:rowOff>75771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2" name="Commercial">
              <a:extLst>
                <a:ext uri="{FF2B5EF4-FFF2-40B4-BE49-F238E27FC236}">
                  <a16:creationId xmlns:a16="http://schemas.microsoft.com/office/drawing/2014/main" id="{4B8CCCF2-B64B-4136-9D24-ED339956A6F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mmerci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93715" y="82378"/>
              <a:ext cx="2217156" cy="14247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315686</xdr:colOff>
      <xdr:row>1</xdr:row>
      <xdr:rowOff>0</xdr:rowOff>
    </xdr:from>
    <xdr:to>
      <xdr:col>36</xdr:col>
      <xdr:colOff>97973</xdr:colOff>
      <xdr:row>9</xdr:row>
      <xdr:rowOff>75771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4" name="Article">
              <a:extLst>
                <a:ext uri="{FF2B5EF4-FFF2-40B4-BE49-F238E27FC236}">
                  <a16:creationId xmlns:a16="http://schemas.microsoft.com/office/drawing/2014/main" id="{043E20F1-B1D0-4794-B708-D87509DD09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rtic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54605" y="82378"/>
              <a:ext cx="2130071" cy="14247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37</xdr:col>
      <xdr:colOff>314712</xdr:colOff>
      <xdr:row>10</xdr:row>
      <xdr:rowOff>121580</xdr:rowOff>
    </xdr:from>
    <xdr:to>
      <xdr:col>43</xdr:col>
      <xdr:colOff>290537</xdr:colOff>
      <xdr:row>11</xdr:row>
      <xdr:rowOff>166278</xdr:rowOff>
    </xdr:to>
    <xdr:sp macro="" textlink="">
      <xdr:nvSpPr>
        <xdr:cNvPr id="47" name="ZoneTexte 46">
          <a:extLst>
            <a:ext uri="{FF2B5EF4-FFF2-40B4-BE49-F238E27FC236}">
              <a16:creationId xmlns:a16="http://schemas.microsoft.com/office/drawing/2014/main" id="{9EC6FEAB-F8BE-E258-B237-4B6CD4A5270F}"/>
            </a:ext>
          </a:extLst>
        </xdr:cNvPr>
        <xdr:cNvSpPr txBox="1"/>
      </xdr:nvSpPr>
      <xdr:spPr>
        <a:xfrm>
          <a:off x="14814483" y="1580266"/>
          <a:ext cx="2327140" cy="240641"/>
        </a:xfrm>
        <a:prstGeom prst="rect">
          <a:avLst/>
        </a:prstGeom>
        <a:solidFill>
          <a:schemeClr val="accent6"/>
        </a:solidFill>
        <a:ln w="9525" cmpd="sng">
          <a:solidFill>
            <a:schemeClr val="accent6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fr-FR" sz="1100" b="1">
              <a:solidFill>
                <a:schemeClr val="bg1"/>
              </a:solidFill>
              <a:latin typeface="Bookman Old Style" panose="02050604050505020204" pitchFamily="18" charset="0"/>
            </a:rPr>
            <a:t>5 Meilleurs articles</a:t>
          </a:r>
        </a:p>
      </xdr:txBody>
    </xdr:sp>
    <xdr:clientData/>
  </xdr:twoCellAnchor>
  <xdr:twoCellAnchor editAs="oneCell">
    <xdr:from>
      <xdr:col>36</xdr:col>
      <xdr:colOff>206830</xdr:colOff>
      <xdr:row>1</xdr:row>
      <xdr:rowOff>0</xdr:rowOff>
    </xdr:from>
    <xdr:to>
      <xdr:col>42</xdr:col>
      <xdr:colOff>250372</xdr:colOff>
      <xdr:row>9</xdr:row>
      <xdr:rowOff>72081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1" name="Date de commande">
              <a:extLst>
                <a:ext uri="{FF2B5EF4-FFF2-40B4-BE49-F238E27FC236}">
                  <a16:creationId xmlns:a16="http://schemas.microsoft.com/office/drawing/2014/main" id="{5B243F81-89EF-440F-A215-574F1165E5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de comman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93533" y="82378"/>
              <a:ext cx="2391325" cy="142102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Chronologie : fonctionne dans Excel 2013 ou version ultérieure. Ne pas déplacer ou redimensionner.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51488</xdr:colOff>
      <xdr:row>1</xdr:row>
      <xdr:rowOff>0</xdr:rowOff>
    </xdr:from>
    <xdr:to>
      <xdr:col>1</xdr:col>
      <xdr:colOff>175055</xdr:colOff>
      <xdr:row>3</xdr:row>
      <xdr:rowOff>164756</xdr:rowOff>
    </xdr:to>
    <xdr:pic>
      <xdr:nvPicPr>
        <xdr:cNvPr id="53" name="Image 52">
          <a:extLst>
            <a:ext uri="{FF2B5EF4-FFF2-40B4-BE49-F238E27FC236}">
              <a16:creationId xmlns:a16="http://schemas.microsoft.com/office/drawing/2014/main" id="{9B789B7B-6B7D-40F3-E92E-C727B211C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488" y="0"/>
          <a:ext cx="514864" cy="514864"/>
        </a:xfrm>
        <a:prstGeom prst="rect">
          <a:avLst/>
        </a:prstGeom>
      </xdr:spPr>
    </xdr:pic>
    <xdr:clientData/>
  </xdr:twoCellAnchor>
  <xdr:twoCellAnchor editAs="oneCell">
    <xdr:from>
      <xdr:col>17</xdr:col>
      <xdr:colOff>82379</xdr:colOff>
      <xdr:row>6</xdr:row>
      <xdr:rowOff>68643</xdr:rowOff>
    </xdr:from>
    <xdr:to>
      <xdr:col>18</xdr:col>
      <xdr:colOff>205947</xdr:colOff>
      <xdr:row>10</xdr:row>
      <xdr:rowOff>6860</xdr:rowOff>
    </xdr:to>
    <xdr:pic>
      <xdr:nvPicPr>
        <xdr:cNvPr id="58" name="Image 57">
          <a:extLst>
            <a:ext uri="{FF2B5EF4-FFF2-40B4-BE49-F238E27FC236}">
              <a16:creationId xmlns:a16="http://schemas.microsoft.com/office/drawing/2014/main" id="{20924B93-95B0-8BAF-227D-9A57593FF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4433" y="943913"/>
          <a:ext cx="514865" cy="514865"/>
        </a:xfrm>
        <a:prstGeom prst="rect">
          <a:avLst/>
        </a:prstGeom>
      </xdr:spPr>
    </xdr:pic>
    <xdr:clientData/>
  </xdr:twoCellAnchor>
  <xdr:twoCellAnchor editAs="oneCell">
    <xdr:from>
      <xdr:col>4</xdr:col>
      <xdr:colOff>339811</xdr:colOff>
      <xdr:row>5</xdr:row>
      <xdr:rowOff>129134</xdr:rowOff>
    </xdr:from>
    <xdr:to>
      <xdr:col>6</xdr:col>
      <xdr:colOff>185351</xdr:colOff>
      <xdr:row>10</xdr:row>
      <xdr:rowOff>5567</xdr:rowOff>
    </xdr:to>
    <xdr:pic>
      <xdr:nvPicPr>
        <xdr:cNvPr id="70" name="Image 69">
          <a:extLst>
            <a:ext uri="{FF2B5EF4-FFF2-40B4-BE49-F238E27FC236}">
              <a16:creationId xmlns:a16="http://schemas.microsoft.com/office/drawing/2014/main" id="{54E14E6B-E3AA-C29B-06A3-76538F3A4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911729"/>
          <a:ext cx="628135" cy="628135"/>
        </a:xfrm>
        <a:prstGeom prst="rect">
          <a:avLst/>
        </a:prstGeom>
      </xdr:spPr>
    </xdr:pic>
    <xdr:clientData/>
  </xdr:twoCellAnchor>
  <xdr:twoCellAnchor editAs="oneCell">
    <xdr:from>
      <xdr:col>10</xdr:col>
      <xdr:colOff>308920</xdr:colOff>
      <xdr:row>5</xdr:row>
      <xdr:rowOff>154460</xdr:rowOff>
    </xdr:from>
    <xdr:to>
      <xdr:col>12</xdr:col>
      <xdr:colOff>164756</xdr:colOff>
      <xdr:row>10</xdr:row>
      <xdr:rowOff>41189</xdr:rowOff>
    </xdr:to>
    <xdr:pic>
      <xdr:nvPicPr>
        <xdr:cNvPr id="72" name="Image 71">
          <a:extLst>
            <a:ext uri="{FF2B5EF4-FFF2-40B4-BE49-F238E27FC236}">
              <a16:creationId xmlns:a16="http://schemas.microsoft.com/office/drawing/2014/main" id="{8BFAF253-2781-F4E8-5734-809806CD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1893" y="854676"/>
          <a:ext cx="638431" cy="638431"/>
        </a:xfrm>
        <a:prstGeom prst="rect">
          <a:avLst/>
        </a:prstGeom>
      </xdr:spPr>
    </xdr:pic>
    <xdr:clientData/>
  </xdr:twoCellAnchor>
  <xdr:twoCellAnchor editAs="oneCell">
    <xdr:from>
      <xdr:col>17</xdr:col>
      <xdr:colOff>175054</xdr:colOff>
      <xdr:row>0</xdr:row>
      <xdr:rowOff>0</xdr:rowOff>
    </xdr:from>
    <xdr:to>
      <xdr:col>19</xdr:col>
      <xdr:colOff>51487</xdr:colOff>
      <xdr:row>4</xdr:row>
      <xdr:rowOff>51487</xdr:rowOff>
    </xdr:to>
    <xdr:pic>
      <xdr:nvPicPr>
        <xdr:cNvPr id="76" name="Image 75">
          <a:extLst>
            <a:ext uri="{FF2B5EF4-FFF2-40B4-BE49-F238E27FC236}">
              <a16:creationId xmlns:a16="http://schemas.microsoft.com/office/drawing/2014/main" id="{5400105B-1C80-436C-B4BA-DBE9907E1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27108" y="0"/>
          <a:ext cx="659028" cy="65902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097.14487384259" createdVersion="8" refreshedVersion="8" minRefreshableVersion="3" recordCount="2000" xr:uid="{BACE96A4-F8FB-4F2B-A1D7-7C9A66959E97}">
  <cacheSource type="worksheet">
    <worksheetSource name="Tableau1"/>
  </cacheSource>
  <cacheFields count="12">
    <cacheField name="Commercial" numFmtId="0">
      <sharedItems count="5">
        <s v="Aïcha Kouyaté"/>
        <s v="Amara Diallo"/>
        <s v="Fatima Ndiaye"/>
        <s v="Ibrahim Traoré"/>
        <s v="Kofi Mensah"/>
      </sharedItems>
    </cacheField>
    <cacheField name="Ville" numFmtId="0">
      <sharedItems/>
    </cacheField>
    <cacheField name="Région" numFmtId="0">
      <sharedItems/>
    </cacheField>
    <cacheField name="Client" numFmtId="0">
      <sharedItems count="225">
        <s v="Awa Cissé"/>
        <s v="Zainab Cissé"/>
        <s v="Mariama Dembélé"/>
        <s v="Chioma Nwosu"/>
        <s v="Mariama Cissé"/>
        <s v="Emeka Nwosu"/>
        <s v="Moussa Keïta"/>
        <s v="Chidi Keïta"/>
        <s v="Emeka Mensah"/>
        <s v="Oumar Nwosu"/>
        <s v="Kwame Bah"/>
        <s v="Chidi Mensah"/>
        <s v="Emeka Asante"/>
        <s v="Seydou Okonkwo"/>
        <s v="Awa Dembélé"/>
        <s v="Kwame Touré"/>
        <s v="Chioma Bah"/>
        <s v="Awa Coulibaly"/>
        <s v="Adama Diop"/>
        <s v="Mariama Asante"/>
        <s v="Emeka Touré"/>
        <s v="Oumar Mensah"/>
        <s v="Ngozi Diop"/>
        <s v="Zainab Coulibaly"/>
        <s v="Mariama Bah"/>
        <s v="Awa Okonkwo"/>
        <s v="Chidi Touré"/>
        <s v="Chidi Coulibaly"/>
        <s v="Kadiatou Diop"/>
        <s v="Adama Bah"/>
        <s v="Seydou Touré"/>
        <s v="Yaw Kamara"/>
        <s v="Yaw Okonkwo"/>
        <s v="Awa Kamara"/>
        <s v="Moussa Coulibaly"/>
        <s v="Kwame Coulibaly"/>
        <s v="Ngozi Abubakar"/>
        <s v="Seydou Dembélé"/>
        <s v="Kwame Diop"/>
        <s v="Adama Nwosu"/>
        <s v="Emeka Keïta"/>
        <s v="Yaw Diop"/>
        <s v="Mariama Keïta"/>
        <s v="Mariama Ekwueme"/>
        <s v="Aminata Keïta"/>
        <s v="Kadiatou Cissé"/>
        <s v="Adama Mensah"/>
        <s v="Mariama Mensah"/>
        <s v="Yaw Touré"/>
        <s v="Chioma Abubakar"/>
        <s v="Awa Asante"/>
        <s v="Chidi Kamara"/>
        <s v="Ngozi Kamara"/>
        <s v="Seydou Bah"/>
        <s v="Awa Ekwueme"/>
        <s v="Ngozi Dembélé"/>
        <s v="Kadiatou Ekwueme"/>
        <s v="Yaw Ekwueme"/>
        <s v="Chioma Asante"/>
        <s v="Chioma Mensah"/>
        <s v="Emeka Okonkwo"/>
        <s v="Adama Ekwueme"/>
        <s v="Aminata Bah"/>
        <s v="Zainab Dembélé"/>
        <s v="Yaw Coulibaly"/>
        <s v="Ngozi Bah"/>
        <s v="Chidi Bah"/>
        <s v="Kadiatou Coulibaly"/>
        <s v="Mariama Touré"/>
        <s v="Oumar Okonkwo"/>
        <s v="Oumar Kamara"/>
        <s v="Moussa Nwosu"/>
        <s v="Awa Diop"/>
        <s v="Aminata Mensah"/>
        <s v="Moussa Cissé"/>
        <s v="Mariama Abubakar"/>
        <s v="Chioma Diop"/>
        <s v="Yaw Keïta"/>
        <s v="Adama Abubakar"/>
        <s v="Oumar Ekwueme"/>
        <s v="Kadiatou Keïta"/>
        <s v="Chioma Coulibaly"/>
        <s v="Emeka Bah"/>
        <s v="Emeka Coulibaly"/>
        <s v="Kwame Dembélé"/>
        <s v="Aminata Cissé"/>
        <s v="Kadiatou Kamara"/>
        <s v="Moussa Mensah"/>
        <s v="Kadiatou Asante"/>
        <s v="Oumar Bah"/>
        <s v="Yaw Asante"/>
        <s v="Chidi Okonkwo"/>
        <s v="Kwame Mensah"/>
        <s v="Seydou Diop"/>
        <s v="Mariama Sawadogo"/>
        <s v="Yaw Abubakar"/>
        <s v="Oumar Asante"/>
        <s v="Adama Keïta"/>
        <s v="Ngozi Asante"/>
        <s v="Aminata Diop"/>
        <s v="Aminata Okonkwo"/>
        <s v="Yaw Dembélé"/>
        <s v="Chidi Sawadogo"/>
        <s v="Emeka Cissé"/>
        <s v="Adama Dembélé"/>
        <s v="Aminata Sawadogo"/>
        <s v="Moussa Abubakar"/>
        <s v="Moussa Diop"/>
        <s v="Mariama Nwosu"/>
        <s v="Seydou Coulibaly"/>
        <s v="Zainab Touré"/>
        <s v="Awa Keïta"/>
        <s v="Chioma Cissé"/>
        <s v="Chidi Cissé"/>
        <s v="Kwame Ekwueme"/>
        <s v="Kwame Sawadogo"/>
        <s v="Aminata Asante"/>
        <s v="Moussa Okonkwo"/>
        <s v="Zainab Keïta"/>
        <s v="Mariama Coulibaly"/>
        <s v="Moussa Asante"/>
        <s v="Moussa Sawadogo"/>
        <s v="Kadiatou Dembélé"/>
        <s v="Oumar Abubakar"/>
        <s v="Zainab Sawadogo"/>
        <s v="Ngozi Touré"/>
        <s v="Seydou Cissé"/>
        <s v="Kadiatou Touré"/>
        <s v="Zainab Mensah"/>
        <s v="Chioma Sawadogo"/>
        <s v="Chidi Ekwueme"/>
        <s v="Aminata Touré"/>
        <s v="Kadiatou Sawadogo"/>
        <s v="Yaw Cissé"/>
        <s v="Awa Touré"/>
        <s v="Kwame Keïta"/>
        <s v="Seydou Asante"/>
        <s v="Kadiatou Mensah"/>
        <s v="Chidi Diop"/>
        <s v="Ngozi Nwosu"/>
        <s v="Moussa Ekwueme"/>
        <s v="Seydou Kamara"/>
        <s v="Kwame Cissé"/>
        <s v="Chioma Touré"/>
        <s v="Kadiatou Nwosu"/>
        <s v="Aminata Nwosu"/>
        <s v="Adama Sawadogo"/>
        <s v="Zainab Asante"/>
        <s v="Chidi Asante"/>
        <s v="Chidi Nwosu"/>
        <s v="Ngozi Cissé"/>
        <s v="Aminata Dembélé"/>
        <s v="Seydou Sawadogo"/>
        <s v="Yaw Bah"/>
        <s v="Adama Cissé"/>
        <s v="Aminata Abubakar"/>
        <s v="Awa Bah"/>
        <s v="Kwame Kamara"/>
        <s v="Oumar Sawadogo"/>
        <s v="Aminata Kamara"/>
        <s v="Emeka Dembélé"/>
        <s v="Ngozi Coulibaly"/>
        <s v="Emeka Abubakar"/>
        <s v="Zainab Nwosu"/>
        <s v="Kwame Asante"/>
        <s v="Chioma Dembélé"/>
        <s v="Zainab Okonkwo"/>
        <s v="Awa Mensah"/>
        <s v="Awa Abubakar"/>
        <s v="Seydou Keïta"/>
        <s v="Awa Nwosu"/>
        <s v="Kadiatou Abubakar"/>
        <s v="Chidi Dembélé"/>
        <s v="Ngozi Ekwueme"/>
        <s v="Oumar Dembélé"/>
        <s v="Ngozi Mensah"/>
        <s v="Emeka Sawadogo"/>
        <s v="Emeka Kamara"/>
        <s v="Oumar Touré"/>
        <s v="Yaw Mensah"/>
        <s v="Seydou Nwosu"/>
        <s v="Emeka Diop"/>
        <s v="Oumar Keïta"/>
        <s v="Adama Touré"/>
        <s v="Moussa Kamara"/>
        <s v="Emeka Ekwueme"/>
        <s v="Mariama Okonkwo"/>
        <s v="Zainab Abubakar"/>
        <s v="Kadiatou Okonkwo"/>
        <s v="Moussa Touré"/>
        <s v="Chioma Ekwueme"/>
        <s v="Mariama Diop"/>
        <s v="Adama Asante"/>
        <s v="Chioma Keïta"/>
        <s v="Adama Okonkwo"/>
        <s v="Adama Kamara"/>
        <s v="Yaw Sawadogo"/>
        <s v="Kadiatou Bah"/>
        <s v="Zainab Ekwueme"/>
        <s v="Kwame Abubakar"/>
        <s v="Oumar Coulibaly"/>
        <s v="Adama Coulibaly"/>
        <s v="Zainab Diop"/>
        <s v="Zainab Bah"/>
        <s v="Kwame Nwosu"/>
        <s v="Zainab Kamara"/>
        <s v="Chioma Okonkwo"/>
        <s v="Yaw Nwosu"/>
        <s v="Seydou Abubakar"/>
        <s v="Chidi Abubakar"/>
        <s v="Ngozi Sawadogo"/>
        <s v="Kwame Okonkwo"/>
        <s v="Seydou Ekwueme"/>
        <s v="Awa Sawadogo"/>
        <s v="Mariama Kamara"/>
        <s v="Oumar Diop"/>
        <s v="Oumar Cissé"/>
        <s v="Moussa Bah"/>
        <s v="Chioma Kamara"/>
        <s v="Moussa Dembélé"/>
        <s v="Ngozi Okonkwo"/>
        <s v="Aminata Ekwueme"/>
        <s v="Seydou Mensah"/>
        <s v="Ngozi Keïta"/>
        <s v="Aminata Coulibaly"/>
      </sharedItems>
    </cacheField>
    <cacheField name="Date de commande" numFmtId="14">
      <sharedItems containsSemiMixedTypes="0" containsNonDate="0" containsDate="1" containsString="0" minDate="2025-01-01T00:00:00" maxDate="2026-01-01T00:00:00" count="365">
        <d v="2025-10-18T00:00:00"/>
        <d v="2025-10-08T00:00:00"/>
        <d v="2025-08-15T00:00:00"/>
        <d v="2025-05-21T00:00:00"/>
        <d v="2025-02-23T00:00:00"/>
        <d v="2025-01-24T00:00:00"/>
        <d v="2025-09-26T00:00:00"/>
        <d v="2025-02-24T00:00:00"/>
        <d v="2025-09-28T00:00:00"/>
        <d v="2025-12-25T00:00:00"/>
        <d v="2025-09-04T00:00:00"/>
        <d v="2025-04-27T00:00:00"/>
        <d v="2025-09-23T00:00:00"/>
        <d v="2025-08-27T00:00:00"/>
        <d v="2025-09-25T00:00:00"/>
        <d v="2025-04-04T00:00:00"/>
        <d v="2025-01-08T00:00:00"/>
        <d v="2025-01-19T00:00:00"/>
        <d v="2025-04-15T00:00:00"/>
        <d v="2025-09-16T00:00:00"/>
        <d v="2025-10-29T00:00:00"/>
        <d v="2025-06-03T00:00:00"/>
        <d v="2025-02-20T00:00:00"/>
        <d v="2025-10-27T00:00:00"/>
        <d v="2025-09-18T00:00:00"/>
        <d v="2025-09-29T00:00:00"/>
        <d v="2025-12-05T00:00:00"/>
        <d v="2025-04-18T00:00:00"/>
        <d v="2025-02-01T00:00:00"/>
        <d v="2025-12-15T00:00:00"/>
        <d v="2025-11-11T00:00:00"/>
        <d v="2025-02-15T00:00:00"/>
        <d v="2025-03-06T00:00:00"/>
        <d v="2025-12-02T00:00:00"/>
        <d v="2025-02-27T00:00:00"/>
        <d v="2025-10-17T00:00:00"/>
        <d v="2025-07-30T00:00:00"/>
        <d v="2025-10-30T00:00:00"/>
        <d v="2025-09-09T00:00:00"/>
        <d v="2025-04-07T00:00:00"/>
        <d v="2025-03-08T00:00:00"/>
        <d v="2025-08-21T00:00:00"/>
        <d v="2025-05-11T00:00:00"/>
        <d v="2025-07-13T00:00:00"/>
        <d v="2025-07-16T00:00:00"/>
        <d v="2025-10-04T00:00:00"/>
        <d v="2025-11-03T00:00:00"/>
        <d v="2025-04-02T00:00:00"/>
        <d v="2025-09-10T00:00:00"/>
        <d v="2025-11-27T00:00:00"/>
        <d v="2025-06-14T00:00:00"/>
        <d v="2025-06-08T00:00:00"/>
        <d v="2025-11-07T00:00:00"/>
        <d v="2025-07-22T00:00:00"/>
        <d v="2025-02-22T00:00:00"/>
        <d v="2025-01-29T00:00:00"/>
        <d v="2025-07-19T00:00:00"/>
        <d v="2025-03-09T00:00:00"/>
        <d v="2025-09-02T00:00:00"/>
        <d v="2025-10-06T00:00:00"/>
        <d v="2025-06-11T00:00:00"/>
        <d v="2025-06-16T00:00:00"/>
        <d v="2025-02-25T00:00:00"/>
        <d v="2025-11-19T00:00:00"/>
        <d v="2025-01-09T00:00:00"/>
        <d v="2025-03-04T00:00:00"/>
        <d v="2025-07-20T00:00:00"/>
        <d v="2025-10-31T00:00:00"/>
        <d v="2025-07-14T00:00:00"/>
        <d v="2025-11-04T00:00:00"/>
        <d v="2025-11-10T00:00:00"/>
        <d v="2025-03-22T00:00:00"/>
        <d v="2025-03-21T00:00:00"/>
        <d v="2025-05-12T00:00:00"/>
        <d v="2025-06-20T00:00:00"/>
        <d v="2025-11-29T00:00:00"/>
        <d v="2025-12-12T00:00:00"/>
        <d v="2025-08-20T00:00:00"/>
        <d v="2025-11-05T00:00:00"/>
        <d v="2025-10-09T00:00:00"/>
        <d v="2025-07-25T00:00:00"/>
        <d v="2025-12-26T00:00:00"/>
        <d v="2025-09-24T00:00:00"/>
        <d v="2025-11-15T00:00:00"/>
        <d v="2025-12-18T00:00:00"/>
        <d v="2025-12-22T00:00:00"/>
        <d v="2025-03-17T00:00:00"/>
        <d v="2025-12-14T00:00:00"/>
        <d v="2025-01-21T00:00:00"/>
        <d v="2025-12-27T00:00:00"/>
        <d v="2025-09-05T00:00:00"/>
        <d v="2025-07-21T00:00:00"/>
        <d v="2025-04-22T00:00:00"/>
        <d v="2025-09-22T00:00:00"/>
        <d v="2025-03-03T00:00:00"/>
        <d v="2025-08-06T00:00:00"/>
        <d v="2025-07-10T00:00:00"/>
        <d v="2025-05-28T00:00:00"/>
        <d v="2025-09-27T00:00:00"/>
        <d v="2025-11-22T00:00:00"/>
        <d v="2025-11-16T00:00:00"/>
        <d v="2025-03-24T00:00:00"/>
        <d v="2025-09-30T00:00:00"/>
        <d v="2025-12-09T00:00:00"/>
        <d v="2025-08-13T00:00:00"/>
        <d v="2025-01-02T00:00:00"/>
        <d v="2025-03-12T00:00:00"/>
        <d v="2025-02-10T00:00:00"/>
        <d v="2025-04-23T00:00:00"/>
        <d v="2025-08-03T00:00:00"/>
        <d v="2025-01-03T00:00:00"/>
        <d v="2025-02-05T00:00:00"/>
        <d v="2025-04-08T00:00:00"/>
        <d v="2025-02-02T00:00:00"/>
        <d v="2025-10-01T00:00:00"/>
        <d v="2025-04-16T00:00:00"/>
        <d v="2025-12-11T00:00:00"/>
        <d v="2025-06-26T00:00:00"/>
        <d v="2025-06-05T00:00:00"/>
        <d v="2025-04-13T00:00:00"/>
        <d v="2025-05-23T00:00:00"/>
        <d v="2025-05-02T00:00:00"/>
        <d v="2025-05-24T00:00:00"/>
        <d v="2025-07-24T00:00:00"/>
        <d v="2025-05-10T00:00:00"/>
        <d v="2025-11-12T00:00:00"/>
        <d v="2025-04-25T00:00:00"/>
        <d v="2025-01-30T00:00:00"/>
        <d v="2025-04-11T00:00:00"/>
        <d v="2025-11-25T00:00:00"/>
        <d v="2025-06-06T00:00:00"/>
        <d v="2025-01-01T00:00:00"/>
        <d v="2025-06-10T00:00:00"/>
        <d v="2025-01-31T00:00:00"/>
        <d v="2025-08-01T00:00:00"/>
        <d v="2025-02-11T00:00:00"/>
        <d v="2025-07-05T00:00:00"/>
        <d v="2025-11-08T00:00:00"/>
        <d v="2025-04-29T00:00:00"/>
        <d v="2025-06-12T00:00:00"/>
        <d v="2025-06-29T00:00:00"/>
        <d v="2025-05-25T00:00:00"/>
        <d v="2025-01-27T00:00:00"/>
        <d v="2025-06-15T00:00:00"/>
        <d v="2025-03-02T00:00:00"/>
        <d v="2025-08-31T00:00:00"/>
        <d v="2025-01-12T00:00:00"/>
        <d v="2025-08-04T00:00:00"/>
        <d v="2025-04-24T00:00:00"/>
        <d v="2025-06-25T00:00:00"/>
        <d v="2025-10-03T00:00:00"/>
        <d v="2025-02-14T00:00:00"/>
        <d v="2025-05-29T00:00:00"/>
        <d v="2025-01-06T00:00:00"/>
        <d v="2025-07-18T00:00:00"/>
        <d v="2025-10-22T00:00:00"/>
        <d v="2025-06-27T00:00:00"/>
        <d v="2025-07-02T00:00:00"/>
        <d v="2025-08-22T00:00:00"/>
        <d v="2025-02-18T00:00:00"/>
        <d v="2025-03-19T00:00:00"/>
        <d v="2025-06-22T00:00:00"/>
        <d v="2025-01-05T00:00:00"/>
        <d v="2025-05-14T00:00:00"/>
        <d v="2025-05-16T00:00:00"/>
        <d v="2025-09-13T00:00:00"/>
        <d v="2025-05-13T00:00:00"/>
        <d v="2025-05-04T00:00:00"/>
        <d v="2025-05-19T00:00:00"/>
        <d v="2025-11-02T00:00:00"/>
        <d v="2025-04-19T00:00:00"/>
        <d v="2025-08-05T00:00:00"/>
        <d v="2025-12-19T00:00:00"/>
        <d v="2025-12-24T00:00:00"/>
        <d v="2025-04-14T00:00:00"/>
        <d v="2025-06-17T00:00:00"/>
        <d v="2025-02-21T00:00:00"/>
        <d v="2025-07-07T00:00:00"/>
        <d v="2025-08-23T00:00:00"/>
        <d v="2025-05-30T00:00:00"/>
        <d v="2025-12-10T00:00:00"/>
        <d v="2025-03-16T00:00:00"/>
        <d v="2025-10-12T00:00:00"/>
        <d v="2025-10-21T00:00:00"/>
        <d v="2025-07-28T00:00:00"/>
        <d v="2025-05-20T00:00:00"/>
        <d v="2025-11-26T00:00:00"/>
        <d v="2025-05-05T00:00:00"/>
        <d v="2025-04-20T00:00:00"/>
        <d v="2025-11-13T00:00:00"/>
        <d v="2025-01-10T00:00:00"/>
        <d v="2025-01-20T00:00:00"/>
        <d v="2025-12-13T00:00:00"/>
        <d v="2025-12-17T00:00:00"/>
        <d v="2025-03-10T00:00:00"/>
        <d v="2025-11-28T00:00:00"/>
        <d v="2025-11-24T00:00:00"/>
        <d v="2025-01-26T00:00:00"/>
        <d v="2025-04-10T00:00:00"/>
        <d v="2025-09-03T00:00:00"/>
        <d v="2025-09-06T00:00:00"/>
        <d v="2025-12-07T00:00:00"/>
        <d v="2025-10-15T00:00:00"/>
        <d v="2025-07-08T00:00:00"/>
        <d v="2025-10-26T00:00:00"/>
        <d v="2025-02-12T00:00:00"/>
        <d v="2025-01-17T00:00:00"/>
        <d v="2025-04-30T00:00:00"/>
        <d v="2025-03-20T00:00:00"/>
        <d v="2025-02-16T00:00:00"/>
        <d v="2025-08-17T00:00:00"/>
        <d v="2025-05-15T00:00:00"/>
        <d v="2025-11-14T00:00:00"/>
        <d v="2025-08-26T00:00:00"/>
        <d v="2025-01-13T00:00:00"/>
        <d v="2025-05-08T00:00:00"/>
        <d v="2025-10-02T00:00:00"/>
        <d v="2025-09-14T00:00:00"/>
        <d v="2025-12-29T00:00:00"/>
        <d v="2025-10-13T00:00:00"/>
        <d v="2025-06-28T00:00:00"/>
        <d v="2025-03-23T00:00:00"/>
        <d v="2025-01-16T00:00:00"/>
        <d v="2025-07-01T00:00:00"/>
        <d v="2025-01-04T00:00:00"/>
        <d v="2025-10-24T00:00:00"/>
        <d v="2025-11-20T00:00:00"/>
        <d v="2025-10-05T00:00:00"/>
        <d v="2025-05-31T00:00:00"/>
        <d v="2025-08-07T00:00:00"/>
        <d v="2025-11-06T00:00:00"/>
        <d v="2025-05-07T00:00:00"/>
        <d v="2025-09-20T00:00:00"/>
        <d v="2025-05-22T00:00:00"/>
        <d v="2025-02-19T00:00:00"/>
        <d v="2025-08-08T00:00:00"/>
        <d v="2025-02-07T00:00:00"/>
        <d v="2025-02-13T00:00:00"/>
        <d v="2025-08-16T00:00:00"/>
        <d v="2025-06-13T00:00:00"/>
        <d v="2025-05-26T00:00:00"/>
        <d v="2025-11-18T00:00:00"/>
        <d v="2025-06-18T00:00:00"/>
        <d v="2025-03-30T00:00:00"/>
        <d v="2025-07-06T00:00:00"/>
        <d v="2025-03-26T00:00:00"/>
        <d v="2025-03-18T00:00:00"/>
        <d v="2025-02-09T00:00:00"/>
        <d v="2025-01-07T00:00:00"/>
        <d v="2025-08-18T00:00:00"/>
        <d v="2025-01-11T00:00:00"/>
        <d v="2025-09-19T00:00:00"/>
        <d v="2025-10-14T00:00:00"/>
        <d v="2025-04-05T00:00:00"/>
        <d v="2025-03-11T00:00:00"/>
        <d v="2025-12-04T00:00:00"/>
        <d v="2025-03-15T00:00:00"/>
        <d v="2025-07-29T00:00:00"/>
        <d v="2025-10-23T00:00:00"/>
        <d v="2025-08-29T00:00:00"/>
        <d v="2025-06-01T00:00:00"/>
        <d v="2025-04-12T00:00:00"/>
        <d v="2025-01-22T00:00:00"/>
        <d v="2025-11-01T00:00:00"/>
        <d v="2025-08-30T00:00:00"/>
        <d v="2025-07-15T00:00:00"/>
        <d v="2025-02-04T00:00:00"/>
        <d v="2025-04-26T00:00:00"/>
        <d v="2025-07-12T00:00:00"/>
        <d v="2025-11-21T00:00:00"/>
        <d v="2025-10-11T00:00:00"/>
        <d v="2025-04-28T00:00:00"/>
        <d v="2025-02-28T00:00:00"/>
        <d v="2025-01-25T00:00:00"/>
        <d v="2025-04-03T00:00:00"/>
        <d v="2025-06-23T00:00:00"/>
        <d v="2025-09-01T00:00:00"/>
        <d v="2025-07-09T00:00:00"/>
        <d v="2025-02-17T00:00:00"/>
        <d v="2025-03-14T00:00:00"/>
        <d v="2025-05-06T00:00:00"/>
        <d v="2025-08-12T00:00:00"/>
        <d v="2025-12-03T00:00:00"/>
        <d v="2025-10-20T00:00:00"/>
        <d v="2025-03-05T00:00:00"/>
        <d v="2025-03-25T00:00:00"/>
        <d v="2025-08-10T00:00:00"/>
        <d v="2025-02-08T00:00:00"/>
        <d v="2025-04-17T00:00:00"/>
        <d v="2025-09-08T00:00:00"/>
        <d v="2025-07-31T00:00:00"/>
        <d v="2025-03-31T00:00:00"/>
        <d v="2025-06-21T00:00:00"/>
        <d v="2025-06-04T00:00:00"/>
        <d v="2025-10-28T00:00:00"/>
        <d v="2025-08-02T00:00:00"/>
        <d v="2025-03-07T00:00:00"/>
        <d v="2025-07-04T00:00:00"/>
        <d v="2025-06-07T00:00:00"/>
        <d v="2025-08-28T00:00:00"/>
        <d v="2025-01-28T00:00:00"/>
        <d v="2025-03-01T00:00:00"/>
        <d v="2025-09-07T00:00:00"/>
        <d v="2025-06-24T00:00:00"/>
        <d v="2025-07-03T00:00:00"/>
        <d v="2025-07-11T00:00:00"/>
        <d v="2025-12-16T00:00:00"/>
        <d v="2025-09-11T00:00:00"/>
        <d v="2025-09-17T00:00:00"/>
        <d v="2025-05-27T00:00:00"/>
        <d v="2025-11-23T00:00:00"/>
        <d v="2025-05-03T00:00:00"/>
        <d v="2025-03-13T00:00:00"/>
        <d v="2025-12-31T00:00:00"/>
        <d v="2025-12-30T00:00:00"/>
        <d v="2025-08-24T00:00:00"/>
        <d v="2025-04-21T00:00:00"/>
        <d v="2025-06-02T00:00:00"/>
        <d v="2025-01-14T00:00:00"/>
        <d v="2025-08-14T00:00:00"/>
        <d v="2025-05-17T00:00:00"/>
        <d v="2025-10-10T00:00:00"/>
        <d v="2025-04-09T00:00:00"/>
        <d v="2025-03-28T00:00:00"/>
        <d v="2025-02-03T00:00:00"/>
        <d v="2025-11-17T00:00:00"/>
        <d v="2025-10-25T00:00:00"/>
        <d v="2025-02-26T00:00:00"/>
        <d v="2025-10-16T00:00:00"/>
        <d v="2025-04-01T00:00:00"/>
        <d v="2025-12-01T00:00:00"/>
        <d v="2025-03-27T00:00:00"/>
        <d v="2025-11-30T00:00:00"/>
        <d v="2025-08-11T00:00:00"/>
        <d v="2025-09-15T00:00:00"/>
        <d v="2025-07-23T00:00:00"/>
        <d v="2025-12-28T00:00:00"/>
        <d v="2025-05-18T00:00:00"/>
        <d v="2025-12-20T00:00:00"/>
        <d v="2025-11-09T00:00:00"/>
        <d v="2025-07-17T00:00:00"/>
        <d v="2025-07-27T00:00:00"/>
        <d v="2025-08-19T00:00:00"/>
        <d v="2025-12-08T00:00:00"/>
        <d v="2025-12-23T00:00:00"/>
        <d v="2025-09-12T00:00:00"/>
        <d v="2025-08-25T00:00:00"/>
        <d v="2025-12-21T00:00:00"/>
        <d v="2025-04-06T00:00:00"/>
        <d v="2025-06-30T00:00:00"/>
        <d v="2025-12-06T00:00:00"/>
        <d v="2025-10-19T00:00:00"/>
        <d v="2025-05-09T00:00:00"/>
        <d v="2025-07-26T00:00:00"/>
        <d v="2025-05-01T00:00:00"/>
        <d v="2025-03-29T00:00:00"/>
        <d v="2025-01-15T00:00:00"/>
        <d v="2025-06-19T00:00:00"/>
        <d v="2025-01-23T00:00:00"/>
        <d v="2025-01-18T00:00:00"/>
        <d v="2025-09-21T00:00:00"/>
        <d v="2025-02-06T00:00:00"/>
        <d v="2025-10-07T00:00:00" u="1"/>
        <d v="2025-06-09T00:00:00" u="1"/>
        <d v="2025-08-09T00:00:00" u="1"/>
      </sharedItems>
      <fieldGroup par="11"/>
    </cacheField>
    <cacheField name="Article" numFmtId="0">
      <sharedItems count="5">
        <s v="AgriKit"/>
        <s v="MoMo Pack"/>
        <s v="Solaire Pro"/>
        <s v="EduTablet"/>
        <s v="AquaFilter"/>
      </sharedItems>
    </cacheField>
    <cacheField name="Quantité" numFmtId="0">
      <sharedItems containsSemiMixedTypes="0" containsString="0" containsNumber="1" containsInteger="1" minValue="1" maxValue="10"/>
    </cacheField>
    <cacheField name="Prix" numFmtId="3">
      <sharedItems containsSemiMixedTypes="0" containsString="0" containsNumber="1" containsInteger="1" minValue="12500" maxValue="55000"/>
    </cacheField>
    <cacheField name="Chiffre d'affaires" numFmtId="3">
      <sharedItems containsSemiMixedTypes="0" containsString="0" containsNumber="1" containsInteger="1" minValue="11375" maxValue="596995"/>
    </cacheField>
    <cacheField name="Bénéfice" numFmtId="3">
      <sharedItems containsSemiMixedTypes="0" containsString="0" containsNumber="1" containsInteger="1" minValue="910" maxValue="131339"/>
    </cacheField>
    <cacheField name="Jours (Date de commande)" numFmtId="0" databaseField="0">
      <fieldGroup base="4">
        <rangePr groupBy="days" startDate="2025-01-01T00:00:00" endDate="2026-01-01T00:00:00"/>
        <groupItems count="368">
          <s v="&lt;01/01/2025"/>
          <s v="01-janv"/>
          <s v="02-janv"/>
          <s v="03-janv"/>
          <s v="04-janv"/>
          <s v="05-janv"/>
          <s v="06-janv"/>
          <s v="07-janv"/>
          <s v="08-janv"/>
          <s v="09-janv"/>
          <s v="10-janv"/>
          <s v="11-janv"/>
          <s v="12-janv"/>
          <s v="13-janv"/>
          <s v="14-janv"/>
          <s v="15-janv"/>
          <s v="16-janv"/>
          <s v="17-janv"/>
          <s v="18-janv"/>
          <s v="19-janv"/>
          <s v="20-janv"/>
          <s v="21-janv"/>
          <s v="22-janv"/>
          <s v="23-janv"/>
          <s v="24-janv"/>
          <s v="25-janv"/>
          <s v="26-janv"/>
          <s v="27-janv"/>
          <s v="28-janv"/>
          <s v="29-janv"/>
          <s v="30-janv"/>
          <s v="31-janv"/>
          <s v="01-févr"/>
          <s v="02-févr"/>
          <s v="03-févr"/>
          <s v="04-févr"/>
          <s v="05-févr"/>
          <s v="06-févr"/>
          <s v="07-févr"/>
          <s v="08-févr"/>
          <s v="09-févr"/>
          <s v="10-févr"/>
          <s v="11-févr"/>
          <s v="12-févr"/>
          <s v="13-févr"/>
          <s v="14-févr"/>
          <s v="15-févr"/>
          <s v="16-févr"/>
          <s v="17-févr"/>
          <s v="18-févr"/>
          <s v="19-févr"/>
          <s v="20-févr"/>
          <s v="21-févr"/>
          <s v="22-févr"/>
          <s v="23-févr"/>
          <s v="24-févr"/>
          <s v="25-févr"/>
          <s v="26-févr"/>
          <s v="27-févr"/>
          <s v="28-févr"/>
          <s v="29-févr"/>
          <s v="01-mars"/>
          <s v="02-mars"/>
          <s v="03-mars"/>
          <s v="04-mars"/>
          <s v="05-mars"/>
          <s v="06-mars"/>
          <s v="07-mars"/>
          <s v="08-mars"/>
          <s v="09-mars"/>
          <s v="10-mars"/>
          <s v="11-mars"/>
          <s v="12-mars"/>
          <s v="13-mars"/>
          <s v="14-mars"/>
          <s v="15-mars"/>
          <s v="16-mars"/>
          <s v="17-mars"/>
          <s v="18-mars"/>
          <s v="19-mars"/>
          <s v="20-mars"/>
          <s v="21-mars"/>
          <s v="22-mars"/>
          <s v="23-mars"/>
          <s v="24-mars"/>
          <s v="25-mars"/>
          <s v="26-mars"/>
          <s v="27-mars"/>
          <s v="28-mars"/>
          <s v="29-mars"/>
          <s v="30-mars"/>
          <s v="31-mars"/>
          <s v="01-avr"/>
          <s v="02-avr"/>
          <s v="03-avr"/>
          <s v="04-avr"/>
          <s v="05-avr"/>
          <s v="06-avr"/>
          <s v="07-avr"/>
          <s v="08-avr"/>
          <s v="09-avr"/>
          <s v="10-avr"/>
          <s v="11-avr"/>
          <s v="12-avr"/>
          <s v="13-avr"/>
          <s v="14-avr"/>
          <s v="15-avr"/>
          <s v="16-avr"/>
          <s v="17-avr"/>
          <s v="18-avr"/>
          <s v="19-avr"/>
          <s v="20-avr"/>
          <s v="21-avr"/>
          <s v="22-avr"/>
          <s v="23-avr"/>
          <s v="24-avr"/>
          <s v="25-avr"/>
          <s v="26-avr"/>
          <s v="27-avr"/>
          <s v="28-avr"/>
          <s v="29-avr"/>
          <s v="30-avr"/>
          <s v="01-mai"/>
          <s v="02-mai"/>
          <s v="03-mai"/>
          <s v="04-mai"/>
          <s v="05-mai"/>
          <s v="06-mai"/>
          <s v="07-mai"/>
          <s v="08-mai"/>
          <s v="09-mai"/>
          <s v="10-mai"/>
          <s v="11-mai"/>
          <s v="12-mai"/>
          <s v="13-mai"/>
          <s v="14-mai"/>
          <s v="15-mai"/>
          <s v="16-mai"/>
          <s v="17-mai"/>
          <s v="18-mai"/>
          <s v="19-mai"/>
          <s v="20-mai"/>
          <s v="21-mai"/>
          <s v="22-mai"/>
          <s v="23-mai"/>
          <s v="24-mai"/>
          <s v="25-mai"/>
          <s v="26-mai"/>
          <s v="27-mai"/>
          <s v="28-mai"/>
          <s v="29-mai"/>
          <s v="30-mai"/>
          <s v="31-mai"/>
          <s v="01-juin"/>
          <s v="02-juin"/>
          <s v="03-juin"/>
          <s v="04-juin"/>
          <s v="05-juin"/>
          <s v="06-juin"/>
          <s v="07-juin"/>
          <s v="08-juin"/>
          <s v="09-juin"/>
          <s v="10-juin"/>
          <s v="11-juin"/>
          <s v="12-juin"/>
          <s v="13-juin"/>
          <s v="14-juin"/>
          <s v="15-juin"/>
          <s v="16-juin"/>
          <s v="17-juin"/>
          <s v="18-juin"/>
          <s v="19-juin"/>
          <s v="20-juin"/>
          <s v="21-juin"/>
          <s v="22-juin"/>
          <s v="23-juin"/>
          <s v="24-juin"/>
          <s v="25-juin"/>
          <s v="26-juin"/>
          <s v="27-juin"/>
          <s v="28-juin"/>
          <s v="29-juin"/>
          <s v="30-juin"/>
          <s v="01-juil"/>
          <s v="02-juil"/>
          <s v="03-juil"/>
          <s v="04-juil"/>
          <s v="05-juil"/>
          <s v="06-juil"/>
          <s v="07-juil"/>
          <s v="08-juil"/>
          <s v="09-juil"/>
          <s v="10-juil"/>
          <s v="11-juil"/>
          <s v="12-juil"/>
          <s v="13-juil"/>
          <s v="14-juil"/>
          <s v="15-juil"/>
          <s v="16-juil"/>
          <s v="17-juil"/>
          <s v="18-juil"/>
          <s v="19-juil"/>
          <s v="20-juil"/>
          <s v="21-juil"/>
          <s v="22-juil"/>
          <s v="23-juil"/>
          <s v="24-juil"/>
          <s v="25-juil"/>
          <s v="26-juil"/>
          <s v="27-juil"/>
          <s v="28-juil"/>
          <s v="29-juil"/>
          <s v="30-juil"/>
          <s v="31-juil"/>
          <s v="01-août"/>
          <s v="02-août"/>
          <s v="03-août"/>
          <s v="04-août"/>
          <s v="05-août"/>
          <s v="06-août"/>
          <s v="07-août"/>
          <s v="08-août"/>
          <s v="09-août"/>
          <s v="10-août"/>
          <s v="11-août"/>
          <s v="12-août"/>
          <s v="13-août"/>
          <s v="14-août"/>
          <s v="15-août"/>
          <s v="16-août"/>
          <s v="17-août"/>
          <s v="18-août"/>
          <s v="19-août"/>
          <s v="20-août"/>
          <s v="21-août"/>
          <s v="22-août"/>
          <s v="23-août"/>
          <s v="24-août"/>
          <s v="25-août"/>
          <s v="26-août"/>
          <s v="27-août"/>
          <s v="28-août"/>
          <s v="29-août"/>
          <s v="30-août"/>
          <s v="31-août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éc"/>
          <s v="02-déc"/>
          <s v="03-déc"/>
          <s v="04-déc"/>
          <s v="05-déc"/>
          <s v="06-déc"/>
          <s v="07-déc"/>
          <s v="08-déc"/>
          <s v="09-déc"/>
          <s v="10-déc"/>
          <s v="11-déc"/>
          <s v="12-déc"/>
          <s v="13-déc"/>
          <s v="14-déc"/>
          <s v="15-déc"/>
          <s v="16-déc"/>
          <s v="17-déc"/>
          <s v="18-déc"/>
          <s v="19-déc"/>
          <s v="20-déc"/>
          <s v="21-déc"/>
          <s v="22-déc"/>
          <s v="23-déc"/>
          <s v="24-déc"/>
          <s v="25-déc"/>
          <s v="26-déc"/>
          <s v="27-déc"/>
          <s v="28-déc"/>
          <s v="29-déc"/>
          <s v="30-déc"/>
          <s v="31-déc"/>
          <s v="&gt;01/01/2026"/>
        </groupItems>
      </fieldGroup>
    </cacheField>
    <cacheField name="Mois (Date de commande)" numFmtId="0" databaseField="0">
      <fieldGroup base="4">
        <rangePr groupBy="months" startDate="2025-01-01T00:00:00" endDate="2026-01-01T00:00:00"/>
        <groupItems count="14">
          <s v="&lt;01/01/2025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1/01/2026"/>
        </groupItems>
      </fieldGroup>
    </cacheField>
  </cacheFields>
  <extLst>
    <ext xmlns:x14="http://schemas.microsoft.com/office/spreadsheetml/2009/9/main" uri="{725AE2AE-9491-48be-B2B4-4EB974FC3084}">
      <x14:pivotCacheDefinition pivotCacheId="29605189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097.144877199076" createdVersion="8" refreshedVersion="8" minRefreshableVersion="3" recordCount="2000" xr:uid="{1DB8C673-5392-4E09-8A78-DE5F14931B56}">
  <cacheSource type="worksheet">
    <worksheetSource ref="A1:J2001" sheet="Données"/>
  </cacheSource>
  <cacheFields count="12">
    <cacheField name="Commercial" numFmtId="0">
      <sharedItems/>
    </cacheField>
    <cacheField name="Ville" numFmtId="0">
      <sharedItems count="23">
        <s v="Lagos"/>
        <s v="Lomé"/>
        <s v="Cotonou"/>
        <s v="Douala"/>
        <s v="Kampala"/>
        <s v="Dar es Salaam"/>
        <s v="Dakar"/>
        <s v="Kinshasa"/>
        <s v="Nairobi"/>
        <s v="Ouagadougou"/>
        <s v="Yaoundé"/>
        <s v="Bamako"/>
        <s v="Addis-Abeba"/>
        <s v="Abidjan"/>
        <s v="Accra"/>
        <s v="Alabama" u="1"/>
        <s v="Minnesota" u="1"/>
        <s v="Oregon" u="1"/>
        <s v="Indiana" u="1"/>
        <s v="New York" u="1"/>
        <s v="Nevada" u="1"/>
        <s v="California" u="1"/>
        <s v="Washington" u="1"/>
      </sharedItems>
    </cacheField>
    <cacheField name="Région" numFmtId="0">
      <sharedItems/>
    </cacheField>
    <cacheField name="Client" numFmtId="0">
      <sharedItems/>
    </cacheField>
    <cacheField name="Date de commande" numFmtId="14">
      <sharedItems containsSemiMixedTypes="0" containsNonDate="0" containsDate="1" containsString="0" minDate="2025-01-01T00:00:00" maxDate="2026-01-01T00:00:00" count="365">
        <d v="2025-10-18T00:00:00"/>
        <d v="2025-10-08T00:00:00"/>
        <d v="2025-08-15T00:00:00"/>
        <d v="2025-05-21T00:00:00"/>
        <d v="2025-02-23T00:00:00"/>
        <d v="2025-01-24T00:00:00"/>
        <d v="2025-09-26T00:00:00"/>
        <d v="2025-02-24T00:00:00"/>
        <d v="2025-09-28T00:00:00"/>
        <d v="2025-12-25T00:00:00"/>
        <d v="2025-09-04T00:00:00"/>
        <d v="2025-04-27T00:00:00"/>
        <d v="2025-09-23T00:00:00"/>
        <d v="2025-08-27T00:00:00"/>
        <d v="2025-09-25T00:00:00"/>
        <d v="2025-04-04T00:00:00"/>
        <d v="2025-01-08T00:00:00"/>
        <d v="2025-01-19T00:00:00"/>
        <d v="2025-04-15T00:00:00"/>
        <d v="2025-09-16T00:00:00"/>
        <d v="2025-10-29T00:00:00"/>
        <d v="2025-06-03T00:00:00"/>
        <d v="2025-02-20T00:00:00"/>
        <d v="2025-10-27T00:00:00"/>
        <d v="2025-09-18T00:00:00"/>
        <d v="2025-09-29T00:00:00"/>
        <d v="2025-12-05T00:00:00"/>
        <d v="2025-04-18T00:00:00"/>
        <d v="2025-02-01T00:00:00"/>
        <d v="2025-12-15T00:00:00"/>
        <d v="2025-11-11T00:00:00"/>
        <d v="2025-02-15T00:00:00"/>
        <d v="2025-03-06T00:00:00"/>
        <d v="2025-12-02T00:00:00"/>
        <d v="2025-02-27T00:00:00"/>
        <d v="2025-10-17T00:00:00"/>
        <d v="2025-07-30T00:00:00"/>
        <d v="2025-10-30T00:00:00"/>
        <d v="2025-09-09T00:00:00"/>
        <d v="2025-04-07T00:00:00"/>
        <d v="2025-03-08T00:00:00"/>
        <d v="2025-08-21T00:00:00"/>
        <d v="2025-05-11T00:00:00"/>
        <d v="2025-07-13T00:00:00"/>
        <d v="2025-07-16T00:00:00"/>
        <d v="2025-10-04T00:00:00"/>
        <d v="2025-11-03T00:00:00"/>
        <d v="2025-04-02T00:00:00"/>
        <d v="2025-09-10T00:00:00"/>
        <d v="2025-11-27T00:00:00"/>
        <d v="2025-06-14T00:00:00"/>
        <d v="2025-06-08T00:00:00"/>
        <d v="2025-11-07T00:00:00"/>
        <d v="2025-07-22T00:00:00"/>
        <d v="2025-02-22T00:00:00"/>
        <d v="2025-01-29T00:00:00"/>
        <d v="2025-07-19T00:00:00"/>
        <d v="2025-03-09T00:00:00"/>
        <d v="2025-09-02T00:00:00"/>
        <d v="2025-10-06T00:00:00"/>
        <d v="2025-06-11T00:00:00"/>
        <d v="2025-06-16T00:00:00"/>
        <d v="2025-02-25T00:00:00"/>
        <d v="2025-11-19T00:00:00"/>
        <d v="2025-01-09T00:00:00"/>
        <d v="2025-03-04T00:00:00"/>
        <d v="2025-07-20T00:00:00"/>
        <d v="2025-10-31T00:00:00"/>
        <d v="2025-07-14T00:00:00"/>
        <d v="2025-11-04T00:00:00"/>
        <d v="2025-11-10T00:00:00"/>
        <d v="2025-03-22T00:00:00"/>
        <d v="2025-03-21T00:00:00"/>
        <d v="2025-05-12T00:00:00"/>
        <d v="2025-06-20T00:00:00"/>
        <d v="2025-11-29T00:00:00"/>
        <d v="2025-12-12T00:00:00"/>
        <d v="2025-08-20T00:00:00"/>
        <d v="2025-11-05T00:00:00"/>
        <d v="2025-10-09T00:00:00"/>
        <d v="2025-07-25T00:00:00"/>
        <d v="2025-12-26T00:00:00"/>
        <d v="2025-09-24T00:00:00"/>
        <d v="2025-11-15T00:00:00"/>
        <d v="2025-12-18T00:00:00"/>
        <d v="2025-12-22T00:00:00"/>
        <d v="2025-03-17T00:00:00"/>
        <d v="2025-12-14T00:00:00"/>
        <d v="2025-01-21T00:00:00"/>
        <d v="2025-12-27T00:00:00"/>
        <d v="2025-09-05T00:00:00"/>
        <d v="2025-07-21T00:00:00"/>
        <d v="2025-04-22T00:00:00"/>
        <d v="2025-09-22T00:00:00"/>
        <d v="2025-03-03T00:00:00"/>
        <d v="2025-08-06T00:00:00"/>
        <d v="2025-07-10T00:00:00"/>
        <d v="2025-05-28T00:00:00"/>
        <d v="2025-09-27T00:00:00"/>
        <d v="2025-11-22T00:00:00"/>
        <d v="2025-11-16T00:00:00"/>
        <d v="2025-03-24T00:00:00"/>
        <d v="2025-09-30T00:00:00"/>
        <d v="2025-12-09T00:00:00"/>
        <d v="2025-08-13T00:00:00"/>
        <d v="2025-01-02T00:00:00"/>
        <d v="2025-03-12T00:00:00"/>
        <d v="2025-02-10T00:00:00"/>
        <d v="2025-04-23T00:00:00"/>
        <d v="2025-08-03T00:00:00"/>
        <d v="2025-01-03T00:00:00"/>
        <d v="2025-02-05T00:00:00"/>
        <d v="2025-04-08T00:00:00"/>
        <d v="2025-02-02T00:00:00"/>
        <d v="2025-10-01T00:00:00"/>
        <d v="2025-04-16T00:00:00"/>
        <d v="2025-12-11T00:00:00"/>
        <d v="2025-06-26T00:00:00"/>
        <d v="2025-06-05T00:00:00"/>
        <d v="2025-04-13T00:00:00"/>
        <d v="2025-05-23T00:00:00"/>
        <d v="2025-05-02T00:00:00"/>
        <d v="2025-05-24T00:00:00"/>
        <d v="2025-07-24T00:00:00"/>
        <d v="2025-05-10T00:00:00"/>
        <d v="2025-11-12T00:00:00"/>
        <d v="2025-04-25T00:00:00"/>
        <d v="2025-01-30T00:00:00"/>
        <d v="2025-04-11T00:00:00"/>
        <d v="2025-11-25T00:00:00"/>
        <d v="2025-06-06T00:00:00"/>
        <d v="2025-01-01T00:00:00"/>
        <d v="2025-06-10T00:00:00"/>
        <d v="2025-01-31T00:00:00"/>
        <d v="2025-08-01T00:00:00"/>
        <d v="2025-02-11T00:00:00"/>
        <d v="2025-07-05T00:00:00"/>
        <d v="2025-11-08T00:00:00"/>
        <d v="2025-04-29T00:00:00"/>
        <d v="2025-06-12T00:00:00"/>
        <d v="2025-06-29T00:00:00"/>
        <d v="2025-05-25T00:00:00"/>
        <d v="2025-01-27T00:00:00"/>
        <d v="2025-06-15T00:00:00"/>
        <d v="2025-03-02T00:00:00"/>
        <d v="2025-08-31T00:00:00"/>
        <d v="2025-01-12T00:00:00"/>
        <d v="2025-08-04T00:00:00"/>
        <d v="2025-04-24T00:00:00"/>
        <d v="2025-06-25T00:00:00"/>
        <d v="2025-10-03T00:00:00"/>
        <d v="2025-02-14T00:00:00"/>
        <d v="2025-05-29T00:00:00"/>
        <d v="2025-01-06T00:00:00"/>
        <d v="2025-07-18T00:00:00"/>
        <d v="2025-10-22T00:00:00"/>
        <d v="2025-06-27T00:00:00"/>
        <d v="2025-07-02T00:00:00"/>
        <d v="2025-08-22T00:00:00"/>
        <d v="2025-02-18T00:00:00"/>
        <d v="2025-03-19T00:00:00"/>
        <d v="2025-06-22T00:00:00"/>
        <d v="2025-01-05T00:00:00"/>
        <d v="2025-05-14T00:00:00"/>
        <d v="2025-05-16T00:00:00"/>
        <d v="2025-09-13T00:00:00"/>
        <d v="2025-05-13T00:00:00"/>
        <d v="2025-05-04T00:00:00"/>
        <d v="2025-05-19T00:00:00"/>
        <d v="2025-11-02T00:00:00"/>
        <d v="2025-04-19T00:00:00"/>
        <d v="2025-08-05T00:00:00"/>
        <d v="2025-12-19T00:00:00"/>
        <d v="2025-12-24T00:00:00"/>
        <d v="2025-04-14T00:00:00"/>
        <d v="2025-06-17T00:00:00"/>
        <d v="2025-02-21T00:00:00"/>
        <d v="2025-07-07T00:00:00"/>
        <d v="2025-08-23T00:00:00"/>
        <d v="2025-05-30T00:00:00"/>
        <d v="2025-12-10T00:00:00"/>
        <d v="2025-03-16T00:00:00"/>
        <d v="2025-10-12T00:00:00"/>
        <d v="2025-10-21T00:00:00"/>
        <d v="2025-07-28T00:00:00"/>
        <d v="2025-05-20T00:00:00"/>
        <d v="2025-11-26T00:00:00"/>
        <d v="2025-05-05T00:00:00"/>
        <d v="2025-04-20T00:00:00"/>
        <d v="2025-11-13T00:00:00"/>
        <d v="2025-01-10T00:00:00"/>
        <d v="2025-01-20T00:00:00"/>
        <d v="2025-12-13T00:00:00"/>
        <d v="2025-12-17T00:00:00"/>
        <d v="2025-03-10T00:00:00"/>
        <d v="2025-11-28T00:00:00"/>
        <d v="2025-11-24T00:00:00"/>
        <d v="2025-01-26T00:00:00"/>
        <d v="2025-04-10T00:00:00"/>
        <d v="2025-09-03T00:00:00"/>
        <d v="2025-09-06T00:00:00"/>
        <d v="2025-12-07T00:00:00"/>
        <d v="2025-10-15T00:00:00"/>
        <d v="2025-07-08T00:00:00"/>
        <d v="2025-10-26T00:00:00"/>
        <d v="2025-02-12T00:00:00"/>
        <d v="2025-01-17T00:00:00"/>
        <d v="2025-04-30T00:00:00"/>
        <d v="2025-03-20T00:00:00"/>
        <d v="2025-02-16T00:00:00"/>
        <d v="2025-08-17T00:00:00"/>
        <d v="2025-05-15T00:00:00"/>
        <d v="2025-11-14T00:00:00"/>
        <d v="2025-08-26T00:00:00"/>
        <d v="2025-01-13T00:00:00"/>
        <d v="2025-05-08T00:00:00"/>
        <d v="2025-10-02T00:00:00"/>
        <d v="2025-09-14T00:00:00"/>
        <d v="2025-12-29T00:00:00"/>
        <d v="2025-10-13T00:00:00"/>
        <d v="2025-06-28T00:00:00"/>
        <d v="2025-03-23T00:00:00"/>
        <d v="2025-01-16T00:00:00"/>
        <d v="2025-07-01T00:00:00"/>
        <d v="2025-01-04T00:00:00"/>
        <d v="2025-10-24T00:00:00"/>
        <d v="2025-11-20T00:00:00"/>
        <d v="2025-10-05T00:00:00"/>
        <d v="2025-05-31T00:00:00"/>
        <d v="2025-08-07T00:00:00"/>
        <d v="2025-11-06T00:00:00"/>
        <d v="2025-05-07T00:00:00"/>
        <d v="2025-09-20T00:00:00"/>
        <d v="2025-05-22T00:00:00"/>
        <d v="2025-02-19T00:00:00"/>
        <d v="2025-08-08T00:00:00"/>
        <d v="2025-02-07T00:00:00"/>
        <d v="2025-02-13T00:00:00"/>
        <d v="2025-08-16T00:00:00"/>
        <d v="2025-06-13T00:00:00"/>
        <d v="2025-05-26T00:00:00"/>
        <d v="2025-11-18T00:00:00"/>
        <d v="2025-06-18T00:00:00"/>
        <d v="2025-03-30T00:00:00"/>
        <d v="2025-07-06T00:00:00"/>
        <d v="2025-03-26T00:00:00"/>
        <d v="2025-03-18T00:00:00"/>
        <d v="2025-02-09T00:00:00"/>
        <d v="2025-01-07T00:00:00"/>
        <d v="2025-08-18T00:00:00"/>
        <d v="2025-01-11T00:00:00"/>
        <d v="2025-09-19T00:00:00"/>
        <d v="2025-10-14T00:00:00"/>
        <d v="2025-04-05T00:00:00"/>
        <d v="2025-03-11T00:00:00"/>
        <d v="2025-12-04T00:00:00"/>
        <d v="2025-03-15T00:00:00"/>
        <d v="2025-07-29T00:00:00"/>
        <d v="2025-10-23T00:00:00"/>
        <d v="2025-08-29T00:00:00"/>
        <d v="2025-06-01T00:00:00"/>
        <d v="2025-04-12T00:00:00"/>
        <d v="2025-01-22T00:00:00"/>
        <d v="2025-11-01T00:00:00"/>
        <d v="2025-08-30T00:00:00"/>
        <d v="2025-07-15T00:00:00"/>
        <d v="2025-02-04T00:00:00"/>
        <d v="2025-04-26T00:00:00"/>
        <d v="2025-07-12T00:00:00"/>
        <d v="2025-11-21T00:00:00"/>
        <d v="2025-10-11T00:00:00"/>
        <d v="2025-04-28T00:00:00"/>
        <d v="2025-02-28T00:00:00"/>
        <d v="2025-01-25T00:00:00"/>
        <d v="2025-04-03T00:00:00"/>
        <d v="2025-06-23T00:00:00"/>
        <d v="2025-09-01T00:00:00"/>
        <d v="2025-07-09T00:00:00"/>
        <d v="2025-02-17T00:00:00"/>
        <d v="2025-03-14T00:00:00"/>
        <d v="2025-05-06T00:00:00"/>
        <d v="2025-08-12T00:00:00"/>
        <d v="2025-12-03T00:00:00"/>
        <d v="2025-10-20T00:00:00"/>
        <d v="2025-03-05T00:00:00"/>
        <d v="2025-03-25T00:00:00"/>
        <d v="2025-08-10T00:00:00"/>
        <d v="2025-02-08T00:00:00"/>
        <d v="2025-04-17T00:00:00"/>
        <d v="2025-09-08T00:00:00"/>
        <d v="2025-07-31T00:00:00"/>
        <d v="2025-03-31T00:00:00"/>
        <d v="2025-06-21T00:00:00"/>
        <d v="2025-06-04T00:00:00"/>
        <d v="2025-10-28T00:00:00"/>
        <d v="2025-08-02T00:00:00"/>
        <d v="2025-03-07T00:00:00"/>
        <d v="2025-07-04T00:00:00"/>
        <d v="2025-06-07T00:00:00"/>
        <d v="2025-08-28T00:00:00"/>
        <d v="2025-01-28T00:00:00"/>
        <d v="2025-03-01T00:00:00"/>
        <d v="2025-09-07T00:00:00"/>
        <d v="2025-06-24T00:00:00"/>
        <d v="2025-07-03T00:00:00"/>
        <d v="2025-07-11T00:00:00"/>
        <d v="2025-12-16T00:00:00"/>
        <d v="2025-09-11T00:00:00"/>
        <d v="2025-09-17T00:00:00"/>
        <d v="2025-05-27T00:00:00"/>
        <d v="2025-11-23T00:00:00"/>
        <d v="2025-05-03T00:00:00"/>
        <d v="2025-03-13T00:00:00"/>
        <d v="2025-12-31T00:00:00"/>
        <d v="2025-12-30T00:00:00"/>
        <d v="2025-08-24T00:00:00"/>
        <d v="2025-04-21T00:00:00"/>
        <d v="2025-06-02T00:00:00"/>
        <d v="2025-01-14T00:00:00"/>
        <d v="2025-08-14T00:00:00"/>
        <d v="2025-05-17T00:00:00"/>
        <d v="2025-10-10T00:00:00"/>
        <d v="2025-04-09T00:00:00"/>
        <d v="2025-03-28T00:00:00"/>
        <d v="2025-02-03T00:00:00"/>
        <d v="2025-11-17T00:00:00"/>
        <d v="2025-10-25T00:00:00"/>
        <d v="2025-02-26T00:00:00"/>
        <d v="2025-10-16T00:00:00"/>
        <d v="2025-04-01T00:00:00"/>
        <d v="2025-12-01T00:00:00"/>
        <d v="2025-03-27T00:00:00"/>
        <d v="2025-11-30T00:00:00"/>
        <d v="2025-08-11T00:00:00"/>
        <d v="2025-09-15T00:00:00"/>
        <d v="2025-07-23T00:00:00"/>
        <d v="2025-12-28T00:00:00"/>
        <d v="2025-05-18T00:00:00"/>
        <d v="2025-12-20T00:00:00"/>
        <d v="2025-11-09T00:00:00"/>
        <d v="2025-07-17T00:00:00"/>
        <d v="2025-07-27T00:00:00"/>
        <d v="2025-08-19T00:00:00"/>
        <d v="2025-12-08T00:00:00"/>
        <d v="2025-12-23T00:00:00"/>
        <d v="2025-09-12T00:00:00"/>
        <d v="2025-08-25T00:00:00"/>
        <d v="2025-12-21T00:00:00"/>
        <d v="2025-04-06T00:00:00"/>
        <d v="2025-06-30T00:00:00"/>
        <d v="2025-12-06T00:00:00"/>
        <d v="2025-10-19T00:00:00"/>
        <d v="2025-05-09T00:00:00"/>
        <d v="2025-07-26T00:00:00"/>
        <d v="2025-05-01T00:00:00"/>
        <d v="2025-03-29T00:00:00"/>
        <d v="2025-01-15T00:00:00"/>
        <d v="2025-06-19T00:00:00"/>
        <d v="2025-01-23T00:00:00"/>
        <d v="2025-01-18T00:00:00"/>
        <d v="2025-09-21T00:00:00"/>
        <d v="2025-02-06T00:00:00"/>
        <d v="2025-10-07T00:00:00" u="1"/>
        <d v="2025-06-09T00:00:00" u="1"/>
        <d v="2025-08-09T00:00:00" u="1"/>
      </sharedItems>
      <fieldGroup par="11"/>
    </cacheField>
    <cacheField name="Article" numFmtId="0">
      <sharedItems count="9">
        <s v="AgriKit"/>
        <s v="MoMo Pack"/>
        <s v="Solaire Pro"/>
        <s v="EduTablet"/>
        <s v="AquaFilter"/>
        <s v="Things" u="1"/>
        <s v="Junk" u="1"/>
        <s v="Widgets" u="1"/>
        <s v="Stuff" u="1"/>
      </sharedItems>
    </cacheField>
    <cacheField name="Quantité" numFmtId="0">
      <sharedItems containsSemiMixedTypes="0" containsString="0" containsNumber="1" containsInteger="1" minValue="1" maxValue="10"/>
    </cacheField>
    <cacheField name="Prix" numFmtId="3">
      <sharedItems containsSemiMixedTypes="0" containsString="0" containsNumber="1" containsInteger="1" minValue="12500" maxValue="55000"/>
    </cacheField>
    <cacheField name="Chiffre d'affaires" numFmtId="3">
      <sharedItems containsSemiMixedTypes="0" containsString="0" containsNumber="1" containsInteger="1" minValue="11375" maxValue="596995"/>
    </cacheField>
    <cacheField name="Bénéfice" numFmtId="3">
      <sharedItems containsSemiMixedTypes="0" containsString="0" containsNumber="1" containsInteger="1" minValue="910" maxValue="131339"/>
    </cacheField>
    <cacheField name="Jours (Date de commande)" numFmtId="0" databaseField="0">
      <fieldGroup base="4">
        <rangePr groupBy="days" startDate="2025-01-01T00:00:00" endDate="2026-01-01T00:00:00"/>
        <groupItems count="368">
          <s v="&lt;01/01/2025"/>
          <s v="01-janv"/>
          <s v="02-janv"/>
          <s v="03-janv"/>
          <s v="04-janv"/>
          <s v="05-janv"/>
          <s v="06-janv"/>
          <s v="07-janv"/>
          <s v="08-janv"/>
          <s v="09-janv"/>
          <s v="10-janv"/>
          <s v="11-janv"/>
          <s v="12-janv"/>
          <s v="13-janv"/>
          <s v="14-janv"/>
          <s v="15-janv"/>
          <s v="16-janv"/>
          <s v="17-janv"/>
          <s v="18-janv"/>
          <s v="19-janv"/>
          <s v="20-janv"/>
          <s v="21-janv"/>
          <s v="22-janv"/>
          <s v="23-janv"/>
          <s v="24-janv"/>
          <s v="25-janv"/>
          <s v="26-janv"/>
          <s v="27-janv"/>
          <s v="28-janv"/>
          <s v="29-janv"/>
          <s v="30-janv"/>
          <s v="31-janv"/>
          <s v="01-févr"/>
          <s v="02-févr"/>
          <s v="03-févr"/>
          <s v="04-févr"/>
          <s v="05-févr"/>
          <s v="06-févr"/>
          <s v="07-févr"/>
          <s v="08-févr"/>
          <s v="09-févr"/>
          <s v="10-févr"/>
          <s v="11-févr"/>
          <s v="12-févr"/>
          <s v="13-févr"/>
          <s v="14-févr"/>
          <s v="15-févr"/>
          <s v="16-févr"/>
          <s v="17-févr"/>
          <s v="18-févr"/>
          <s v="19-févr"/>
          <s v="20-févr"/>
          <s v="21-févr"/>
          <s v="22-févr"/>
          <s v="23-févr"/>
          <s v="24-févr"/>
          <s v="25-févr"/>
          <s v="26-févr"/>
          <s v="27-févr"/>
          <s v="28-févr"/>
          <s v="29-févr"/>
          <s v="01-mars"/>
          <s v="02-mars"/>
          <s v="03-mars"/>
          <s v="04-mars"/>
          <s v="05-mars"/>
          <s v="06-mars"/>
          <s v="07-mars"/>
          <s v="08-mars"/>
          <s v="09-mars"/>
          <s v="10-mars"/>
          <s v="11-mars"/>
          <s v="12-mars"/>
          <s v="13-mars"/>
          <s v="14-mars"/>
          <s v="15-mars"/>
          <s v="16-mars"/>
          <s v="17-mars"/>
          <s v="18-mars"/>
          <s v="19-mars"/>
          <s v="20-mars"/>
          <s v="21-mars"/>
          <s v="22-mars"/>
          <s v="23-mars"/>
          <s v="24-mars"/>
          <s v="25-mars"/>
          <s v="26-mars"/>
          <s v="27-mars"/>
          <s v="28-mars"/>
          <s v="29-mars"/>
          <s v="30-mars"/>
          <s v="31-mars"/>
          <s v="01-avr"/>
          <s v="02-avr"/>
          <s v="03-avr"/>
          <s v="04-avr"/>
          <s v="05-avr"/>
          <s v="06-avr"/>
          <s v="07-avr"/>
          <s v="08-avr"/>
          <s v="09-avr"/>
          <s v="10-avr"/>
          <s v="11-avr"/>
          <s v="12-avr"/>
          <s v="13-avr"/>
          <s v="14-avr"/>
          <s v="15-avr"/>
          <s v="16-avr"/>
          <s v="17-avr"/>
          <s v="18-avr"/>
          <s v="19-avr"/>
          <s v="20-avr"/>
          <s v="21-avr"/>
          <s v="22-avr"/>
          <s v="23-avr"/>
          <s v="24-avr"/>
          <s v="25-avr"/>
          <s v="26-avr"/>
          <s v="27-avr"/>
          <s v="28-avr"/>
          <s v="29-avr"/>
          <s v="30-avr"/>
          <s v="01-mai"/>
          <s v="02-mai"/>
          <s v="03-mai"/>
          <s v="04-mai"/>
          <s v="05-mai"/>
          <s v="06-mai"/>
          <s v="07-mai"/>
          <s v="08-mai"/>
          <s v="09-mai"/>
          <s v="10-mai"/>
          <s v="11-mai"/>
          <s v="12-mai"/>
          <s v="13-mai"/>
          <s v="14-mai"/>
          <s v="15-mai"/>
          <s v="16-mai"/>
          <s v="17-mai"/>
          <s v="18-mai"/>
          <s v="19-mai"/>
          <s v="20-mai"/>
          <s v="21-mai"/>
          <s v="22-mai"/>
          <s v="23-mai"/>
          <s v="24-mai"/>
          <s v="25-mai"/>
          <s v="26-mai"/>
          <s v="27-mai"/>
          <s v="28-mai"/>
          <s v="29-mai"/>
          <s v="30-mai"/>
          <s v="31-mai"/>
          <s v="01-juin"/>
          <s v="02-juin"/>
          <s v="03-juin"/>
          <s v="04-juin"/>
          <s v="05-juin"/>
          <s v="06-juin"/>
          <s v="07-juin"/>
          <s v="08-juin"/>
          <s v="09-juin"/>
          <s v="10-juin"/>
          <s v="11-juin"/>
          <s v="12-juin"/>
          <s v="13-juin"/>
          <s v="14-juin"/>
          <s v="15-juin"/>
          <s v="16-juin"/>
          <s v="17-juin"/>
          <s v="18-juin"/>
          <s v="19-juin"/>
          <s v="20-juin"/>
          <s v="21-juin"/>
          <s v="22-juin"/>
          <s v="23-juin"/>
          <s v="24-juin"/>
          <s v="25-juin"/>
          <s v="26-juin"/>
          <s v="27-juin"/>
          <s v="28-juin"/>
          <s v="29-juin"/>
          <s v="30-juin"/>
          <s v="01-juil"/>
          <s v="02-juil"/>
          <s v="03-juil"/>
          <s v="04-juil"/>
          <s v="05-juil"/>
          <s v="06-juil"/>
          <s v="07-juil"/>
          <s v="08-juil"/>
          <s v="09-juil"/>
          <s v="10-juil"/>
          <s v="11-juil"/>
          <s v="12-juil"/>
          <s v="13-juil"/>
          <s v="14-juil"/>
          <s v="15-juil"/>
          <s v="16-juil"/>
          <s v="17-juil"/>
          <s v="18-juil"/>
          <s v="19-juil"/>
          <s v="20-juil"/>
          <s v="21-juil"/>
          <s v="22-juil"/>
          <s v="23-juil"/>
          <s v="24-juil"/>
          <s v="25-juil"/>
          <s v="26-juil"/>
          <s v="27-juil"/>
          <s v="28-juil"/>
          <s v="29-juil"/>
          <s v="30-juil"/>
          <s v="31-juil"/>
          <s v="01-août"/>
          <s v="02-août"/>
          <s v="03-août"/>
          <s v="04-août"/>
          <s v="05-août"/>
          <s v="06-août"/>
          <s v="07-août"/>
          <s v="08-août"/>
          <s v="09-août"/>
          <s v="10-août"/>
          <s v="11-août"/>
          <s v="12-août"/>
          <s v="13-août"/>
          <s v="14-août"/>
          <s v="15-août"/>
          <s v="16-août"/>
          <s v="17-août"/>
          <s v="18-août"/>
          <s v="19-août"/>
          <s v="20-août"/>
          <s v="21-août"/>
          <s v="22-août"/>
          <s v="23-août"/>
          <s v="24-août"/>
          <s v="25-août"/>
          <s v="26-août"/>
          <s v="27-août"/>
          <s v="28-août"/>
          <s v="29-août"/>
          <s v="30-août"/>
          <s v="31-août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éc"/>
          <s v="02-déc"/>
          <s v="03-déc"/>
          <s v="04-déc"/>
          <s v="05-déc"/>
          <s v="06-déc"/>
          <s v="07-déc"/>
          <s v="08-déc"/>
          <s v="09-déc"/>
          <s v="10-déc"/>
          <s v="11-déc"/>
          <s v="12-déc"/>
          <s v="13-déc"/>
          <s v="14-déc"/>
          <s v="15-déc"/>
          <s v="16-déc"/>
          <s v="17-déc"/>
          <s v="18-déc"/>
          <s v="19-déc"/>
          <s v="20-déc"/>
          <s v="21-déc"/>
          <s v="22-déc"/>
          <s v="23-déc"/>
          <s v="24-déc"/>
          <s v="25-déc"/>
          <s v="26-déc"/>
          <s v="27-déc"/>
          <s v="28-déc"/>
          <s v="29-déc"/>
          <s v="30-déc"/>
          <s v="31-déc"/>
          <s v="&gt;01/01/2026"/>
        </groupItems>
      </fieldGroup>
    </cacheField>
    <cacheField name="Mois (Date de commande)" numFmtId="0" databaseField="0">
      <fieldGroup base="4">
        <rangePr groupBy="months" startDate="2025-01-01T00:00:00" endDate="2026-01-01T00:00:00"/>
        <groupItems count="14">
          <s v="&lt;01/01/2025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1/01/2026"/>
        </groupItems>
      </fieldGroup>
    </cacheField>
  </cacheFields>
  <extLst>
    <ext xmlns:x14="http://schemas.microsoft.com/office/spreadsheetml/2009/9/main" uri="{725AE2AE-9491-48be-B2B4-4EB974FC3084}">
      <x14:pivotCacheDefinition pivotCacheId="9427067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x v="0"/>
    <s v="Lagos"/>
    <s v="Afrique de l'Ouest"/>
    <x v="0"/>
    <x v="0"/>
    <x v="0"/>
    <n v="5"/>
    <n v="18500"/>
    <n v="84104"/>
    <n v="10092"/>
  </r>
  <r>
    <x v="1"/>
    <s v="Lomé"/>
    <s v="Afrique de l'Ouest"/>
    <x v="1"/>
    <x v="1"/>
    <x v="0"/>
    <n v="2"/>
    <n v="18500"/>
    <n v="40676"/>
    <n v="4881"/>
  </r>
  <r>
    <x v="2"/>
    <s v="Cotonou"/>
    <s v="Afrique de l'Ouest"/>
    <x v="2"/>
    <x v="2"/>
    <x v="1"/>
    <n v="1"/>
    <n v="12500"/>
    <n v="12725"/>
    <n v="1018"/>
  </r>
  <r>
    <x v="1"/>
    <s v="Douala"/>
    <s v="Afrique Centrale"/>
    <x v="3"/>
    <x v="3"/>
    <x v="1"/>
    <n v="1"/>
    <n v="12500"/>
    <n v="11375"/>
    <n v="910"/>
  </r>
  <r>
    <x v="1"/>
    <s v="Kampala"/>
    <s v="Afrique de l'Est"/>
    <x v="4"/>
    <x v="4"/>
    <x v="0"/>
    <n v="9"/>
    <n v="18500"/>
    <n v="149936"/>
    <n v="17992"/>
  </r>
  <r>
    <x v="1"/>
    <s v="Lagos"/>
    <s v="Afrique de l'Ouest"/>
    <x v="5"/>
    <x v="5"/>
    <x v="1"/>
    <n v="1"/>
    <n v="12500"/>
    <n v="12254"/>
    <n v="980"/>
  </r>
  <r>
    <x v="0"/>
    <s v="Dar es Salaam"/>
    <s v="Afrique de l'Est"/>
    <x v="6"/>
    <x v="6"/>
    <x v="1"/>
    <n v="2"/>
    <n v="12500"/>
    <n v="24413"/>
    <n v="1953"/>
  </r>
  <r>
    <x v="1"/>
    <s v="Dakar"/>
    <s v="Afrique de l'Ouest"/>
    <x v="7"/>
    <x v="7"/>
    <x v="2"/>
    <n v="4"/>
    <n v="45000"/>
    <n v="193941"/>
    <n v="34909"/>
  </r>
  <r>
    <x v="2"/>
    <s v="Dakar"/>
    <s v="Afrique de l'Ouest"/>
    <x v="8"/>
    <x v="5"/>
    <x v="2"/>
    <n v="3"/>
    <n v="45000"/>
    <n v="134028"/>
    <n v="24125"/>
  </r>
  <r>
    <x v="0"/>
    <s v="Douala"/>
    <s v="Afrique Centrale"/>
    <x v="9"/>
    <x v="8"/>
    <x v="3"/>
    <n v="10"/>
    <n v="55000"/>
    <n v="534621"/>
    <n v="117617"/>
  </r>
  <r>
    <x v="3"/>
    <s v="Kinshasa"/>
    <s v="Afrique Centrale"/>
    <x v="10"/>
    <x v="9"/>
    <x v="4"/>
    <n v="5"/>
    <n v="15000"/>
    <n v="76739"/>
    <n v="7674"/>
  </r>
  <r>
    <x v="4"/>
    <s v="Dakar"/>
    <s v="Afrique de l'Ouest"/>
    <x v="11"/>
    <x v="10"/>
    <x v="4"/>
    <n v="8"/>
    <n v="15000"/>
    <n v="129776"/>
    <n v="12978"/>
  </r>
  <r>
    <x v="0"/>
    <s v="Cotonou"/>
    <s v="Afrique de l'Ouest"/>
    <x v="12"/>
    <x v="11"/>
    <x v="1"/>
    <n v="8"/>
    <n v="12500"/>
    <n v="100609"/>
    <n v="8049"/>
  </r>
  <r>
    <x v="2"/>
    <s v="Cotonou"/>
    <s v="Afrique de l'Ouest"/>
    <x v="13"/>
    <x v="12"/>
    <x v="4"/>
    <n v="5"/>
    <n v="15000"/>
    <n v="79825"/>
    <n v="7982"/>
  </r>
  <r>
    <x v="3"/>
    <s v="Lomé"/>
    <s v="Afrique de l'Ouest"/>
    <x v="14"/>
    <x v="13"/>
    <x v="4"/>
    <n v="3"/>
    <n v="15000"/>
    <n v="42227"/>
    <n v="4223"/>
  </r>
  <r>
    <x v="3"/>
    <s v="Nairobi"/>
    <s v="Afrique de l'Est"/>
    <x v="15"/>
    <x v="14"/>
    <x v="0"/>
    <n v="2"/>
    <n v="18500"/>
    <n v="33418"/>
    <n v="4010"/>
  </r>
  <r>
    <x v="0"/>
    <s v="Douala"/>
    <s v="Afrique Centrale"/>
    <x v="16"/>
    <x v="15"/>
    <x v="0"/>
    <n v="4"/>
    <n v="18500"/>
    <n v="71482"/>
    <n v="8578"/>
  </r>
  <r>
    <x v="0"/>
    <s v="Cotonou"/>
    <s v="Afrique de l'Ouest"/>
    <x v="17"/>
    <x v="16"/>
    <x v="2"/>
    <n v="7"/>
    <n v="45000"/>
    <n v="346232"/>
    <n v="62322"/>
  </r>
  <r>
    <x v="1"/>
    <s v="Kampala"/>
    <s v="Afrique de l'Est"/>
    <x v="18"/>
    <x v="17"/>
    <x v="3"/>
    <n v="4"/>
    <n v="55000"/>
    <n v="204627"/>
    <n v="45018"/>
  </r>
  <r>
    <x v="2"/>
    <s v="Ouagadougou"/>
    <s v="Afrique de l'Ouest"/>
    <x v="19"/>
    <x v="18"/>
    <x v="0"/>
    <n v="10"/>
    <n v="18500"/>
    <n v="187317"/>
    <n v="22478"/>
  </r>
  <r>
    <x v="4"/>
    <s v="Douala"/>
    <s v="Afrique Centrale"/>
    <x v="20"/>
    <x v="19"/>
    <x v="2"/>
    <n v="3"/>
    <n v="45000"/>
    <n v="129072"/>
    <n v="23233"/>
  </r>
  <r>
    <x v="0"/>
    <s v="Lagos"/>
    <s v="Afrique de l'Ouest"/>
    <x v="21"/>
    <x v="20"/>
    <x v="1"/>
    <n v="9"/>
    <n v="12500"/>
    <n v="112219"/>
    <n v="8978"/>
  </r>
  <r>
    <x v="4"/>
    <s v="Kinshasa"/>
    <s v="Afrique Centrale"/>
    <x v="22"/>
    <x v="21"/>
    <x v="2"/>
    <n v="10"/>
    <n v="45000"/>
    <n v="416090"/>
    <n v="74896"/>
  </r>
  <r>
    <x v="3"/>
    <s v="Yaoundé"/>
    <s v="Afrique Centrale"/>
    <x v="23"/>
    <x v="22"/>
    <x v="2"/>
    <n v="1"/>
    <n v="45000"/>
    <n v="40736"/>
    <n v="7332"/>
  </r>
  <r>
    <x v="0"/>
    <s v="Lomé"/>
    <s v="Afrique de l'Ouest"/>
    <x v="24"/>
    <x v="23"/>
    <x v="2"/>
    <n v="5"/>
    <n v="45000"/>
    <n v="227540"/>
    <n v="40957"/>
  </r>
  <r>
    <x v="1"/>
    <s v="Lomé"/>
    <s v="Afrique de l'Ouest"/>
    <x v="25"/>
    <x v="24"/>
    <x v="2"/>
    <n v="9"/>
    <n v="45000"/>
    <n v="390208"/>
    <n v="70237"/>
  </r>
  <r>
    <x v="1"/>
    <s v="Kampala"/>
    <s v="Afrique de l'Est"/>
    <x v="26"/>
    <x v="15"/>
    <x v="0"/>
    <n v="4"/>
    <n v="18500"/>
    <n v="68556"/>
    <n v="8227"/>
  </r>
  <r>
    <x v="3"/>
    <s v="Lagos"/>
    <s v="Afrique de l'Ouest"/>
    <x v="27"/>
    <x v="25"/>
    <x v="4"/>
    <n v="8"/>
    <n v="15000"/>
    <n v="116447"/>
    <n v="11645"/>
  </r>
  <r>
    <x v="3"/>
    <s v="Nairobi"/>
    <s v="Afrique de l'Est"/>
    <x v="28"/>
    <x v="26"/>
    <x v="1"/>
    <n v="3"/>
    <n v="12500"/>
    <n v="33846"/>
    <n v="2708"/>
  </r>
  <r>
    <x v="1"/>
    <s v="Lomé"/>
    <s v="Afrique de l'Ouest"/>
    <x v="29"/>
    <x v="27"/>
    <x v="0"/>
    <n v="5"/>
    <n v="18500"/>
    <n v="99520"/>
    <n v="11942"/>
  </r>
  <r>
    <x v="4"/>
    <s v="Lagos"/>
    <s v="Afrique de l'Ouest"/>
    <x v="22"/>
    <x v="28"/>
    <x v="4"/>
    <n v="1"/>
    <n v="15000"/>
    <n v="15144"/>
    <n v="1514"/>
  </r>
  <r>
    <x v="4"/>
    <s v="Ouagadougou"/>
    <s v="Afrique de l'Ouest"/>
    <x v="30"/>
    <x v="29"/>
    <x v="2"/>
    <n v="8"/>
    <n v="45000"/>
    <n v="375984"/>
    <n v="67677"/>
  </r>
  <r>
    <x v="3"/>
    <s v="Douala"/>
    <s v="Afrique Centrale"/>
    <x v="31"/>
    <x v="30"/>
    <x v="1"/>
    <n v="2"/>
    <n v="12500"/>
    <n v="24474"/>
    <n v="1958"/>
  </r>
  <r>
    <x v="2"/>
    <s v="Kinshasa"/>
    <s v="Afrique Centrale"/>
    <x v="23"/>
    <x v="1"/>
    <x v="1"/>
    <n v="6"/>
    <n v="12500"/>
    <n v="67803"/>
    <n v="5424"/>
  </r>
  <r>
    <x v="1"/>
    <s v="Cotonou"/>
    <s v="Afrique de l'Ouest"/>
    <x v="32"/>
    <x v="24"/>
    <x v="0"/>
    <n v="8"/>
    <n v="18500"/>
    <n v="135511"/>
    <n v="16261"/>
  </r>
  <r>
    <x v="1"/>
    <s v="Ouagadougou"/>
    <s v="Afrique de l'Ouest"/>
    <x v="33"/>
    <x v="31"/>
    <x v="2"/>
    <n v="6"/>
    <n v="45000"/>
    <n v="273754"/>
    <n v="49276"/>
  </r>
  <r>
    <x v="1"/>
    <s v="Lagos"/>
    <s v="Afrique de l'Ouest"/>
    <x v="9"/>
    <x v="32"/>
    <x v="2"/>
    <n v="2"/>
    <n v="45000"/>
    <n v="84794"/>
    <n v="15263"/>
  </r>
  <r>
    <x v="3"/>
    <s v="Cotonou"/>
    <s v="Afrique de l'Ouest"/>
    <x v="34"/>
    <x v="33"/>
    <x v="0"/>
    <n v="6"/>
    <n v="18500"/>
    <n v="120992"/>
    <n v="14519"/>
  </r>
  <r>
    <x v="1"/>
    <s v="Lomé"/>
    <s v="Afrique de l'Ouest"/>
    <x v="0"/>
    <x v="34"/>
    <x v="0"/>
    <n v="10"/>
    <n v="18500"/>
    <n v="188910"/>
    <n v="22669"/>
  </r>
  <r>
    <x v="2"/>
    <s v="Dakar"/>
    <s v="Afrique de l'Ouest"/>
    <x v="35"/>
    <x v="35"/>
    <x v="2"/>
    <n v="3"/>
    <n v="45000"/>
    <n v="147753"/>
    <n v="26596"/>
  </r>
  <r>
    <x v="3"/>
    <s v="Kinshasa"/>
    <s v="Afrique Centrale"/>
    <x v="36"/>
    <x v="36"/>
    <x v="1"/>
    <n v="2"/>
    <n v="12500"/>
    <n v="26427"/>
    <n v="2114"/>
  </r>
  <r>
    <x v="1"/>
    <s v="Cotonou"/>
    <s v="Afrique de l'Ouest"/>
    <x v="37"/>
    <x v="37"/>
    <x v="3"/>
    <n v="5"/>
    <n v="55000"/>
    <n v="249295"/>
    <n v="54845"/>
  </r>
  <r>
    <x v="1"/>
    <s v="Dar es Salaam"/>
    <s v="Afrique de l'Est"/>
    <x v="38"/>
    <x v="38"/>
    <x v="2"/>
    <n v="4"/>
    <n v="45000"/>
    <n v="176536"/>
    <n v="31776"/>
  </r>
  <r>
    <x v="3"/>
    <s v="Yaoundé"/>
    <s v="Afrique Centrale"/>
    <x v="39"/>
    <x v="39"/>
    <x v="1"/>
    <n v="8"/>
    <n v="12500"/>
    <n v="102253"/>
    <n v="8180"/>
  </r>
  <r>
    <x v="4"/>
    <s v="Kinshasa"/>
    <s v="Afrique Centrale"/>
    <x v="40"/>
    <x v="40"/>
    <x v="4"/>
    <n v="4"/>
    <n v="15000"/>
    <n v="59494"/>
    <n v="5949"/>
  </r>
  <r>
    <x v="0"/>
    <s v="Dar es Salaam"/>
    <s v="Afrique de l'Est"/>
    <x v="41"/>
    <x v="41"/>
    <x v="1"/>
    <n v="1"/>
    <n v="12500"/>
    <n v="13077"/>
    <n v="1046"/>
  </r>
  <r>
    <x v="1"/>
    <s v="Dakar"/>
    <s v="Afrique de l'Ouest"/>
    <x v="42"/>
    <x v="16"/>
    <x v="0"/>
    <n v="2"/>
    <n v="18500"/>
    <n v="35893"/>
    <n v="4307"/>
  </r>
  <r>
    <x v="2"/>
    <s v="Bamako"/>
    <s v="Afrique de l'Ouest"/>
    <x v="43"/>
    <x v="42"/>
    <x v="3"/>
    <n v="5"/>
    <n v="55000"/>
    <n v="277018"/>
    <n v="60944"/>
  </r>
  <r>
    <x v="3"/>
    <s v="Lomé"/>
    <s v="Afrique de l'Ouest"/>
    <x v="44"/>
    <x v="43"/>
    <x v="2"/>
    <n v="2"/>
    <n v="45000"/>
    <n v="88262"/>
    <n v="15887"/>
  </r>
  <r>
    <x v="3"/>
    <s v="Cotonou"/>
    <s v="Afrique de l'Ouest"/>
    <x v="45"/>
    <x v="44"/>
    <x v="1"/>
    <n v="8"/>
    <n v="12500"/>
    <n v="105995"/>
    <n v="8480"/>
  </r>
  <r>
    <x v="2"/>
    <s v="Addis-Abeba"/>
    <s v="Afrique de l'Est"/>
    <x v="46"/>
    <x v="45"/>
    <x v="0"/>
    <n v="9"/>
    <n v="18500"/>
    <n v="179586"/>
    <n v="21550"/>
  </r>
  <r>
    <x v="3"/>
    <s v="Dar es Salaam"/>
    <s v="Afrique de l'Est"/>
    <x v="47"/>
    <x v="46"/>
    <x v="0"/>
    <n v="1"/>
    <n v="18500"/>
    <n v="16873"/>
    <n v="2025"/>
  </r>
  <r>
    <x v="0"/>
    <s v="Abidjan"/>
    <s v="Afrique de l'Ouest"/>
    <x v="48"/>
    <x v="47"/>
    <x v="3"/>
    <n v="10"/>
    <n v="55000"/>
    <n v="520338"/>
    <n v="114474"/>
  </r>
  <r>
    <x v="0"/>
    <s v="Kampala"/>
    <s v="Afrique de l'Est"/>
    <x v="10"/>
    <x v="48"/>
    <x v="3"/>
    <n v="8"/>
    <n v="55000"/>
    <n v="453247"/>
    <n v="99714"/>
  </r>
  <r>
    <x v="3"/>
    <s v="Abidjan"/>
    <s v="Afrique de l'Ouest"/>
    <x v="49"/>
    <x v="49"/>
    <x v="0"/>
    <n v="5"/>
    <n v="18500"/>
    <n v="99434"/>
    <n v="11932"/>
  </r>
  <r>
    <x v="1"/>
    <s v="Kinshasa"/>
    <s v="Afrique Centrale"/>
    <x v="43"/>
    <x v="50"/>
    <x v="3"/>
    <n v="9"/>
    <n v="55000"/>
    <n v="496122"/>
    <n v="109147"/>
  </r>
  <r>
    <x v="2"/>
    <s v="Kampala"/>
    <s v="Afrique de l'Est"/>
    <x v="50"/>
    <x v="41"/>
    <x v="4"/>
    <n v="8"/>
    <n v="15000"/>
    <n v="119475"/>
    <n v="11948"/>
  </r>
  <r>
    <x v="3"/>
    <s v="Accra"/>
    <s v="Afrique de l'Ouest"/>
    <x v="51"/>
    <x v="51"/>
    <x v="4"/>
    <n v="7"/>
    <n v="15000"/>
    <n v="99067"/>
    <n v="9907"/>
  </r>
  <r>
    <x v="1"/>
    <s v="Kinshasa"/>
    <s v="Afrique Centrale"/>
    <x v="52"/>
    <x v="52"/>
    <x v="4"/>
    <n v="5"/>
    <n v="15000"/>
    <n v="78422"/>
    <n v="7842"/>
  </r>
  <r>
    <x v="2"/>
    <s v="Yaoundé"/>
    <s v="Afrique Centrale"/>
    <x v="44"/>
    <x v="53"/>
    <x v="1"/>
    <n v="5"/>
    <n v="12500"/>
    <n v="64257"/>
    <n v="5141"/>
  </r>
  <r>
    <x v="0"/>
    <s v="Nairobi"/>
    <s v="Afrique de l'Est"/>
    <x v="53"/>
    <x v="54"/>
    <x v="4"/>
    <n v="5"/>
    <n v="15000"/>
    <n v="74995"/>
    <n v="7500"/>
  </r>
  <r>
    <x v="3"/>
    <s v="Addis-Abeba"/>
    <s v="Afrique de l'Est"/>
    <x v="54"/>
    <x v="55"/>
    <x v="2"/>
    <n v="10"/>
    <n v="45000"/>
    <n v="427544"/>
    <n v="76958"/>
  </r>
  <r>
    <x v="1"/>
    <s v="Cotonou"/>
    <s v="Afrique de l'Ouest"/>
    <x v="55"/>
    <x v="56"/>
    <x v="4"/>
    <n v="1"/>
    <n v="15000"/>
    <n v="16304"/>
    <n v="1630"/>
  </r>
  <r>
    <x v="4"/>
    <s v="Kinshasa"/>
    <s v="Afrique Centrale"/>
    <x v="56"/>
    <x v="57"/>
    <x v="0"/>
    <n v="9"/>
    <n v="18500"/>
    <n v="159932"/>
    <n v="19192"/>
  </r>
  <r>
    <x v="1"/>
    <s v="Cotonou"/>
    <s v="Afrique de l'Ouest"/>
    <x v="57"/>
    <x v="58"/>
    <x v="3"/>
    <n v="8"/>
    <n v="55000"/>
    <n v="423681"/>
    <n v="93210"/>
  </r>
  <r>
    <x v="4"/>
    <s v="Lomé"/>
    <s v="Afrique de l'Ouest"/>
    <x v="2"/>
    <x v="59"/>
    <x v="0"/>
    <n v="7"/>
    <n v="18500"/>
    <n v="137559"/>
    <n v="16507"/>
  </r>
  <r>
    <x v="1"/>
    <s v="Ouagadougou"/>
    <s v="Afrique de l'Ouest"/>
    <x v="58"/>
    <x v="60"/>
    <x v="1"/>
    <n v="2"/>
    <n v="12500"/>
    <n v="26424"/>
    <n v="2114"/>
  </r>
  <r>
    <x v="2"/>
    <s v="Dakar"/>
    <s v="Afrique de l'Ouest"/>
    <x v="49"/>
    <x v="61"/>
    <x v="0"/>
    <n v="3"/>
    <n v="18500"/>
    <n v="59461"/>
    <n v="7135"/>
  </r>
  <r>
    <x v="0"/>
    <s v="Nairobi"/>
    <s v="Afrique de l'Est"/>
    <x v="59"/>
    <x v="62"/>
    <x v="1"/>
    <n v="6"/>
    <n v="12500"/>
    <n v="76372"/>
    <n v="6110"/>
  </r>
  <r>
    <x v="3"/>
    <s v="Accra"/>
    <s v="Afrique de l'Ouest"/>
    <x v="60"/>
    <x v="63"/>
    <x v="0"/>
    <n v="4"/>
    <n v="18500"/>
    <n v="66652"/>
    <n v="7998"/>
  </r>
  <r>
    <x v="3"/>
    <s v="Dar es Salaam"/>
    <s v="Afrique de l'Est"/>
    <x v="40"/>
    <x v="64"/>
    <x v="0"/>
    <n v="4"/>
    <n v="18500"/>
    <n v="69420"/>
    <n v="8330"/>
  </r>
  <r>
    <x v="2"/>
    <s v="Abidjan"/>
    <s v="Afrique de l'Ouest"/>
    <x v="61"/>
    <x v="65"/>
    <x v="3"/>
    <n v="6"/>
    <n v="55000"/>
    <n v="320334"/>
    <n v="70473"/>
  </r>
  <r>
    <x v="1"/>
    <s v="Dakar"/>
    <s v="Afrique de l'Ouest"/>
    <x v="62"/>
    <x v="66"/>
    <x v="0"/>
    <n v="5"/>
    <n v="18500"/>
    <n v="94555"/>
    <n v="11347"/>
  </r>
  <r>
    <x v="0"/>
    <s v="Douala"/>
    <s v="Afrique Centrale"/>
    <x v="63"/>
    <x v="67"/>
    <x v="2"/>
    <n v="7"/>
    <n v="45000"/>
    <n v="326843"/>
    <n v="58832"/>
  </r>
  <r>
    <x v="0"/>
    <s v="Yaoundé"/>
    <s v="Afrique Centrale"/>
    <x v="64"/>
    <x v="68"/>
    <x v="0"/>
    <n v="9"/>
    <n v="18500"/>
    <n v="182531"/>
    <n v="21904"/>
  </r>
  <r>
    <x v="4"/>
    <s v="Kampala"/>
    <s v="Afrique de l'Est"/>
    <x v="17"/>
    <x v="69"/>
    <x v="1"/>
    <n v="7"/>
    <n v="12500"/>
    <n v="92789"/>
    <n v="7423"/>
  </r>
  <r>
    <x v="3"/>
    <s v="Dakar"/>
    <s v="Afrique de l'Ouest"/>
    <x v="65"/>
    <x v="70"/>
    <x v="0"/>
    <n v="8"/>
    <n v="18500"/>
    <n v="135185"/>
    <n v="16222"/>
  </r>
  <r>
    <x v="3"/>
    <s v="Abidjan"/>
    <s v="Afrique de l'Ouest"/>
    <x v="62"/>
    <x v="71"/>
    <x v="1"/>
    <n v="2"/>
    <n v="12500"/>
    <n v="23047"/>
    <n v="1844"/>
  </r>
  <r>
    <x v="3"/>
    <s v="Dakar"/>
    <s v="Afrique de l'Ouest"/>
    <x v="66"/>
    <x v="72"/>
    <x v="0"/>
    <n v="7"/>
    <n v="18500"/>
    <n v="134223"/>
    <n v="16107"/>
  </r>
  <r>
    <x v="1"/>
    <s v="Yaoundé"/>
    <s v="Afrique Centrale"/>
    <x v="67"/>
    <x v="73"/>
    <x v="2"/>
    <n v="4"/>
    <n v="45000"/>
    <n v="167100"/>
    <n v="30078"/>
  </r>
  <r>
    <x v="0"/>
    <s v="Ouagadougou"/>
    <s v="Afrique de l'Ouest"/>
    <x v="68"/>
    <x v="74"/>
    <x v="1"/>
    <n v="4"/>
    <n v="12500"/>
    <n v="50843"/>
    <n v="4067"/>
  </r>
  <r>
    <x v="0"/>
    <s v="Lomé"/>
    <s v="Afrique de l'Ouest"/>
    <x v="24"/>
    <x v="75"/>
    <x v="4"/>
    <n v="1"/>
    <n v="15000"/>
    <n v="14355"/>
    <n v="1436"/>
  </r>
  <r>
    <x v="4"/>
    <s v="Addis-Abeba"/>
    <s v="Afrique de l'Est"/>
    <x v="19"/>
    <x v="76"/>
    <x v="3"/>
    <n v="9"/>
    <n v="55000"/>
    <n v="519987"/>
    <n v="114397"/>
  </r>
  <r>
    <x v="2"/>
    <s v="Lagos"/>
    <s v="Afrique de l'Ouest"/>
    <x v="46"/>
    <x v="77"/>
    <x v="1"/>
    <n v="8"/>
    <n v="12500"/>
    <n v="109171"/>
    <n v="8734"/>
  </r>
  <r>
    <x v="1"/>
    <s v="Cotonou"/>
    <s v="Afrique de l'Ouest"/>
    <x v="60"/>
    <x v="78"/>
    <x v="1"/>
    <n v="5"/>
    <n v="12500"/>
    <n v="66886"/>
    <n v="5351"/>
  </r>
  <r>
    <x v="1"/>
    <s v="Nairobi"/>
    <s v="Afrique de l'Est"/>
    <x v="69"/>
    <x v="6"/>
    <x v="3"/>
    <n v="1"/>
    <n v="55000"/>
    <n v="53470"/>
    <n v="11763"/>
  </r>
  <r>
    <x v="3"/>
    <s v="Lomé"/>
    <s v="Afrique de l'Ouest"/>
    <x v="70"/>
    <x v="79"/>
    <x v="2"/>
    <n v="3"/>
    <n v="45000"/>
    <n v="141160"/>
    <n v="25409"/>
  </r>
  <r>
    <x v="4"/>
    <s v="Nairobi"/>
    <s v="Afrique de l'Est"/>
    <x v="71"/>
    <x v="58"/>
    <x v="1"/>
    <n v="1"/>
    <n v="12500"/>
    <n v="12849"/>
    <n v="1028"/>
  </r>
  <r>
    <x v="3"/>
    <s v="Yaoundé"/>
    <s v="Afrique Centrale"/>
    <x v="16"/>
    <x v="80"/>
    <x v="4"/>
    <n v="3"/>
    <n v="15000"/>
    <n v="41395"/>
    <n v="4140"/>
  </r>
  <r>
    <x v="1"/>
    <s v="Accra"/>
    <s v="Afrique de l'Ouest"/>
    <x v="72"/>
    <x v="81"/>
    <x v="3"/>
    <n v="7"/>
    <n v="55000"/>
    <n v="386908"/>
    <n v="85120"/>
  </r>
  <r>
    <x v="1"/>
    <s v="Yaoundé"/>
    <s v="Afrique Centrale"/>
    <x v="67"/>
    <x v="82"/>
    <x v="0"/>
    <n v="5"/>
    <n v="18500"/>
    <n v="86520"/>
    <n v="10382"/>
  </r>
  <r>
    <x v="1"/>
    <s v="Nairobi"/>
    <s v="Afrique de l'Est"/>
    <x v="73"/>
    <x v="64"/>
    <x v="2"/>
    <n v="10"/>
    <n v="45000"/>
    <n v="435035"/>
    <n v="78306"/>
  </r>
  <r>
    <x v="0"/>
    <s v="Nairobi"/>
    <s v="Afrique de l'Est"/>
    <x v="37"/>
    <x v="80"/>
    <x v="0"/>
    <n v="8"/>
    <n v="18500"/>
    <n v="154309"/>
    <n v="18517"/>
  </r>
  <r>
    <x v="2"/>
    <s v="Lomé"/>
    <s v="Afrique de l'Ouest"/>
    <x v="0"/>
    <x v="83"/>
    <x v="2"/>
    <n v="5"/>
    <n v="45000"/>
    <n v="215625"/>
    <n v="38812"/>
  </r>
  <r>
    <x v="4"/>
    <s v="Dakar"/>
    <s v="Afrique de l'Ouest"/>
    <x v="74"/>
    <x v="63"/>
    <x v="1"/>
    <n v="8"/>
    <n v="12500"/>
    <n v="99344"/>
    <n v="7948"/>
  </r>
  <r>
    <x v="1"/>
    <s v="Dakar"/>
    <s v="Afrique de l'Ouest"/>
    <x v="75"/>
    <x v="54"/>
    <x v="0"/>
    <n v="3"/>
    <n v="18500"/>
    <n v="55164"/>
    <n v="6620"/>
  </r>
  <r>
    <x v="1"/>
    <s v="Kampala"/>
    <s v="Afrique de l'Est"/>
    <x v="32"/>
    <x v="0"/>
    <x v="0"/>
    <n v="1"/>
    <n v="18500"/>
    <n v="20340"/>
    <n v="2441"/>
  </r>
  <r>
    <x v="2"/>
    <s v="Abidjan"/>
    <s v="Afrique de l'Ouest"/>
    <x v="67"/>
    <x v="84"/>
    <x v="3"/>
    <n v="10"/>
    <n v="55000"/>
    <n v="529067"/>
    <n v="116395"/>
  </r>
  <r>
    <x v="1"/>
    <s v="Dakar"/>
    <s v="Afrique de l'Ouest"/>
    <x v="76"/>
    <x v="37"/>
    <x v="3"/>
    <n v="7"/>
    <n v="55000"/>
    <n v="356017"/>
    <n v="78324"/>
  </r>
  <r>
    <x v="3"/>
    <s v="Dar es Salaam"/>
    <s v="Afrique de l'Est"/>
    <x v="48"/>
    <x v="85"/>
    <x v="0"/>
    <n v="5"/>
    <n v="18500"/>
    <n v="101703"/>
    <n v="12204"/>
  </r>
  <r>
    <x v="1"/>
    <s v="Kinshasa"/>
    <s v="Afrique Centrale"/>
    <x v="77"/>
    <x v="86"/>
    <x v="1"/>
    <n v="1"/>
    <n v="12500"/>
    <n v="13165"/>
    <n v="1053"/>
  </r>
  <r>
    <x v="1"/>
    <s v="Cotonou"/>
    <s v="Afrique de l'Ouest"/>
    <x v="78"/>
    <x v="87"/>
    <x v="4"/>
    <n v="8"/>
    <n v="15000"/>
    <n v="109534"/>
    <n v="10953"/>
  </r>
  <r>
    <x v="3"/>
    <s v="Kinshasa"/>
    <s v="Afrique Centrale"/>
    <x v="79"/>
    <x v="88"/>
    <x v="4"/>
    <n v="1"/>
    <n v="15000"/>
    <n v="16473"/>
    <n v="1647"/>
  </r>
  <r>
    <x v="2"/>
    <s v="Lagos"/>
    <s v="Afrique de l'Ouest"/>
    <x v="80"/>
    <x v="84"/>
    <x v="4"/>
    <n v="6"/>
    <n v="15000"/>
    <n v="84100"/>
    <n v="8410"/>
  </r>
  <r>
    <x v="4"/>
    <s v="Douala"/>
    <s v="Afrique Centrale"/>
    <x v="81"/>
    <x v="89"/>
    <x v="0"/>
    <n v="8"/>
    <n v="18500"/>
    <n v="151317"/>
    <n v="18158"/>
  </r>
  <r>
    <x v="4"/>
    <s v="Addis-Abeba"/>
    <s v="Afrique de l'Est"/>
    <x v="82"/>
    <x v="23"/>
    <x v="2"/>
    <n v="7"/>
    <n v="45000"/>
    <n v="307542"/>
    <n v="55358"/>
  </r>
  <r>
    <x v="4"/>
    <s v="Addis-Abeba"/>
    <s v="Afrique de l'Est"/>
    <x v="1"/>
    <x v="90"/>
    <x v="2"/>
    <n v="9"/>
    <n v="45000"/>
    <n v="400687"/>
    <n v="72124"/>
  </r>
  <r>
    <x v="4"/>
    <s v="Lomé"/>
    <s v="Afrique de l'Ouest"/>
    <x v="69"/>
    <x v="21"/>
    <x v="2"/>
    <n v="5"/>
    <n v="45000"/>
    <n v="241128"/>
    <n v="43403"/>
  </r>
  <r>
    <x v="3"/>
    <s v="Ouagadougou"/>
    <s v="Afrique de l'Ouest"/>
    <x v="20"/>
    <x v="37"/>
    <x v="3"/>
    <n v="10"/>
    <n v="55000"/>
    <n v="538180"/>
    <n v="118400"/>
  </r>
  <r>
    <x v="2"/>
    <s v="Accra"/>
    <s v="Afrique de l'Ouest"/>
    <x v="83"/>
    <x v="91"/>
    <x v="2"/>
    <n v="6"/>
    <n v="45000"/>
    <n v="282523"/>
    <n v="50854"/>
  </r>
  <r>
    <x v="3"/>
    <s v="Cotonou"/>
    <s v="Afrique de l'Ouest"/>
    <x v="84"/>
    <x v="19"/>
    <x v="4"/>
    <n v="8"/>
    <n v="15000"/>
    <n v="122792"/>
    <n v="12279"/>
  </r>
  <r>
    <x v="1"/>
    <s v="Douala"/>
    <s v="Afrique Centrale"/>
    <x v="85"/>
    <x v="92"/>
    <x v="3"/>
    <n v="6"/>
    <n v="55000"/>
    <n v="329623"/>
    <n v="72517"/>
  </r>
  <r>
    <x v="0"/>
    <s v="Accra"/>
    <s v="Afrique de l'Ouest"/>
    <x v="86"/>
    <x v="52"/>
    <x v="4"/>
    <n v="1"/>
    <n v="15000"/>
    <n v="14498"/>
    <n v="1450"/>
  </r>
  <r>
    <x v="0"/>
    <s v="Accra"/>
    <s v="Afrique de l'Ouest"/>
    <x v="6"/>
    <x v="14"/>
    <x v="2"/>
    <n v="2"/>
    <n v="45000"/>
    <n v="87996"/>
    <n v="15839"/>
  </r>
  <r>
    <x v="3"/>
    <s v="Kampala"/>
    <s v="Afrique de l'Est"/>
    <x v="87"/>
    <x v="93"/>
    <x v="0"/>
    <n v="3"/>
    <n v="18500"/>
    <n v="52721"/>
    <n v="6327"/>
  </r>
  <r>
    <x v="1"/>
    <s v="Ouagadougou"/>
    <s v="Afrique de l'Ouest"/>
    <x v="79"/>
    <x v="94"/>
    <x v="3"/>
    <n v="4"/>
    <n v="55000"/>
    <n v="212159"/>
    <n v="46675"/>
  </r>
  <r>
    <x v="4"/>
    <s v="Lagos"/>
    <s v="Afrique de l'Ouest"/>
    <x v="88"/>
    <x v="95"/>
    <x v="2"/>
    <n v="4"/>
    <n v="45000"/>
    <n v="166120"/>
    <n v="29902"/>
  </r>
  <r>
    <x v="1"/>
    <s v="Dar es Salaam"/>
    <s v="Afrique de l'Est"/>
    <x v="89"/>
    <x v="84"/>
    <x v="3"/>
    <n v="3"/>
    <n v="55000"/>
    <n v="175504"/>
    <n v="38611"/>
  </r>
  <r>
    <x v="1"/>
    <s v="Lomé"/>
    <s v="Afrique de l'Ouest"/>
    <x v="77"/>
    <x v="96"/>
    <x v="1"/>
    <n v="8"/>
    <n v="12500"/>
    <n v="94280"/>
    <n v="7542"/>
  </r>
  <r>
    <x v="0"/>
    <s v="Lagos"/>
    <s v="Afrique de l'Ouest"/>
    <x v="90"/>
    <x v="97"/>
    <x v="3"/>
    <n v="1"/>
    <n v="55000"/>
    <n v="49941"/>
    <n v="10987"/>
  </r>
  <r>
    <x v="0"/>
    <s v="Douala"/>
    <s v="Afrique Centrale"/>
    <x v="91"/>
    <x v="9"/>
    <x v="2"/>
    <n v="5"/>
    <n v="45000"/>
    <n v="245181"/>
    <n v="44133"/>
  </r>
  <r>
    <x v="2"/>
    <s v="Yaoundé"/>
    <s v="Afrique Centrale"/>
    <x v="55"/>
    <x v="98"/>
    <x v="4"/>
    <n v="9"/>
    <n v="15000"/>
    <n v="129340"/>
    <n v="12934"/>
  </r>
  <r>
    <x v="4"/>
    <s v="Lomé"/>
    <s v="Afrique de l'Ouest"/>
    <x v="92"/>
    <x v="99"/>
    <x v="2"/>
    <n v="4"/>
    <n v="45000"/>
    <n v="182794"/>
    <n v="32903"/>
  </r>
  <r>
    <x v="2"/>
    <s v="Dar es Salaam"/>
    <s v="Afrique de l'Est"/>
    <x v="93"/>
    <x v="100"/>
    <x v="3"/>
    <n v="8"/>
    <n v="55000"/>
    <n v="402519"/>
    <n v="88554"/>
  </r>
  <r>
    <x v="1"/>
    <s v="Kampala"/>
    <s v="Afrique de l'Est"/>
    <x v="27"/>
    <x v="101"/>
    <x v="1"/>
    <n v="1"/>
    <n v="12500"/>
    <n v="13136"/>
    <n v="1051"/>
  </r>
  <r>
    <x v="1"/>
    <s v="Ouagadougou"/>
    <s v="Afrique de l'Ouest"/>
    <x v="69"/>
    <x v="102"/>
    <x v="1"/>
    <n v="9"/>
    <n v="12500"/>
    <n v="110326"/>
    <n v="8826"/>
  </r>
  <r>
    <x v="3"/>
    <s v="Bamako"/>
    <s v="Afrique de l'Ouest"/>
    <x v="65"/>
    <x v="103"/>
    <x v="4"/>
    <n v="6"/>
    <n v="15000"/>
    <n v="98363"/>
    <n v="9836"/>
  </r>
  <r>
    <x v="4"/>
    <s v="Accra"/>
    <s v="Afrique de l'Ouest"/>
    <x v="94"/>
    <x v="104"/>
    <x v="0"/>
    <n v="6"/>
    <n v="18500"/>
    <n v="110973"/>
    <n v="13317"/>
  </r>
  <r>
    <x v="3"/>
    <s v="Cotonou"/>
    <s v="Afrique de l'Ouest"/>
    <x v="95"/>
    <x v="105"/>
    <x v="0"/>
    <n v="10"/>
    <n v="18500"/>
    <n v="200860"/>
    <n v="24103"/>
  </r>
  <r>
    <x v="1"/>
    <s v="Ouagadougou"/>
    <s v="Afrique de l'Ouest"/>
    <x v="96"/>
    <x v="106"/>
    <x v="3"/>
    <n v="2"/>
    <n v="55000"/>
    <n v="104415"/>
    <n v="22971"/>
  </r>
  <r>
    <x v="3"/>
    <s v="Abidjan"/>
    <s v="Afrique de l'Ouest"/>
    <x v="97"/>
    <x v="107"/>
    <x v="0"/>
    <n v="5"/>
    <n v="18500"/>
    <n v="98369"/>
    <n v="11804"/>
  </r>
  <r>
    <x v="1"/>
    <s v="Cotonou"/>
    <s v="Afrique de l'Ouest"/>
    <x v="75"/>
    <x v="108"/>
    <x v="4"/>
    <n v="5"/>
    <n v="15000"/>
    <n v="72318"/>
    <n v="7232"/>
  </r>
  <r>
    <x v="3"/>
    <s v="Ouagadougou"/>
    <s v="Afrique de l'Ouest"/>
    <x v="98"/>
    <x v="109"/>
    <x v="3"/>
    <n v="3"/>
    <n v="55000"/>
    <n v="177973"/>
    <n v="39154"/>
  </r>
  <r>
    <x v="0"/>
    <s v="Kampala"/>
    <s v="Afrique de l'Est"/>
    <x v="50"/>
    <x v="79"/>
    <x v="3"/>
    <n v="9"/>
    <n v="55000"/>
    <n v="487488"/>
    <n v="107247"/>
  </r>
  <r>
    <x v="4"/>
    <s v="Lomé"/>
    <s v="Afrique de l'Ouest"/>
    <x v="89"/>
    <x v="66"/>
    <x v="1"/>
    <n v="9"/>
    <n v="12500"/>
    <n v="113663"/>
    <n v="9093"/>
  </r>
  <r>
    <x v="1"/>
    <s v="Yaoundé"/>
    <s v="Afrique Centrale"/>
    <x v="99"/>
    <x v="110"/>
    <x v="2"/>
    <n v="3"/>
    <n v="45000"/>
    <n v="137034"/>
    <n v="24666"/>
  </r>
  <r>
    <x v="1"/>
    <s v="Accra"/>
    <s v="Afrique de l'Ouest"/>
    <x v="16"/>
    <x v="73"/>
    <x v="2"/>
    <n v="4"/>
    <n v="45000"/>
    <n v="165104"/>
    <n v="29719"/>
  </r>
  <r>
    <x v="2"/>
    <s v="Yaoundé"/>
    <s v="Afrique Centrale"/>
    <x v="100"/>
    <x v="111"/>
    <x v="0"/>
    <n v="9"/>
    <n v="18500"/>
    <n v="152350"/>
    <n v="18282"/>
  </r>
  <r>
    <x v="2"/>
    <s v="Dar es Salaam"/>
    <s v="Afrique de l'Est"/>
    <x v="101"/>
    <x v="112"/>
    <x v="0"/>
    <n v="6"/>
    <n v="18500"/>
    <n v="115028"/>
    <n v="13803"/>
  </r>
  <r>
    <x v="4"/>
    <s v="Cotonou"/>
    <s v="Afrique de l'Ouest"/>
    <x v="66"/>
    <x v="113"/>
    <x v="3"/>
    <n v="2"/>
    <n v="55000"/>
    <n v="106945"/>
    <n v="23528"/>
  </r>
  <r>
    <x v="4"/>
    <s v="Nairobi"/>
    <s v="Afrique de l'Est"/>
    <x v="102"/>
    <x v="42"/>
    <x v="2"/>
    <n v="10"/>
    <n v="45000"/>
    <n v="440982"/>
    <n v="79377"/>
  </r>
  <r>
    <x v="3"/>
    <s v="Lagos"/>
    <s v="Afrique de l'Ouest"/>
    <x v="103"/>
    <x v="114"/>
    <x v="3"/>
    <n v="6"/>
    <n v="55000"/>
    <n v="358315"/>
    <n v="78829"/>
  </r>
  <r>
    <x v="4"/>
    <s v="Yaoundé"/>
    <s v="Afrique Centrale"/>
    <x v="48"/>
    <x v="100"/>
    <x v="4"/>
    <n v="5"/>
    <n v="15000"/>
    <n v="81278"/>
    <n v="8128"/>
  </r>
  <r>
    <x v="4"/>
    <s v="Kinshasa"/>
    <s v="Afrique Centrale"/>
    <x v="104"/>
    <x v="115"/>
    <x v="3"/>
    <n v="7"/>
    <n v="55000"/>
    <n v="402137"/>
    <n v="88470"/>
  </r>
  <r>
    <x v="0"/>
    <s v="Bamako"/>
    <s v="Afrique de l'Ouest"/>
    <x v="58"/>
    <x v="53"/>
    <x v="3"/>
    <n v="1"/>
    <n v="55000"/>
    <n v="53552"/>
    <n v="11781"/>
  </r>
  <r>
    <x v="3"/>
    <s v="Dar es Salaam"/>
    <s v="Afrique de l'Est"/>
    <x v="105"/>
    <x v="99"/>
    <x v="4"/>
    <n v="9"/>
    <n v="15000"/>
    <n v="125626"/>
    <n v="12563"/>
  </r>
  <r>
    <x v="3"/>
    <s v="Douala"/>
    <s v="Afrique Centrale"/>
    <x v="106"/>
    <x v="116"/>
    <x v="2"/>
    <n v="8"/>
    <n v="45000"/>
    <n v="333830"/>
    <n v="60089"/>
  </r>
  <r>
    <x v="4"/>
    <s v="Lomé"/>
    <s v="Afrique de l'Ouest"/>
    <x v="77"/>
    <x v="117"/>
    <x v="0"/>
    <n v="3"/>
    <n v="18500"/>
    <n v="60474"/>
    <n v="7257"/>
  </r>
  <r>
    <x v="1"/>
    <s v="Lomé"/>
    <s v="Afrique de l'Ouest"/>
    <x v="107"/>
    <x v="118"/>
    <x v="2"/>
    <n v="9"/>
    <n v="45000"/>
    <n v="373830"/>
    <n v="67289"/>
  </r>
  <r>
    <x v="4"/>
    <s v="Ouagadougou"/>
    <s v="Afrique de l'Ouest"/>
    <x v="34"/>
    <x v="119"/>
    <x v="1"/>
    <n v="6"/>
    <n v="12500"/>
    <n v="77654"/>
    <n v="6212"/>
  </r>
  <r>
    <x v="3"/>
    <s v="Abidjan"/>
    <s v="Afrique de l'Ouest"/>
    <x v="108"/>
    <x v="120"/>
    <x v="1"/>
    <n v="5"/>
    <n v="12500"/>
    <n v="61258"/>
    <n v="4901"/>
  </r>
  <r>
    <x v="3"/>
    <s v="Dakar"/>
    <s v="Afrique de l'Ouest"/>
    <x v="109"/>
    <x v="121"/>
    <x v="3"/>
    <n v="9"/>
    <n v="55000"/>
    <n v="467066"/>
    <n v="102755"/>
  </r>
  <r>
    <x v="1"/>
    <s v="Dakar"/>
    <s v="Afrique de l'Ouest"/>
    <x v="3"/>
    <x v="47"/>
    <x v="2"/>
    <n v="5"/>
    <n v="45000"/>
    <n v="241456"/>
    <n v="43462"/>
  </r>
  <r>
    <x v="2"/>
    <s v="Lagos"/>
    <s v="Afrique de l'Ouest"/>
    <x v="110"/>
    <x v="122"/>
    <x v="3"/>
    <n v="8"/>
    <n v="55000"/>
    <n v="443125"/>
    <n v="97488"/>
  </r>
  <r>
    <x v="1"/>
    <s v="Dakar"/>
    <s v="Afrique de l'Ouest"/>
    <x v="111"/>
    <x v="123"/>
    <x v="0"/>
    <n v="7"/>
    <n v="18500"/>
    <n v="129321"/>
    <n v="15519"/>
  </r>
  <r>
    <x v="1"/>
    <s v="Accra"/>
    <s v="Afrique de l'Ouest"/>
    <x v="14"/>
    <x v="66"/>
    <x v="4"/>
    <n v="7"/>
    <n v="15000"/>
    <n v="110652"/>
    <n v="11065"/>
  </r>
  <r>
    <x v="1"/>
    <s v="Bamako"/>
    <s v="Afrique de l'Ouest"/>
    <x v="40"/>
    <x v="107"/>
    <x v="0"/>
    <n v="10"/>
    <n v="18500"/>
    <n v="172466"/>
    <n v="20696"/>
  </r>
  <r>
    <x v="3"/>
    <s v="Dar es Salaam"/>
    <s v="Afrique de l'Est"/>
    <x v="112"/>
    <x v="124"/>
    <x v="3"/>
    <n v="5"/>
    <n v="55000"/>
    <n v="280181"/>
    <n v="61640"/>
  </r>
  <r>
    <x v="1"/>
    <s v="Yaoundé"/>
    <s v="Afrique Centrale"/>
    <x v="113"/>
    <x v="87"/>
    <x v="3"/>
    <n v="1"/>
    <n v="55000"/>
    <n v="60453"/>
    <n v="13300"/>
  </r>
  <r>
    <x v="3"/>
    <s v="Lomé"/>
    <s v="Afrique de l'Ouest"/>
    <x v="114"/>
    <x v="125"/>
    <x v="2"/>
    <n v="8"/>
    <n v="45000"/>
    <n v="337069"/>
    <n v="60672"/>
  </r>
  <r>
    <x v="4"/>
    <s v="Nairobi"/>
    <s v="Afrique de l'Est"/>
    <x v="65"/>
    <x v="126"/>
    <x v="2"/>
    <n v="9"/>
    <n v="45000"/>
    <n v="399093"/>
    <n v="71837"/>
  </r>
  <r>
    <x v="2"/>
    <s v="Cotonou"/>
    <s v="Afrique de l'Ouest"/>
    <x v="115"/>
    <x v="13"/>
    <x v="3"/>
    <n v="4"/>
    <n v="55000"/>
    <n v="235371"/>
    <n v="51782"/>
  </r>
  <r>
    <x v="2"/>
    <s v="Ouagadougou"/>
    <s v="Afrique de l'Ouest"/>
    <x v="78"/>
    <x v="127"/>
    <x v="2"/>
    <n v="1"/>
    <n v="45000"/>
    <n v="44520"/>
    <n v="8014"/>
  </r>
  <r>
    <x v="3"/>
    <s v="Nairobi"/>
    <s v="Afrique de l'Est"/>
    <x v="54"/>
    <x v="3"/>
    <x v="0"/>
    <n v="7"/>
    <n v="18500"/>
    <n v="132274"/>
    <n v="15873"/>
  </r>
  <r>
    <x v="3"/>
    <s v="Dakar"/>
    <s v="Afrique de l'Ouest"/>
    <x v="61"/>
    <x v="11"/>
    <x v="0"/>
    <n v="6"/>
    <n v="18500"/>
    <n v="109475"/>
    <n v="13137"/>
  </r>
  <r>
    <x v="1"/>
    <s v="Addis-Abeba"/>
    <s v="Afrique de l'Est"/>
    <x v="46"/>
    <x v="128"/>
    <x v="4"/>
    <n v="5"/>
    <n v="15000"/>
    <n v="77913"/>
    <n v="7791"/>
  </r>
  <r>
    <x v="1"/>
    <s v="Kinshasa"/>
    <s v="Afrique Centrale"/>
    <x v="95"/>
    <x v="129"/>
    <x v="0"/>
    <n v="7"/>
    <n v="18500"/>
    <n v="137603"/>
    <n v="16512"/>
  </r>
  <r>
    <x v="2"/>
    <s v="Ouagadougou"/>
    <s v="Afrique de l'Ouest"/>
    <x v="116"/>
    <x v="130"/>
    <x v="1"/>
    <n v="7"/>
    <n v="12500"/>
    <n v="78966"/>
    <n v="6317"/>
  </r>
  <r>
    <x v="0"/>
    <s v="Douala"/>
    <s v="Afrique Centrale"/>
    <x v="18"/>
    <x v="131"/>
    <x v="4"/>
    <n v="7"/>
    <n v="15000"/>
    <n v="114355"/>
    <n v="11436"/>
  </r>
  <r>
    <x v="1"/>
    <s v="Lomé"/>
    <s v="Afrique de l'Ouest"/>
    <x v="58"/>
    <x v="132"/>
    <x v="3"/>
    <n v="1"/>
    <n v="55000"/>
    <n v="52450"/>
    <n v="11539"/>
  </r>
  <r>
    <x v="0"/>
    <s v="Addis-Abeba"/>
    <s v="Afrique de l'Est"/>
    <x v="117"/>
    <x v="133"/>
    <x v="1"/>
    <n v="3"/>
    <n v="12500"/>
    <n v="35922"/>
    <n v="2874"/>
  </r>
  <r>
    <x v="1"/>
    <s v="Nairobi"/>
    <s v="Afrique de l'Est"/>
    <x v="101"/>
    <x v="134"/>
    <x v="3"/>
    <n v="6"/>
    <n v="55000"/>
    <n v="305862"/>
    <n v="67290"/>
  </r>
  <r>
    <x v="4"/>
    <s v="Cotonou"/>
    <s v="Afrique de l'Ouest"/>
    <x v="102"/>
    <x v="135"/>
    <x v="3"/>
    <n v="2"/>
    <n v="55000"/>
    <n v="114676"/>
    <n v="25229"/>
  </r>
  <r>
    <x v="2"/>
    <s v="Lomé"/>
    <s v="Afrique de l'Ouest"/>
    <x v="118"/>
    <x v="136"/>
    <x v="1"/>
    <n v="1"/>
    <n v="12500"/>
    <n v="13535"/>
    <n v="1083"/>
  </r>
  <r>
    <x v="3"/>
    <s v="Dakar"/>
    <s v="Afrique de l'Ouest"/>
    <x v="115"/>
    <x v="33"/>
    <x v="1"/>
    <n v="4"/>
    <n v="12500"/>
    <n v="49707"/>
    <n v="3977"/>
  </r>
  <r>
    <x v="4"/>
    <s v="Douala"/>
    <s v="Afrique Centrale"/>
    <x v="111"/>
    <x v="137"/>
    <x v="2"/>
    <n v="2"/>
    <n v="45000"/>
    <n v="82375"/>
    <n v="14828"/>
  </r>
  <r>
    <x v="0"/>
    <s v="Lagos"/>
    <s v="Afrique de l'Ouest"/>
    <x v="119"/>
    <x v="18"/>
    <x v="1"/>
    <n v="10"/>
    <n v="12500"/>
    <n v="113182"/>
    <n v="9055"/>
  </r>
  <r>
    <x v="0"/>
    <s v="Abidjan"/>
    <s v="Afrique de l'Ouest"/>
    <x v="120"/>
    <x v="138"/>
    <x v="0"/>
    <n v="10"/>
    <n v="18500"/>
    <n v="190109"/>
    <n v="22813"/>
  </r>
  <r>
    <x v="0"/>
    <s v="Dakar"/>
    <s v="Afrique de l'Ouest"/>
    <x v="43"/>
    <x v="73"/>
    <x v="1"/>
    <n v="1"/>
    <n v="12500"/>
    <n v="11701"/>
    <n v="936"/>
  </r>
  <r>
    <x v="1"/>
    <s v="Lomé"/>
    <s v="Afrique de l'Ouest"/>
    <x v="121"/>
    <x v="139"/>
    <x v="3"/>
    <n v="5"/>
    <n v="55000"/>
    <n v="253217"/>
    <n v="55708"/>
  </r>
  <r>
    <x v="1"/>
    <s v="Lomé"/>
    <s v="Afrique de l'Ouest"/>
    <x v="63"/>
    <x v="73"/>
    <x v="2"/>
    <n v="10"/>
    <n v="45000"/>
    <n v="471167"/>
    <n v="84810"/>
  </r>
  <r>
    <x v="4"/>
    <s v="Lagos"/>
    <s v="Afrique de l'Ouest"/>
    <x v="122"/>
    <x v="64"/>
    <x v="0"/>
    <n v="3"/>
    <n v="18500"/>
    <n v="55628"/>
    <n v="6675"/>
  </r>
  <r>
    <x v="2"/>
    <s v="Kampala"/>
    <s v="Afrique de l'Est"/>
    <x v="75"/>
    <x v="45"/>
    <x v="3"/>
    <n v="3"/>
    <n v="55000"/>
    <n v="177645"/>
    <n v="39082"/>
  </r>
  <r>
    <x v="1"/>
    <s v="Abidjan"/>
    <s v="Afrique de l'Ouest"/>
    <x v="70"/>
    <x v="140"/>
    <x v="1"/>
    <n v="3"/>
    <n v="12500"/>
    <n v="38602"/>
    <n v="3088"/>
  </r>
  <r>
    <x v="0"/>
    <s v="Accra"/>
    <s v="Afrique de l'Ouest"/>
    <x v="123"/>
    <x v="141"/>
    <x v="0"/>
    <n v="7"/>
    <n v="18500"/>
    <n v="125362"/>
    <n v="15043"/>
  </r>
  <r>
    <x v="3"/>
    <s v="Lagos"/>
    <s v="Afrique de l'Ouest"/>
    <x v="0"/>
    <x v="107"/>
    <x v="3"/>
    <n v="9"/>
    <n v="55000"/>
    <n v="491062"/>
    <n v="108034"/>
  </r>
  <r>
    <x v="2"/>
    <s v="Accra"/>
    <s v="Afrique de l'Ouest"/>
    <x v="22"/>
    <x v="142"/>
    <x v="3"/>
    <n v="7"/>
    <n v="55000"/>
    <n v="360028"/>
    <n v="79206"/>
  </r>
  <r>
    <x v="2"/>
    <s v="Douala"/>
    <s v="Afrique Centrale"/>
    <x v="124"/>
    <x v="143"/>
    <x v="4"/>
    <n v="6"/>
    <n v="15000"/>
    <n v="84394"/>
    <n v="8439"/>
  </r>
  <r>
    <x v="2"/>
    <s v="Kampala"/>
    <s v="Afrique de l'Est"/>
    <x v="125"/>
    <x v="144"/>
    <x v="0"/>
    <n v="3"/>
    <n v="18500"/>
    <n v="56236"/>
    <n v="6748"/>
  </r>
  <r>
    <x v="3"/>
    <s v="Lomé"/>
    <s v="Afrique de l'Ouest"/>
    <x v="31"/>
    <x v="145"/>
    <x v="1"/>
    <n v="7"/>
    <n v="12500"/>
    <n v="82872"/>
    <n v="6630"/>
  </r>
  <r>
    <x v="0"/>
    <s v="Nairobi"/>
    <s v="Afrique de l'Est"/>
    <x v="95"/>
    <x v="146"/>
    <x v="3"/>
    <n v="9"/>
    <n v="55000"/>
    <n v="519717"/>
    <n v="114338"/>
  </r>
  <r>
    <x v="2"/>
    <s v="Nairobi"/>
    <s v="Afrique de l'Est"/>
    <x v="63"/>
    <x v="147"/>
    <x v="1"/>
    <n v="5"/>
    <n v="12500"/>
    <n v="66088"/>
    <n v="5287"/>
  </r>
  <r>
    <x v="1"/>
    <s v="Lagos"/>
    <s v="Afrique de l'Ouest"/>
    <x v="104"/>
    <x v="16"/>
    <x v="0"/>
    <n v="4"/>
    <n v="18500"/>
    <n v="73076"/>
    <n v="8769"/>
  </r>
  <r>
    <x v="1"/>
    <s v="Bamako"/>
    <s v="Afrique de l'Ouest"/>
    <x v="90"/>
    <x v="116"/>
    <x v="2"/>
    <n v="3"/>
    <n v="45000"/>
    <n v="129127"/>
    <n v="23243"/>
  </r>
  <r>
    <x v="4"/>
    <s v="Addis-Abeba"/>
    <s v="Afrique de l'Est"/>
    <x v="93"/>
    <x v="58"/>
    <x v="1"/>
    <n v="8"/>
    <n v="12500"/>
    <n v="99945"/>
    <n v="7996"/>
  </r>
  <r>
    <x v="3"/>
    <s v="Ouagadougou"/>
    <s v="Afrique de l'Ouest"/>
    <x v="78"/>
    <x v="148"/>
    <x v="3"/>
    <n v="9"/>
    <n v="55000"/>
    <n v="512653"/>
    <n v="112784"/>
  </r>
  <r>
    <x v="1"/>
    <s v="Lomé"/>
    <s v="Afrique de l'Ouest"/>
    <x v="118"/>
    <x v="149"/>
    <x v="1"/>
    <n v="8"/>
    <n v="12500"/>
    <n v="94958"/>
    <n v="7597"/>
  </r>
  <r>
    <x v="0"/>
    <s v="Lagos"/>
    <s v="Afrique de l'Ouest"/>
    <x v="46"/>
    <x v="102"/>
    <x v="2"/>
    <n v="7"/>
    <n v="45000"/>
    <n v="342157"/>
    <n v="61588"/>
  </r>
  <r>
    <x v="3"/>
    <s v="Yaoundé"/>
    <s v="Afrique Centrale"/>
    <x v="126"/>
    <x v="7"/>
    <x v="4"/>
    <n v="9"/>
    <n v="15000"/>
    <n v="127994"/>
    <n v="12799"/>
  </r>
  <r>
    <x v="2"/>
    <s v="Kampala"/>
    <s v="Afrique de l'Est"/>
    <x v="51"/>
    <x v="45"/>
    <x v="3"/>
    <n v="1"/>
    <n v="55000"/>
    <n v="50846"/>
    <n v="11186"/>
  </r>
  <r>
    <x v="1"/>
    <s v="Lomé"/>
    <s v="Afrique de l'Ouest"/>
    <x v="127"/>
    <x v="150"/>
    <x v="2"/>
    <n v="7"/>
    <n v="45000"/>
    <n v="308716"/>
    <n v="55569"/>
  </r>
  <r>
    <x v="3"/>
    <s v="Kinshasa"/>
    <s v="Afrique Centrale"/>
    <x v="126"/>
    <x v="106"/>
    <x v="0"/>
    <n v="2"/>
    <n v="18500"/>
    <n v="38599"/>
    <n v="4632"/>
  </r>
  <r>
    <x v="4"/>
    <s v="Lomé"/>
    <s v="Afrique de l'Ouest"/>
    <x v="64"/>
    <x v="151"/>
    <x v="2"/>
    <n v="1"/>
    <n v="45000"/>
    <n v="40969"/>
    <n v="7374"/>
  </r>
  <r>
    <x v="0"/>
    <s v="Nairobi"/>
    <s v="Afrique de l'Est"/>
    <x v="128"/>
    <x v="146"/>
    <x v="0"/>
    <n v="4"/>
    <n v="18500"/>
    <n v="76807"/>
    <n v="9217"/>
  </r>
  <r>
    <x v="0"/>
    <s v="Lagos"/>
    <s v="Afrique de l'Ouest"/>
    <x v="96"/>
    <x v="152"/>
    <x v="4"/>
    <n v="9"/>
    <n v="15000"/>
    <n v="128642"/>
    <n v="12864"/>
  </r>
  <r>
    <x v="2"/>
    <s v="Accra"/>
    <s v="Afrique de l'Ouest"/>
    <x v="65"/>
    <x v="71"/>
    <x v="4"/>
    <n v="5"/>
    <n v="15000"/>
    <n v="69130"/>
    <n v="6913"/>
  </r>
  <r>
    <x v="4"/>
    <s v="Abidjan"/>
    <s v="Afrique de l'Ouest"/>
    <x v="1"/>
    <x v="153"/>
    <x v="1"/>
    <n v="9"/>
    <n v="12500"/>
    <n v="119616"/>
    <n v="9569"/>
  </r>
  <r>
    <x v="1"/>
    <s v="Bamako"/>
    <s v="Afrique de l'Ouest"/>
    <x v="5"/>
    <x v="42"/>
    <x v="0"/>
    <n v="4"/>
    <n v="18500"/>
    <n v="69122"/>
    <n v="8295"/>
  </r>
  <r>
    <x v="0"/>
    <s v="Addis-Abeba"/>
    <s v="Afrique de l'Est"/>
    <x v="58"/>
    <x v="154"/>
    <x v="4"/>
    <n v="10"/>
    <n v="15000"/>
    <n v="137050"/>
    <n v="13705"/>
  </r>
  <r>
    <x v="4"/>
    <s v="Bamako"/>
    <s v="Afrique de l'Ouest"/>
    <x v="72"/>
    <x v="155"/>
    <x v="3"/>
    <n v="10"/>
    <n v="55000"/>
    <n v="502811"/>
    <n v="110618"/>
  </r>
  <r>
    <x v="4"/>
    <s v="Abidjan"/>
    <s v="Afrique de l'Ouest"/>
    <x v="129"/>
    <x v="156"/>
    <x v="4"/>
    <n v="2"/>
    <n v="15000"/>
    <n v="31777"/>
    <n v="3178"/>
  </r>
  <r>
    <x v="3"/>
    <s v="Accra"/>
    <s v="Afrique de l'Ouest"/>
    <x v="118"/>
    <x v="157"/>
    <x v="4"/>
    <n v="10"/>
    <n v="15000"/>
    <n v="146915"/>
    <n v="14692"/>
  </r>
  <r>
    <x v="1"/>
    <s v="Kampala"/>
    <s v="Afrique de l'Est"/>
    <x v="130"/>
    <x v="158"/>
    <x v="4"/>
    <n v="5"/>
    <n v="15000"/>
    <n v="70100"/>
    <n v="7010"/>
  </r>
  <r>
    <x v="1"/>
    <s v="Addis-Abeba"/>
    <s v="Afrique de l'Est"/>
    <x v="51"/>
    <x v="159"/>
    <x v="2"/>
    <n v="1"/>
    <n v="45000"/>
    <n v="42646"/>
    <n v="7676"/>
  </r>
  <r>
    <x v="3"/>
    <s v="Douala"/>
    <s v="Afrique Centrale"/>
    <x v="131"/>
    <x v="160"/>
    <x v="1"/>
    <n v="3"/>
    <n v="12500"/>
    <n v="41069"/>
    <n v="3286"/>
  </r>
  <r>
    <x v="1"/>
    <s v="Yaoundé"/>
    <s v="Afrique Centrale"/>
    <x v="132"/>
    <x v="161"/>
    <x v="1"/>
    <n v="7"/>
    <n v="12500"/>
    <n v="78830"/>
    <n v="6306"/>
  </r>
  <r>
    <x v="1"/>
    <s v="Lomé"/>
    <s v="Afrique de l'Ouest"/>
    <x v="133"/>
    <x v="16"/>
    <x v="3"/>
    <n v="7"/>
    <n v="55000"/>
    <n v="348224"/>
    <n v="76609"/>
  </r>
  <r>
    <x v="3"/>
    <s v="Lagos"/>
    <s v="Afrique de l'Ouest"/>
    <x v="92"/>
    <x v="75"/>
    <x v="1"/>
    <n v="8"/>
    <n v="12500"/>
    <n v="92919"/>
    <n v="7434"/>
  </r>
  <r>
    <x v="3"/>
    <s v="Yaoundé"/>
    <s v="Afrique Centrale"/>
    <x v="30"/>
    <x v="162"/>
    <x v="4"/>
    <n v="2"/>
    <n v="15000"/>
    <n v="28445"/>
    <n v="2844"/>
  </r>
  <r>
    <x v="4"/>
    <s v="Nairobi"/>
    <s v="Afrique de l'Est"/>
    <x v="32"/>
    <x v="35"/>
    <x v="1"/>
    <n v="2"/>
    <n v="12500"/>
    <n v="23423"/>
    <n v="1874"/>
  </r>
  <r>
    <x v="0"/>
    <s v="Kinshasa"/>
    <s v="Afrique Centrale"/>
    <x v="16"/>
    <x v="20"/>
    <x v="0"/>
    <n v="2"/>
    <n v="18500"/>
    <n v="34734"/>
    <n v="4168"/>
  </r>
  <r>
    <x v="4"/>
    <s v="Kinshasa"/>
    <s v="Afrique Centrale"/>
    <x v="134"/>
    <x v="134"/>
    <x v="2"/>
    <n v="2"/>
    <n v="45000"/>
    <n v="81094"/>
    <n v="14597"/>
  </r>
  <r>
    <x v="4"/>
    <s v="Dakar"/>
    <s v="Afrique de l'Ouest"/>
    <x v="109"/>
    <x v="27"/>
    <x v="0"/>
    <n v="5"/>
    <n v="18500"/>
    <n v="90065"/>
    <n v="10808"/>
  </r>
  <r>
    <x v="3"/>
    <s v="Ouagadougou"/>
    <s v="Afrique de l'Ouest"/>
    <x v="121"/>
    <x v="163"/>
    <x v="4"/>
    <n v="10"/>
    <n v="15000"/>
    <n v="154145"/>
    <n v="15414"/>
  </r>
  <r>
    <x v="1"/>
    <s v="Ouagadougou"/>
    <s v="Afrique de l'Ouest"/>
    <x v="135"/>
    <x v="164"/>
    <x v="1"/>
    <n v="9"/>
    <n v="12500"/>
    <n v="117498"/>
    <n v="9400"/>
  </r>
  <r>
    <x v="3"/>
    <s v="Bamako"/>
    <s v="Afrique de l'Ouest"/>
    <x v="87"/>
    <x v="86"/>
    <x v="2"/>
    <n v="2"/>
    <n v="45000"/>
    <n v="89150"/>
    <n v="16047"/>
  </r>
  <r>
    <x v="0"/>
    <s v="Dar es Salaam"/>
    <s v="Afrique de l'Est"/>
    <x v="136"/>
    <x v="152"/>
    <x v="4"/>
    <n v="6"/>
    <n v="15000"/>
    <n v="90746"/>
    <n v="9075"/>
  </r>
  <r>
    <x v="4"/>
    <s v="Kinshasa"/>
    <s v="Afrique Centrale"/>
    <x v="137"/>
    <x v="165"/>
    <x v="1"/>
    <n v="6"/>
    <n v="12500"/>
    <n v="71408"/>
    <n v="5713"/>
  </r>
  <r>
    <x v="1"/>
    <s v="Bamako"/>
    <s v="Afrique de l'Ouest"/>
    <x v="110"/>
    <x v="166"/>
    <x v="1"/>
    <n v="8"/>
    <n v="12500"/>
    <n v="109959"/>
    <n v="8797"/>
  </r>
  <r>
    <x v="3"/>
    <s v="Yaoundé"/>
    <s v="Afrique Centrale"/>
    <x v="138"/>
    <x v="167"/>
    <x v="3"/>
    <n v="9"/>
    <n v="55000"/>
    <n v="494561"/>
    <n v="108803"/>
  </r>
  <r>
    <x v="0"/>
    <s v="Accra"/>
    <s v="Afrique de l'Ouest"/>
    <x v="48"/>
    <x v="168"/>
    <x v="4"/>
    <n v="4"/>
    <n v="15000"/>
    <n v="63656"/>
    <n v="6366"/>
  </r>
  <r>
    <x v="3"/>
    <s v="Douala"/>
    <s v="Afrique Centrale"/>
    <x v="139"/>
    <x v="137"/>
    <x v="1"/>
    <n v="2"/>
    <n v="12500"/>
    <n v="23595"/>
    <n v="1888"/>
  </r>
  <r>
    <x v="4"/>
    <s v="Lagos"/>
    <s v="Afrique de l'Ouest"/>
    <x v="111"/>
    <x v="98"/>
    <x v="0"/>
    <n v="7"/>
    <n v="18500"/>
    <n v="139923"/>
    <n v="16791"/>
  </r>
  <r>
    <x v="4"/>
    <s v="Bamako"/>
    <s v="Afrique de l'Ouest"/>
    <x v="42"/>
    <x v="165"/>
    <x v="0"/>
    <n v="4"/>
    <n v="18500"/>
    <n v="78889"/>
    <n v="9467"/>
  </r>
  <r>
    <x v="4"/>
    <s v="Dakar"/>
    <s v="Afrique de l'Ouest"/>
    <x v="140"/>
    <x v="125"/>
    <x v="4"/>
    <n v="5"/>
    <n v="15000"/>
    <n v="71120"/>
    <n v="7112"/>
  </r>
  <r>
    <x v="0"/>
    <s v="Abidjan"/>
    <s v="Afrique de l'Ouest"/>
    <x v="74"/>
    <x v="169"/>
    <x v="2"/>
    <n v="2"/>
    <n v="45000"/>
    <n v="97675"/>
    <n v="17582"/>
  </r>
  <r>
    <x v="4"/>
    <s v="Cotonou"/>
    <s v="Afrique de l'Ouest"/>
    <x v="3"/>
    <x v="170"/>
    <x v="1"/>
    <n v="5"/>
    <n v="12500"/>
    <n v="59968"/>
    <n v="4797"/>
  </r>
  <r>
    <x v="4"/>
    <s v="Lagos"/>
    <s v="Afrique de l'Ouest"/>
    <x v="52"/>
    <x v="133"/>
    <x v="2"/>
    <n v="8"/>
    <n v="45000"/>
    <n v="377091"/>
    <n v="67876"/>
  </r>
  <r>
    <x v="2"/>
    <s v="Yaoundé"/>
    <s v="Afrique Centrale"/>
    <x v="141"/>
    <x v="169"/>
    <x v="0"/>
    <n v="10"/>
    <n v="18500"/>
    <n v="187820"/>
    <n v="22538"/>
  </r>
  <r>
    <x v="1"/>
    <s v="Accra"/>
    <s v="Afrique de l'Ouest"/>
    <x v="142"/>
    <x v="142"/>
    <x v="2"/>
    <n v="1"/>
    <n v="45000"/>
    <n v="49119"/>
    <n v="8841"/>
  </r>
  <r>
    <x v="1"/>
    <s v="Bamako"/>
    <s v="Afrique de l'Ouest"/>
    <x v="23"/>
    <x v="100"/>
    <x v="4"/>
    <n v="6"/>
    <n v="15000"/>
    <n v="81406"/>
    <n v="8141"/>
  </r>
  <r>
    <x v="4"/>
    <s v="Kampala"/>
    <s v="Afrique de l'Est"/>
    <x v="121"/>
    <x v="171"/>
    <x v="3"/>
    <n v="6"/>
    <n v="55000"/>
    <n v="341930"/>
    <n v="75225"/>
  </r>
  <r>
    <x v="4"/>
    <s v="Accra"/>
    <s v="Afrique de l'Ouest"/>
    <x v="143"/>
    <x v="172"/>
    <x v="1"/>
    <n v="8"/>
    <n v="12500"/>
    <n v="103571"/>
    <n v="8286"/>
  </r>
  <r>
    <x v="0"/>
    <s v="Lagos"/>
    <s v="Afrique de l'Ouest"/>
    <x v="138"/>
    <x v="6"/>
    <x v="1"/>
    <n v="7"/>
    <n v="12500"/>
    <n v="90613"/>
    <n v="7249"/>
  </r>
  <r>
    <x v="2"/>
    <s v="Dar es Salaam"/>
    <s v="Afrique de l'Est"/>
    <x v="144"/>
    <x v="169"/>
    <x v="1"/>
    <n v="6"/>
    <n v="12500"/>
    <n v="70056"/>
    <n v="5604"/>
  </r>
  <r>
    <x v="2"/>
    <s v="Abidjan"/>
    <s v="Afrique de l'Ouest"/>
    <x v="145"/>
    <x v="161"/>
    <x v="2"/>
    <n v="1"/>
    <n v="45000"/>
    <n v="48017"/>
    <n v="8643"/>
  </r>
  <r>
    <x v="3"/>
    <s v="Nairobi"/>
    <s v="Afrique de l'Est"/>
    <x v="88"/>
    <x v="158"/>
    <x v="4"/>
    <n v="1"/>
    <n v="15000"/>
    <n v="14860"/>
    <n v="1486"/>
  </r>
  <r>
    <x v="4"/>
    <s v="Lomé"/>
    <s v="Afrique de l'Ouest"/>
    <x v="76"/>
    <x v="58"/>
    <x v="4"/>
    <n v="7"/>
    <n v="15000"/>
    <n v="98487"/>
    <n v="9849"/>
  </r>
  <r>
    <x v="1"/>
    <s v="Abidjan"/>
    <s v="Afrique de l'Ouest"/>
    <x v="146"/>
    <x v="39"/>
    <x v="1"/>
    <n v="1"/>
    <n v="12500"/>
    <n v="12694"/>
    <n v="1016"/>
  </r>
  <r>
    <x v="3"/>
    <s v="Nairobi"/>
    <s v="Afrique de l'Est"/>
    <x v="147"/>
    <x v="34"/>
    <x v="3"/>
    <n v="8"/>
    <n v="55000"/>
    <n v="432093"/>
    <n v="95060"/>
  </r>
  <r>
    <x v="2"/>
    <s v="Dar es Salaam"/>
    <s v="Afrique de l'Est"/>
    <x v="19"/>
    <x v="146"/>
    <x v="3"/>
    <n v="3"/>
    <n v="55000"/>
    <n v="163236"/>
    <n v="35912"/>
  </r>
  <r>
    <x v="2"/>
    <s v="Yaoundé"/>
    <s v="Afrique Centrale"/>
    <x v="56"/>
    <x v="173"/>
    <x v="1"/>
    <n v="2"/>
    <n v="12500"/>
    <n v="22595"/>
    <n v="1808"/>
  </r>
  <r>
    <x v="0"/>
    <s v="Kampala"/>
    <s v="Afrique de l'Est"/>
    <x v="21"/>
    <x v="52"/>
    <x v="4"/>
    <n v="8"/>
    <n v="15000"/>
    <n v="111357"/>
    <n v="11136"/>
  </r>
  <r>
    <x v="1"/>
    <s v="Kinshasa"/>
    <s v="Afrique Centrale"/>
    <x v="79"/>
    <x v="174"/>
    <x v="4"/>
    <n v="5"/>
    <n v="15000"/>
    <n v="74371"/>
    <n v="7437"/>
  </r>
  <r>
    <x v="2"/>
    <s v="Kampala"/>
    <s v="Afrique de l'Est"/>
    <x v="118"/>
    <x v="175"/>
    <x v="0"/>
    <n v="1"/>
    <n v="18500"/>
    <n v="19456"/>
    <n v="2335"/>
  </r>
  <r>
    <x v="0"/>
    <s v="Lomé"/>
    <s v="Afrique de l'Ouest"/>
    <x v="26"/>
    <x v="164"/>
    <x v="4"/>
    <n v="10"/>
    <n v="15000"/>
    <n v="154730"/>
    <n v="15473"/>
  </r>
  <r>
    <x v="4"/>
    <s v="Yaoundé"/>
    <s v="Afrique Centrale"/>
    <x v="31"/>
    <x v="176"/>
    <x v="1"/>
    <n v="4"/>
    <n v="12500"/>
    <n v="51679"/>
    <n v="4134"/>
  </r>
  <r>
    <x v="4"/>
    <s v="Abidjan"/>
    <s v="Afrique de l'Ouest"/>
    <x v="148"/>
    <x v="177"/>
    <x v="0"/>
    <n v="6"/>
    <n v="18500"/>
    <n v="110686"/>
    <n v="13282"/>
  </r>
  <r>
    <x v="3"/>
    <s v="Dar es Salaam"/>
    <s v="Afrique de l'Est"/>
    <x v="129"/>
    <x v="178"/>
    <x v="4"/>
    <n v="4"/>
    <n v="15000"/>
    <n v="54040"/>
    <n v="5404"/>
  </r>
  <r>
    <x v="0"/>
    <s v="Nairobi"/>
    <s v="Afrique de l'Est"/>
    <x v="73"/>
    <x v="120"/>
    <x v="4"/>
    <n v="2"/>
    <n v="15000"/>
    <n v="31104"/>
    <n v="3110"/>
  </r>
  <r>
    <x v="4"/>
    <s v="Cotonou"/>
    <s v="Afrique de l'Ouest"/>
    <x v="105"/>
    <x v="179"/>
    <x v="0"/>
    <n v="9"/>
    <n v="18500"/>
    <n v="174103"/>
    <n v="20892"/>
  </r>
  <r>
    <x v="3"/>
    <s v="Dakar"/>
    <s v="Afrique de l'Ouest"/>
    <x v="149"/>
    <x v="180"/>
    <x v="3"/>
    <n v="6"/>
    <n v="55000"/>
    <n v="341407"/>
    <n v="75110"/>
  </r>
  <r>
    <x v="2"/>
    <s v="Douala"/>
    <s v="Afrique Centrale"/>
    <x v="150"/>
    <x v="181"/>
    <x v="1"/>
    <n v="9"/>
    <n v="12500"/>
    <n v="108209"/>
    <n v="8657"/>
  </r>
  <r>
    <x v="3"/>
    <s v="Dar es Salaam"/>
    <s v="Afrique de l'Est"/>
    <x v="12"/>
    <x v="182"/>
    <x v="3"/>
    <n v="3"/>
    <n v="55000"/>
    <n v="169495"/>
    <n v="37289"/>
  </r>
  <r>
    <x v="3"/>
    <s v="Ouagadougou"/>
    <s v="Afrique de l'Ouest"/>
    <x v="0"/>
    <x v="89"/>
    <x v="2"/>
    <n v="4"/>
    <n v="45000"/>
    <n v="175409"/>
    <n v="31574"/>
  </r>
  <r>
    <x v="4"/>
    <s v="Kampala"/>
    <s v="Afrique de l'Est"/>
    <x v="151"/>
    <x v="59"/>
    <x v="1"/>
    <n v="5"/>
    <n v="12500"/>
    <n v="62087"/>
    <n v="4967"/>
  </r>
  <r>
    <x v="3"/>
    <s v="Douala"/>
    <s v="Afrique Centrale"/>
    <x v="51"/>
    <x v="183"/>
    <x v="2"/>
    <n v="3"/>
    <n v="45000"/>
    <n v="136941"/>
    <n v="24649"/>
  </r>
  <r>
    <x v="0"/>
    <s v="Bamako"/>
    <s v="Afrique de l'Ouest"/>
    <x v="25"/>
    <x v="105"/>
    <x v="2"/>
    <n v="3"/>
    <n v="45000"/>
    <n v="141150"/>
    <n v="25407"/>
  </r>
  <r>
    <x v="0"/>
    <s v="Ouagadougou"/>
    <s v="Afrique de l'Ouest"/>
    <x v="76"/>
    <x v="86"/>
    <x v="1"/>
    <n v="3"/>
    <n v="12500"/>
    <n v="39203"/>
    <n v="3136"/>
  </r>
  <r>
    <x v="2"/>
    <s v="Kinshasa"/>
    <s v="Afrique Centrale"/>
    <x v="107"/>
    <x v="43"/>
    <x v="4"/>
    <n v="10"/>
    <n v="15000"/>
    <n v="149303"/>
    <n v="14930"/>
  </r>
  <r>
    <x v="3"/>
    <s v="Douala"/>
    <s v="Afrique Centrale"/>
    <x v="152"/>
    <x v="184"/>
    <x v="1"/>
    <n v="8"/>
    <n v="12500"/>
    <n v="103632"/>
    <n v="8291"/>
  </r>
  <r>
    <x v="0"/>
    <s v="Kampala"/>
    <s v="Afrique de l'Est"/>
    <x v="153"/>
    <x v="185"/>
    <x v="0"/>
    <n v="4"/>
    <n v="18500"/>
    <n v="67427"/>
    <n v="8091"/>
  </r>
  <r>
    <x v="0"/>
    <s v="Cotonou"/>
    <s v="Afrique de l'Ouest"/>
    <x v="147"/>
    <x v="186"/>
    <x v="4"/>
    <n v="3"/>
    <n v="15000"/>
    <n v="49265"/>
    <n v="4926"/>
  </r>
  <r>
    <x v="1"/>
    <s v="Abidjan"/>
    <s v="Afrique de l'Ouest"/>
    <x v="154"/>
    <x v="187"/>
    <x v="3"/>
    <n v="3"/>
    <n v="55000"/>
    <n v="164036"/>
    <n v="36088"/>
  </r>
  <r>
    <x v="2"/>
    <s v="Douala"/>
    <s v="Afrique Centrale"/>
    <x v="62"/>
    <x v="74"/>
    <x v="2"/>
    <n v="1"/>
    <n v="45000"/>
    <n v="45730"/>
    <n v="8231"/>
  </r>
  <r>
    <x v="1"/>
    <s v="Yaoundé"/>
    <s v="Afrique Centrale"/>
    <x v="69"/>
    <x v="188"/>
    <x v="4"/>
    <n v="3"/>
    <n v="15000"/>
    <n v="45467"/>
    <n v="4547"/>
  </r>
  <r>
    <x v="2"/>
    <s v="Bamako"/>
    <s v="Afrique de l'Ouest"/>
    <x v="125"/>
    <x v="54"/>
    <x v="2"/>
    <n v="2"/>
    <n v="45000"/>
    <n v="93041"/>
    <n v="16747"/>
  </r>
  <r>
    <x v="1"/>
    <s v="Kinshasa"/>
    <s v="Afrique Centrale"/>
    <x v="155"/>
    <x v="189"/>
    <x v="2"/>
    <n v="4"/>
    <n v="45000"/>
    <n v="196581"/>
    <n v="35385"/>
  </r>
  <r>
    <x v="0"/>
    <s v="Accra"/>
    <s v="Afrique de l'Ouest"/>
    <x v="142"/>
    <x v="190"/>
    <x v="4"/>
    <n v="9"/>
    <n v="15000"/>
    <n v="124023"/>
    <n v="12402"/>
  </r>
  <r>
    <x v="2"/>
    <s v="Kampala"/>
    <s v="Afrique de l'Est"/>
    <x v="156"/>
    <x v="72"/>
    <x v="3"/>
    <n v="5"/>
    <n v="55000"/>
    <n v="255858"/>
    <n v="56289"/>
  </r>
  <r>
    <x v="0"/>
    <s v="Abidjan"/>
    <s v="Afrique de l'Ouest"/>
    <x v="157"/>
    <x v="188"/>
    <x v="3"/>
    <n v="9"/>
    <n v="55000"/>
    <n v="543177"/>
    <n v="119499"/>
  </r>
  <r>
    <x v="2"/>
    <s v="Nairobi"/>
    <s v="Afrique de l'Est"/>
    <x v="158"/>
    <x v="101"/>
    <x v="0"/>
    <n v="8"/>
    <n v="18500"/>
    <n v="142519"/>
    <n v="17102"/>
  </r>
  <r>
    <x v="4"/>
    <s v="Abidjan"/>
    <s v="Afrique de l'Ouest"/>
    <x v="44"/>
    <x v="2"/>
    <x v="0"/>
    <n v="7"/>
    <n v="18500"/>
    <n v="119157"/>
    <n v="14299"/>
  </r>
  <r>
    <x v="4"/>
    <s v="Kinshasa"/>
    <s v="Afrique Centrale"/>
    <x v="83"/>
    <x v="191"/>
    <x v="4"/>
    <n v="2"/>
    <n v="15000"/>
    <n v="31070"/>
    <n v="3107"/>
  </r>
  <r>
    <x v="4"/>
    <s v="Kinshasa"/>
    <s v="Afrique Centrale"/>
    <x v="159"/>
    <x v="192"/>
    <x v="2"/>
    <n v="4"/>
    <n v="45000"/>
    <n v="197781"/>
    <n v="35601"/>
  </r>
  <r>
    <x v="4"/>
    <s v="Addis-Abeba"/>
    <s v="Afrique de l'Est"/>
    <x v="20"/>
    <x v="193"/>
    <x v="3"/>
    <n v="10"/>
    <n v="55000"/>
    <n v="498562"/>
    <n v="109684"/>
  </r>
  <r>
    <x v="3"/>
    <s v="Accra"/>
    <s v="Afrique de l'Ouest"/>
    <x v="160"/>
    <x v="194"/>
    <x v="2"/>
    <n v="9"/>
    <n v="45000"/>
    <n v="434723"/>
    <n v="78250"/>
  </r>
  <r>
    <x v="4"/>
    <s v="Ouagadougou"/>
    <s v="Afrique de l'Ouest"/>
    <x v="161"/>
    <x v="71"/>
    <x v="3"/>
    <n v="7"/>
    <n v="55000"/>
    <n v="359627"/>
    <n v="79118"/>
  </r>
  <r>
    <x v="1"/>
    <s v="Ouagadougou"/>
    <s v="Afrique de l'Ouest"/>
    <x v="31"/>
    <x v="195"/>
    <x v="0"/>
    <n v="7"/>
    <n v="18500"/>
    <n v="123099"/>
    <n v="14772"/>
  </r>
  <r>
    <x v="0"/>
    <s v="Lagos"/>
    <s v="Afrique de l'Ouest"/>
    <x v="24"/>
    <x v="196"/>
    <x v="0"/>
    <n v="8"/>
    <n v="18500"/>
    <n v="152011"/>
    <n v="18241"/>
  </r>
  <r>
    <x v="0"/>
    <s v="Kampala"/>
    <s v="Afrique de l'Est"/>
    <x v="54"/>
    <x v="138"/>
    <x v="1"/>
    <n v="3"/>
    <n v="12500"/>
    <n v="36767"/>
    <n v="2941"/>
  </r>
  <r>
    <x v="2"/>
    <s v="Dar es Salaam"/>
    <s v="Afrique de l'Est"/>
    <x v="155"/>
    <x v="71"/>
    <x v="0"/>
    <n v="8"/>
    <n v="18500"/>
    <n v="135297"/>
    <n v="16236"/>
  </r>
  <r>
    <x v="1"/>
    <s v="Bamako"/>
    <s v="Afrique de l'Ouest"/>
    <x v="162"/>
    <x v="145"/>
    <x v="4"/>
    <n v="9"/>
    <n v="15000"/>
    <n v="145838"/>
    <n v="14584"/>
  </r>
  <r>
    <x v="3"/>
    <s v="Accra"/>
    <s v="Afrique de l'Ouest"/>
    <x v="19"/>
    <x v="76"/>
    <x v="2"/>
    <n v="7"/>
    <n v="45000"/>
    <n v="334593"/>
    <n v="60227"/>
  </r>
  <r>
    <x v="3"/>
    <s v="Nairobi"/>
    <s v="Afrique de l'Est"/>
    <x v="73"/>
    <x v="3"/>
    <x v="0"/>
    <n v="5"/>
    <n v="18500"/>
    <n v="100853"/>
    <n v="12102"/>
  </r>
  <r>
    <x v="1"/>
    <s v="Yaoundé"/>
    <s v="Afrique Centrale"/>
    <x v="14"/>
    <x v="91"/>
    <x v="0"/>
    <n v="5"/>
    <n v="18500"/>
    <n v="86755"/>
    <n v="10411"/>
  </r>
  <r>
    <x v="0"/>
    <s v="Abidjan"/>
    <s v="Afrique de l'Ouest"/>
    <x v="103"/>
    <x v="123"/>
    <x v="4"/>
    <n v="6"/>
    <n v="15000"/>
    <n v="81328"/>
    <n v="8133"/>
  </r>
  <r>
    <x v="3"/>
    <s v="Cotonou"/>
    <s v="Afrique de l'Ouest"/>
    <x v="77"/>
    <x v="181"/>
    <x v="4"/>
    <n v="5"/>
    <n v="15000"/>
    <n v="79738"/>
    <n v="7974"/>
  </r>
  <r>
    <x v="4"/>
    <s v="Addis-Abeba"/>
    <s v="Afrique de l'Est"/>
    <x v="163"/>
    <x v="51"/>
    <x v="4"/>
    <n v="8"/>
    <n v="15000"/>
    <n v="109003"/>
    <n v="10900"/>
  </r>
  <r>
    <x v="4"/>
    <s v="Lomé"/>
    <s v="Afrique de l'Ouest"/>
    <x v="37"/>
    <x v="102"/>
    <x v="4"/>
    <n v="9"/>
    <n v="15000"/>
    <n v="144684"/>
    <n v="14468"/>
  </r>
  <r>
    <x v="2"/>
    <s v="Lagos"/>
    <s v="Afrique de l'Ouest"/>
    <x v="31"/>
    <x v="197"/>
    <x v="0"/>
    <n v="5"/>
    <n v="18500"/>
    <n v="85047"/>
    <n v="10206"/>
  </r>
  <r>
    <x v="3"/>
    <s v="Ouagadougou"/>
    <s v="Afrique de l'Ouest"/>
    <x v="9"/>
    <x v="198"/>
    <x v="0"/>
    <n v="6"/>
    <n v="18500"/>
    <n v="112312"/>
    <n v="13477"/>
  </r>
  <r>
    <x v="1"/>
    <s v="Lomé"/>
    <s v="Afrique de l'Ouest"/>
    <x v="19"/>
    <x v="116"/>
    <x v="2"/>
    <n v="7"/>
    <n v="45000"/>
    <n v="342874"/>
    <n v="61717"/>
  </r>
  <r>
    <x v="0"/>
    <s v="Douala"/>
    <s v="Afrique Centrale"/>
    <x v="120"/>
    <x v="199"/>
    <x v="2"/>
    <n v="1"/>
    <n v="45000"/>
    <n v="43331"/>
    <n v="7800"/>
  </r>
  <r>
    <x v="0"/>
    <s v="Lagos"/>
    <s v="Afrique de l'Ouest"/>
    <x v="37"/>
    <x v="150"/>
    <x v="1"/>
    <n v="3"/>
    <n v="12500"/>
    <n v="35323"/>
    <n v="2826"/>
  </r>
  <r>
    <x v="1"/>
    <s v="Kampala"/>
    <s v="Afrique de l'Est"/>
    <x v="45"/>
    <x v="175"/>
    <x v="3"/>
    <n v="8"/>
    <n v="55000"/>
    <n v="449314"/>
    <n v="98849"/>
  </r>
  <r>
    <x v="4"/>
    <s v="Yaoundé"/>
    <s v="Afrique Centrale"/>
    <x v="164"/>
    <x v="200"/>
    <x v="0"/>
    <n v="3"/>
    <n v="18500"/>
    <n v="53380"/>
    <n v="6406"/>
  </r>
  <r>
    <x v="3"/>
    <s v="Bamako"/>
    <s v="Afrique de l'Ouest"/>
    <x v="46"/>
    <x v="201"/>
    <x v="1"/>
    <n v="9"/>
    <n v="12500"/>
    <n v="113549"/>
    <n v="9084"/>
  </r>
  <r>
    <x v="0"/>
    <s v="Abidjan"/>
    <s v="Afrique de l'Ouest"/>
    <x v="147"/>
    <x v="202"/>
    <x v="4"/>
    <n v="1"/>
    <n v="15000"/>
    <n v="16372"/>
    <n v="1637"/>
  </r>
  <r>
    <x v="1"/>
    <s v="Abidjan"/>
    <s v="Afrique de l'Ouest"/>
    <x v="20"/>
    <x v="203"/>
    <x v="3"/>
    <n v="10"/>
    <n v="55000"/>
    <n v="520026"/>
    <n v="114406"/>
  </r>
  <r>
    <x v="2"/>
    <s v="Accra"/>
    <s v="Afrique de l'Ouest"/>
    <x v="43"/>
    <x v="204"/>
    <x v="0"/>
    <n v="3"/>
    <n v="18500"/>
    <n v="55162"/>
    <n v="6619"/>
  </r>
  <r>
    <x v="2"/>
    <s v="Abidjan"/>
    <s v="Afrique de l'Ouest"/>
    <x v="99"/>
    <x v="157"/>
    <x v="0"/>
    <n v="5"/>
    <n v="18500"/>
    <n v="85915"/>
    <n v="10310"/>
  </r>
  <r>
    <x v="3"/>
    <s v="Douala"/>
    <s v="Afrique Centrale"/>
    <x v="121"/>
    <x v="134"/>
    <x v="2"/>
    <n v="8"/>
    <n v="45000"/>
    <n v="350726"/>
    <n v="63131"/>
  </r>
  <r>
    <x v="1"/>
    <s v="Cotonou"/>
    <s v="Afrique de l'Ouest"/>
    <x v="134"/>
    <x v="7"/>
    <x v="3"/>
    <n v="7"/>
    <n v="55000"/>
    <n v="351294"/>
    <n v="77285"/>
  </r>
  <r>
    <x v="1"/>
    <s v="Accra"/>
    <s v="Afrique de l'Ouest"/>
    <x v="0"/>
    <x v="205"/>
    <x v="0"/>
    <n v="8"/>
    <n v="18500"/>
    <n v="143462"/>
    <n v="17215"/>
  </r>
  <r>
    <x v="2"/>
    <s v="Abidjan"/>
    <s v="Afrique de l'Ouest"/>
    <x v="124"/>
    <x v="206"/>
    <x v="1"/>
    <n v="6"/>
    <n v="12500"/>
    <n v="76066"/>
    <n v="6085"/>
  </r>
  <r>
    <x v="3"/>
    <s v="Lomé"/>
    <s v="Afrique de l'Ouest"/>
    <x v="126"/>
    <x v="207"/>
    <x v="3"/>
    <n v="8"/>
    <n v="55000"/>
    <n v="441004"/>
    <n v="97021"/>
  </r>
  <r>
    <x v="2"/>
    <s v="Dar es Salaam"/>
    <s v="Afrique de l'Est"/>
    <x v="165"/>
    <x v="33"/>
    <x v="2"/>
    <n v="4"/>
    <n v="45000"/>
    <n v="192093"/>
    <n v="34577"/>
  </r>
  <r>
    <x v="3"/>
    <s v="Dar es Salaam"/>
    <s v="Afrique de l'Est"/>
    <x v="160"/>
    <x v="189"/>
    <x v="3"/>
    <n v="5"/>
    <n v="55000"/>
    <n v="281517"/>
    <n v="61934"/>
  </r>
  <r>
    <x v="4"/>
    <s v="Dakar"/>
    <s v="Afrique de l'Ouest"/>
    <x v="122"/>
    <x v="208"/>
    <x v="3"/>
    <n v="1"/>
    <n v="55000"/>
    <n v="51554"/>
    <n v="11342"/>
  </r>
  <r>
    <x v="1"/>
    <s v="Abidjan"/>
    <s v="Afrique de l'Ouest"/>
    <x v="131"/>
    <x v="38"/>
    <x v="1"/>
    <n v="1"/>
    <n v="12500"/>
    <n v="11849"/>
    <n v="948"/>
  </r>
  <r>
    <x v="4"/>
    <s v="Accra"/>
    <s v="Afrique de l'Ouest"/>
    <x v="166"/>
    <x v="209"/>
    <x v="0"/>
    <n v="2"/>
    <n v="18500"/>
    <n v="34611"/>
    <n v="4153"/>
  </r>
  <r>
    <x v="0"/>
    <s v="Abidjan"/>
    <s v="Afrique de l'Ouest"/>
    <x v="167"/>
    <x v="210"/>
    <x v="0"/>
    <n v="9"/>
    <n v="18500"/>
    <n v="157092"/>
    <n v="18851"/>
  </r>
  <r>
    <x v="1"/>
    <s v="Cotonou"/>
    <s v="Afrique de l'Ouest"/>
    <x v="73"/>
    <x v="211"/>
    <x v="4"/>
    <n v="8"/>
    <n v="15000"/>
    <n v="112792"/>
    <n v="11279"/>
  </r>
  <r>
    <x v="3"/>
    <s v="Accra"/>
    <s v="Afrique de l'Ouest"/>
    <x v="17"/>
    <x v="199"/>
    <x v="4"/>
    <n v="2"/>
    <n v="15000"/>
    <n v="30788"/>
    <n v="3079"/>
  </r>
  <r>
    <x v="3"/>
    <s v="Cotonou"/>
    <s v="Afrique de l'Ouest"/>
    <x v="168"/>
    <x v="120"/>
    <x v="2"/>
    <n v="8"/>
    <n v="45000"/>
    <n v="335255"/>
    <n v="60346"/>
  </r>
  <r>
    <x v="0"/>
    <s v="Kampala"/>
    <s v="Afrique de l'Est"/>
    <x v="119"/>
    <x v="212"/>
    <x v="0"/>
    <n v="9"/>
    <n v="18500"/>
    <n v="178117"/>
    <n v="21374"/>
  </r>
  <r>
    <x v="4"/>
    <s v="Yaoundé"/>
    <s v="Afrique Centrale"/>
    <x v="169"/>
    <x v="213"/>
    <x v="0"/>
    <n v="9"/>
    <n v="18500"/>
    <n v="159374"/>
    <n v="19125"/>
  </r>
  <r>
    <x v="3"/>
    <s v="Ouagadougou"/>
    <s v="Afrique de l'Ouest"/>
    <x v="149"/>
    <x v="214"/>
    <x v="2"/>
    <n v="9"/>
    <n v="45000"/>
    <n v="425321"/>
    <n v="76558"/>
  </r>
  <r>
    <x v="1"/>
    <s v="Lomé"/>
    <s v="Afrique de l'Ouest"/>
    <x v="154"/>
    <x v="206"/>
    <x v="1"/>
    <n v="9"/>
    <n v="12500"/>
    <n v="111622"/>
    <n v="8930"/>
  </r>
  <r>
    <x v="0"/>
    <s v="Nairobi"/>
    <s v="Afrique de l'Est"/>
    <x v="100"/>
    <x v="134"/>
    <x v="3"/>
    <n v="4"/>
    <n v="55000"/>
    <n v="218021"/>
    <n v="47965"/>
  </r>
  <r>
    <x v="3"/>
    <s v="Douala"/>
    <s v="Afrique Centrale"/>
    <x v="170"/>
    <x v="152"/>
    <x v="1"/>
    <n v="8"/>
    <n v="12500"/>
    <n v="103398"/>
    <n v="8272"/>
  </r>
  <r>
    <x v="4"/>
    <s v="Douala"/>
    <s v="Afrique Centrale"/>
    <x v="93"/>
    <x v="215"/>
    <x v="1"/>
    <n v="3"/>
    <n v="12500"/>
    <n v="39398"/>
    <n v="3152"/>
  </r>
  <r>
    <x v="4"/>
    <s v="Kinshasa"/>
    <s v="Afrique Centrale"/>
    <x v="128"/>
    <x v="195"/>
    <x v="0"/>
    <n v="3"/>
    <n v="18500"/>
    <n v="60840"/>
    <n v="7301"/>
  </r>
  <r>
    <x v="1"/>
    <s v="Bamako"/>
    <s v="Afrique de l'Ouest"/>
    <x v="171"/>
    <x v="153"/>
    <x v="3"/>
    <n v="10"/>
    <n v="55000"/>
    <n v="505719"/>
    <n v="111258"/>
  </r>
  <r>
    <x v="3"/>
    <s v="Nairobi"/>
    <s v="Afrique de l'Est"/>
    <x v="75"/>
    <x v="76"/>
    <x v="4"/>
    <n v="4"/>
    <n v="15000"/>
    <n v="63317"/>
    <n v="6332"/>
  </r>
  <r>
    <x v="3"/>
    <s v="Addis-Abeba"/>
    <s v="Afrique de l'Est"/>
    <x v="14"/>
    <x v="216"/>
    <x v="3"/>
    <n v="7"/>
    <n v="55000"/>
    <n v="388815"/>
    <n v="85539"/>
  </r>
  <r>
    <x v="1"/>
    <s v="Ouagadougou"/>
    <s v="Afrique de l'Ouest"/>
    <x v="172"/>
    <x v="32"/>
    <x v="3"/>
    <n v="2"/>
    <n v="55000"/>
    <n v="118200"/>
    <n v="26004"/>
  </r>
  <r>
    <x v="2"/>
    <s v="Ouagadougou"/>
    <s v="Afrique de l'Ouest"/>
    <x v="156"/>
    <x v="116"/>
    <x v="4"/>
    <n v="7"/>
    <n v="15000"/>
    <n v="96300"/>
    <n v="9630"/>
  </r>
  <r>
    <x v="3"/>
    <s v="Cotonou"/>
    <s v="Afrique de l'Ouest"/>
    <x v="52"/>
    <x v="137"/>
    <x v="3"/>
    <n v="10"/>
    <n v="55000"/>
    <n v="495817"/>
    <n v="109080"/>
  </r>
  <r>
    <x v="3"/>
    <s v="Douala"/>
    <s v="Afrique Centrale"/>
    <x v="86"/>
    <x v="217"/>
    <x v="0"/>
    <n v="1"/>
    <n v="18500"/>
    <n v="19425"/>
    <n v="2331"/>
  </r>
  <r>
    <x v="2"/>
    <s v="Nairobi"/>
    <s v="Afrique de l'Est"/>
    <x v="24"/>
    <x v="186"/>
    <x v="2"/>
    <n v="9"/>
    <n v="45000"/>
    <n v="443447"/>
    <n v="79820"/>
  </r>
  <r>
    <x v="3"/>
    <s v="Lagos"/>
    <s v="Afrique de l'Ouest"/>
    <x v="52"/>
    <x v="212"/>
    <x v="1"/>
    <n v="5"/>
    <n v="12500"/>
    <n v="61825"/>
    <n v="4946"/>
  </r>
  <r>
    <x v="3"/>
    <s v="Yaoundé"/>
    <s v="Afrique Centrale"/>
    <x v="172"/>
    <x v="218"/>
    <x v="2"/>
    <n v="6"/>
    <n v="45000"/>
    <n v="285701"/>
    <n v="51426"/>
  </r>
  <r>
    <x v="1"/>
    <s v="Dakar"/>
    <s v="Afrique de l'Ouest"/>
    <x v="173"/>
    <x v="27"/>
    <x v="3"/>
    <n v="6"/>
    <n v="55000"/>
    <n v="297585"/>
    <n v="65469"/>
  </r>
  <r>
    <x v="1"/>
    <s v="Douala"/>
    <s v="Afrique Centrale"/>
    <x v="119"/>
    <x v="102"/>
    <x v="4"/>
    <n v="5"/>
    <n v="15000"/>
    <n v="76796"/>
    <n v="7680"/>
  </r>
  <r>
    <x v="4"/>
    <s v="Accra"/>
    <s v="Afrique de l'Ouest"/>
    <x v="163"/>
    <x v="18"/>
    <x v="3"/>
    <n v="5"/>
    <n v="55000"/>
    <n v="283759"/>
    <n v="62427"/>
  </r>
  <r>
    <x v="3"/>
    <s v="Lomé"/>
    <s v="Afrique de l'Ouest"/>
    <x v="103"/>
    <x v="219"/>
    <x v="0"/>
    <n v="9"/>
    <n v="18500"/>
    <n v="163893"/>
    <n v="19667"/>
  </r>
  <r>
    <x v="3"/>
    <s v="Dar es Salaam"/>
    <s v="Afrique de l'Est"/>
    <x v="64"/>
    <x v="220"/>
    <x v="4"/>
    <n v="9"/>
    <n v="15000"/>
    <n v="132182"/>
    <n v="13218"/>
  </r>
  <r>
    <x v="4"/>
    <s v="Yaoundé"/>
    <s v="Afrique Centrale"/>
    <x v="16"/>
    <x v="219"/>
    <x v="2"/>
    <n v="2"/>
    <n v="45000"/>
    <n v="85335"/>
    <n v="15360"/>
  </r>
  <r>
    <x v="4"/>
    <s v="Cotonou"/>
    <s v="Afrique de l'Ouest"/>
    <x v="151"/>
    <x v="221"/>
    <x v="0"/>
    <n v="9"/>
    <n v="18500"/>
    <n v="178011"/>
    <n v="21361"/>
  </r>
  <r>
    <x v="1"/>
    <s v="Dakar"/>
    <s v="Afrique de l'Ouest"/>
    <x v="59"/>
    <x v="222"/>
    <x v="0"/>
    <n v="3"/>
    <n v="18500"/>
    <n v="58125"/>
    <n v="6975"/>
  </r>
  <r>
    <x v="2"/>
    <s v="Douala"/>
    <s v="Afrique Centrale"/>
    <x v="114"/>
    <x v="223"/>
    <x v="0"/>
    <n v="5"/>
    <n v="18500"/>
    <n v="87445"/>
    <n v="10493"/>
  </r>
  <r>
    <x v="4"/>
    <s v="Accra"/>
    <s v="Afrique de l'Ouest"/>
    <x v="111"/>
    <x v="224"/>
    <x v="3"/>
    <n v="5"/>
    <n v="55000"/>
    <n v="268133"/>
    <n v="58989"/>
  </r>
  <r>
    <x v="3"/>
    <s v="Ouagadougou"/>
    <s v="Afrique de l'Ouest"/>
    <x v="74"/>
    <x v="225"/>
    <x v="2"/>
    <n v="9"/>
    <n v="45000"/>
    <n v="426303"/>
    <n v="76735"/>
  </r>
  <r>
    <x v="1"/>
    <s v="Lomé"/>
    <s v="Afrique de l'Ouest"/>
    <x v="8"/>
    <x v="96"/>
    <x v="3"/>
    <n v="10"/>
    <n v="55000"/>
    <n v="573943"/>
    <n v="126267"/>
  </r>
  <r>
    <x v="3"/>
    <s v="Ouagadougou"/>
    <s v="Afrique de l'Ouest"/>
    <x v="128"/>
    <x v="34"/>
    <x v="2"/>
    <n v="5"/>
    <n v="45000"/>
    <n v="228000"/>
    <n v="41040"/>
  </r>
  <r>
    <x v="1"/>
    <s v="Nairobi"/>
    <s v="Afrique de l'Est"/>
    <x v="6"/>
    <x v="163"/>
    <x v="3"/>
    <n v="3"/>
    <n v="55000"/>
    <n v="154406"/>
    <n v="33969"/>
  </r>
  <r>
    <x v="3"/>
    <s v="Accra"/>
    <s v="Afrique de l'Ouest"/>
    <x v="126"/>
    <x v="38"/>
    <x v="0"/>
    <n v="6"/>
    <n v="18500"/>
    <n v="107787"/>
    <n v="12934"/>
  </r>
  <r>
    <x v="0"/>
    <s v="Addis-Abeba"/>
    <s v="Afrique de l'Est"/>
    <x v="157"/>
    <x v="226"/>
    <x v="2"/>
    <n v="4"/>
    <n v="45000"/>
    <n v="163062"/>
    <n v="29351"/>
  </r>
  <r>
    <x v="1"/>
    <s v="Accra"/>
    <s v="Afrique de l'Ouest"/>
    <x v="73"/>
    <x v="57"/>
    <x v="1"/>
    <n v="6"/>
    <n v="12500"/>
    <n v="78174"/>
    <n v="6254"/>
  </r>
  <r>
    <x v="2"/>
    <s v="Dar es Salaam"/>
    <s v="Afrique de l'Est"/>
    <x v="89"/>
    <x v="227"/>
    <x v="2"/>
    <n v="10"/>
    <n v="45000"/>
    <n v="422982"/>
    <n v="76137"/>
  </r>
  <r>
    <x v="0"/>
    <s v="Bamako"/>
    <s v="Afrique de l'Ouest"/>
    <x v="112"/>
    <x v="228"/>
    <x v="3"/>
    <n v="2"/>
    <n v="55000"/>
    <n v="101144"/>
    <n v="22252"/>
  </r>
  <r>
    <x v="3"/>
    <s v="Yaoundé"/>
    <s v="Afrique Centrale"/>
    <x v="3"/>
    <x v="229"/>
    <x v="4"/>
    <n v="7"/>
    <n v="15000"/>
    <n v="111791"/>
    <n v="11179"/>
  </r>
  <r>
    <x v="2"/>
    <s v="Lagos"/>
    <s v="Afrique de l'Ouest"/>
    <x v="174"/>
    <x v="16"/>
    <x v="3"/>
    <n v="3"/>
    <n v="55000"/>
    <n v="176072"/>
    <n v="38736"/>
  </r>
  <r>
    <x v="2"/>
    <s v="Douala"/>
    <s v="Afrique Centrale"/>
    <x v="113"/>
    <x v="95"/>
    <x v="1"/>
    <n v="8"/>
    <n v="12500"/>
    <n v="106906"/>
    <n v="8552"/>
  </r>
  <r>
    <x v="0"/>
    <s v="Yaoundé"/>
    <s v="Afrique Centrale"/>
    <x v="175"/>
    <x v="158"/>
    <x v="1"/>
    <n v="5"/>
    <n v="12500"/>
    <n v="65835"/>
    <n v="5267"/>
  </r>
  <r>
    <x v="2"/>
    <s v="Lomé"/>
    <s v="Afrique de l'Ouest"/>
    <x v="135"/>
    <x v="230"/>
    <x v="0"/>
    <n v="7"/>
    <n v="18500"/>
    <n v="134698"/>
    <n v="16164"/>
  </r>
  <r>
    <x v="2"/>
    <s v="Cotonou"/>
    <s v="Afrique de l'Ouest"/>
    <x v="60"/>
    <x v="19"/>
    <x v="0"/>
    <n v="5"/>
    <n v="18500"/>
    <n v="89005"/>
    <n v="10681"/>
  </r>
  <r>
    <x v="0"/>
    <s v="Abidjan"/>
    <s v="Afrique de l'Ouest"/>
    <x v="151"/>
    <x v="188"/>
    <x v="2"/>
    <n v="9"/>
    <n v="45000"/>
    <n v="426533"/>
    <n v="76776"/>
  </r>
  <r>
    <x v="2"/>
    <s v="Kampala"/>
    <s v="Afrique de l'Est"/>
    <x v="87"/>
    <x v="231"/>
    <x v="0"/>
    <n v="6"/>
    <n v="18500"/>
    <n v="114025"/>
    <n v="13683"/>
  </r>
  <r>
    <x v="0"/>
    <s v="Abidjan"/>
    <s v="Afrique de l'Ouest"/>
    <x v="29"/>
    <x v="232"/>
    <x v="2"/>
    <n v="3"/>
    <n v="45000"/>
    <n v="129143"/>
    <n v="23246"/>
  </r>
  <r>
    <x v="2"/>
    <s v="Bamako"/>
    <s v="Afrique de l'Ouest"/>
    <x v="146"/>
    <x v="233"/>
    <x v="1"/>
    <n v="10"/>
    <n v="12500"/>
    <n v="125060"/>
    <n v="10005"/>
  </r>
  <r>
    <x v="3"/>
    <s v="Bamako"/>
    <s v="Afrique de l'Ouest"/>
    <x v="11"/>
    <x v="234"/>
    <x v="2"/>
    <n v="7"/>
    <n v="45000"/>
    <n v="299108"/>
    <n v="53839"/>
  </r>
  <r>
    <x v="3"/>
    <s v="Accra"/>
    <s v="Afrique de l'Ouest"/>
    <x v="0"/>
    <x v="73"/>
    <x v="4"/>
    <n v="10"/>
    <n v="15000"/>
    <n v="149191"/>
    <n v="14919"/>
  </r>
  <r>
    <x v="2"/>
    <s v="Bamako"/>
    <s v="Afrique de l'Ouest"/>
    <x v="101"/>
    <x v="235"/>
    <x v="2"/>
    <n v="1"/>
    <n v="45000"/>
    <n v="49258"/>
    <n v="8866"/>
  </r>
  <r>
    <x v="2"/>
    <s v="Lagos"/>
    <s v="Afrique de l'Ouest"/>
    <x v="110"/>
    <x v="178"/>
    <x v="0"/>
    <n v="4"/>
    <n v="18500"/>
    <n v="81400"/>
    <n v="9768"/>
  </r>
  <r>
    <x v="1"/>
    <s v="Douala"/>
    <s v="Afrique Centrale"/>
    <x v="118"/>
    <x v="224"/>
    <x v="2"/>
    <n v="1"/>
    <n v="45000"/>
    <n v="41050"/>
    <n v="7389"/>
  </r>
  <r>
    <x v="1"/>
    <s v="Accra"/>
    <s v="Afrique de l'Ouest"/>
    <x v="43"/>
    <x v="236"/>
    <x v="3"/>
    <n v="5"/>
    <n v="55000"/>
    <n v="257896"/>
    <n v="56737"/>
  </r>
  <r>
    <x v="0"/>
    <s v="Nairobi"/>
    <s v="Afrique de l'Est"/>
    <x v="176"/>
    <x v="237"/>
    <x v="2"/>
    <n v="7"/>
    <n v="45000"/>
    <n v="332761"/>
    <n v="59897"/>
  </r>
  <r>
    <x v="3"/>
    <s v="Bamako"/>
    <s v="Afrique de l'Ouest"/>
    <x v="177"/>
    <x v="101"/>
    <x v="4"/>
    <n v="10"/>
    <n v="15000"/>
    <n v="154561"/>
    <n v="15456"/>
  </r>
  <r>
    <x v="3"/>
    <s v="Douala"/>
    <s v="Afrique Centrale"/>
    <x v="178"/>
    <x v="238"/>
    <x v="0"/>
    <n v="3"/>
    <n v="18500"/>
    <n v="57305"/>
    <n v="6877"/>
  </r>
  <r>
    <x v="3"/>
    <s v="Lomé"/>
    <s v="Afrique de l'Ouest"/>
    <x v="139"/>
    <x v="239"/>
    <x v="3"/>
    <n v="8"/>
    <n v="55000"/>
    <n v="478091"/>
    <n v="105180"/>
  </r>
  <r>
    <x v="2"/>
    <s v="Abidjan"/>
    <s v="Afrique de l'Ouest"/>
    <x v="20"/>
    <x v="67"/>
    <x v="1"/>
    <n v="1"/>
    <n v="12500"/>
    <n v="12245"/>
    <n v="980"/>
  </r>
  <r>
    <x v="1"/>
    <s v="Yaoundé"/>
    <s v="Afrique Centrale"/>
    <x v="179"/>
    <x v="38"/>
    <x v="4"/>
    <n v="1"/>
    <n v="15000"/>
    <n v="14038"/>
    <n v="1404"/>
  </r>
  <r>
    <x v="2"/>
    <s v="Ouagadougou"/>
    <s v="Afrique de l'Ouest"/>
    <x v="168"/>
    <x v="240"/>
    <x v="3"/>
    <n v="5"/>
    <n v="55000"/>
    <n v="249514"/>
    <n v="54893"/>
  </r>
  <r>
    <x v="3"/>
    <s v="Kampala"/>
    <s v="Afrique de l'Est"/>
    <x v="63"/>
    <x v="241"/>
    <x v="0"/>
    <n v="7"/>
    <n v="18500"/>
    <n v="140252"/>
    <n v="16830"/>
  </r>
  <r>
    <x v="0"/>
    <s v="Lomé"/>
    <s v="Afrique de l'Ouest"/>
    <x v="18"/>
    <x v="209"/>
    <x v="0"/>
    <n v="3"/>
    <n v="18500"/>
    <n v="60445"/>
    <n v="7253"/>
  </r>
  <r>
    <x v="0"/>
    <s v="Accra"/>
    <s v="Afrique de l'Ouest"/>
    <x v="180"/>
    <x v="123"/>
    <x v="3"/>
    <n v="2"/>
    <n v="55000"/>
    <n v="116448"/>
    <n v="25619"/>
  </r>
  <r>
    <x v="2"/>
    <s v="Dar es Salaam"/>
    <s v="Afrique de l'Est"/>
    <x v="103"/>
    <x v="68"/>
    <x v="4"/>
    <n v="4"/>
    <n v="15000"/>
    <n v="63802"/>
    <n v="6380"/>
  </r>
  <r>
    <x v="1"/>
    <s v="Yaoundé"/>
    <s v="Afrique Centrale"/>
    <x v="150"/>
    <x v="115"/>
    <x v="1"/>
    <n v="6"/>
    <n v="12500"/>
    <n v="68749"/>
    <n v="5500"/>
  </r>
  <r>
    <x v="3"/>
    <s v="Lagos"/>
    <s v="Afrique de l'Ouest"/>
    <x v="78"/>
    <x v="205"/>
    <x v="3"/>
    <n v="6"/>
    <n v="55000"/>
    <n v="309142"/>
    <n v="68011"/>
  </r>
  <r>
    <x v="0"/>
    <s v="Lagos"/>
    <s v="Afrique de l'Ouest"/>
    <x v="167"/>
    <x v="126"/>
    <x v="1"/>
    <n v="8"/>
    <n v="12500"/>
    <n v="100845"/>
    <n v="8068"/>
  </r>
  <r>
    <x v="0"/>
    <s v="Yaoundé"/>
    <s v="Afrique Centrale"/>
    <x v="105"/>
    <x v="82"/>
    <x v="1"/>
    <n v="3"/>
    <n v="12500"/>
    <n v="35586"/>
    <n v="2847"/>
  </r>
  <r>
    <x v="4"/>
    <s v="Nairobi"/>
    <s v="Afrique de l'Est"/>
    <x v="38"/>
    <x v="189"/>
    <x v="1"/>
    <n v="2"/>
    <n v="12500"/>
    <n v="24669"/>
    <n v="1974"/>
  </r>
  <r>
    <x v="4"/>
    <s v="Dar es Salaam"/>
    <s v="Afrique de l'Est"/>
    <x v="124"/>
    <x v="242"/>
    <x v="0"/>
    <n v="5"/>
    <n v="18500"/>
    <n v="84215"/>
    <n v="10106"/>
  </r>
  <r>
    <x v="2"/>
    <s v="Kinshasa"/>
    <s v="Afrique Centrale"/>
    <x v="181"/>
    <x v="243"/>
    <x v="3"/>
    <n v="9"/>
    <n v="55000"/>
    <n v="482410"/>
    <n v="106130"/>
  </r>
  <r>
    <x v="2"/>
    <s v="Bamako"/>
    <s v="Afrique de l'Ouest"/>
    <x v="182"/>
    <x v="180"/>
    <x v="2"/>
    <n v="9"/>
    <n v="45000"/>
    <n v="435945"/>
    <n v="78470"/>
  </r>
  <r>
    <x v="2"/>
    <s v="Abidjan"/>
    <s v="Afrique de l'Ouest"/>
    <x v="125"/>
    <x v="135"/>
    <x v="3"/>
    <n v="4"/>
    <n v="55000"/>
    <n v="228901"/>
    <n v="50358"/>
  </r>
  <r>
    <x v="0"/>
    <s v="Dar es Salaam"/>
    <s v="Afrique de l'Est"/>
    <x v="148"/>
    <x v="34"/>
    <x v="4"/>
    <n v="4"/>
    <n v="15000"/>
    <n v="61003"/>
    <n v="6100"/>
  </r>
  <r>
    <x v="1"/>
    <s v="Addis-Abeba"/>
    <s v="Afrique de l'Est"/>
    <x v="152"/>
    <x v="112"/>
    <x v="4"/>
    <n v="2"/>
    <n v="15000"/>
    <n v="28005"/>
    <n v="2800"/>
  </r>
  <r>
    <x v="0"/>
    <s v="Nairobi"/>
    <s v="Afrique de l'Est"/>
    <x v="183"/>
    <x v="0"/>
    <x v="3"/>
    <n v="9"/>
    <n v="55000"/>
    <n v="482806"/>
    <n v="106217"/>
  </r>
  <r>
    <x v="0"/>
    <s v="Dakar"/>
    <s v="Afrique de l'Ouest"/>
    <x v="122"/>
    <x v="74"/>
    <x v="2"/>
    <n v="4"/>
    <n v="45000"/>
    <n v="171107"/>
    <n v="30799"/>
  </r>
  <r>
    <x v="4"/>
    <s v="Ouagadougou"/>
    <s v="Afrique de l'Ouest"/>
    <x v="2"/>
    <x v="76"/>
    <x v="0"/>
    <n v="1"/>
    <n v="18500"/>
    <n v="18930"/>
    <n v="2272"/>
  </r>
  <r>
    <x v="1"/>
    <s v="Dakar"/>
    <s v="Afrique de l'Ouest"/>
    <x v="72"/>
    <x v="244"/>
    <x v="0"/>
    <n v="8"/>
    <n v="18500"/>
    <n v="146821"/>
    <n v="17619"/>
  </r>
  <r>
    <x v="3"/>
    <s v="Addis-Abeba"/>
    <s v="Afrique de l'Est"/>
    <x v="160"/>
    <x v="245"/>
    <x v="1"/>
    <n v="2"/>
    <n v="12500"/>
    <n v="23279"/>
    <n v="1862"/>
  </r>
  <r>
    <x v="0"/>
    <s v="Bamako"/>
    <s v="Afrique de l'Ouest"/>
    <x v="95"/>
    <x v="124"/>
    <x v="4"/>
    <n v="10"/>
    <n v="15000"/>
    <n v="150677"/>
    <n v="15068"/>
  </r>
  <r>
    <x v="1"/>
    <s v="Bamako"/>
    <s v="Afrique de l'Ouest"/>
    <x v="184"/>
    <x v="246"/>
    <x v="0"/>
    <n v="8"/>
    <n v="18500"/>
    <n v="157428"/>
    <n v="18891"/>
  </r>
  <r>
    <x v="0"/>
    <s v="Kampala"/>
    <s v="Afrique de l'Est"/>
    <x v="185"/>
    <x v="207"/>
    <x v="4"/>
    <n v="4"/>
    <n v="15000"/>
    <n v="62897"/>
    <n v="6290"/>
  </r>
  <r>
    <x v="3"/>
    <s v="Dakar"/>
    <s v="Afrique de l'Ouest"/>
    <x v="155"/>
    <x v="247"/>
    <x v="2"/>
    <n v="3"/>
    <n v="45000"/>
    <n v="128205"/>
    <n v="23077"/>
  </r>
  <r>
    <x v="3"/>
    <s v="Lomé"/>
    <s v="Afrique de l'Ouest"/>
    <x v="23"/>
    <x v="248"/>
    <x v="2"/>
    <n v="2"/>
    <n v="45000"/>
    <n v="96034"/>
    <n v="17286"/>
  </r>
  <r>
    <x v="3"/>
    <s v="Lomé"/>
    <s v="Afrique de l'Ouest"/>
    <x v="134"/>
    <x v="244"/>
    <x v="1"/>
    <n v="6"/>
    <n v="12500"/>
    <n v="72770"/>
    <n v="5822"/>
  </r>
  <r>
    <x v="0"/>
    <s v="Accra"/>
    <s v="Afrique de l'Ouest"/>
    <x v="70"/>
    <x v="174"/>
    <x v="2"/>
    <n v="5"/>
    <n v="45000"/>
    <n v="209440"/>
    <n v="37699"/>
  </r>
  <r>
    <x v="3"/>
    <s v="Douala"/>
    <s v="Afrique Centrale"/>
    <x v="132"/>
    <x v="104"/>
    <x v="3"/>
    <n v="7"/>
    <n v="55000"/>
    <n v="414733"/>
    <n v="91241"/>
  </r>
  <r>
    <x v="2"/>
    <s v="Dar es Salaam"/>
    <s v="Afrique de l'Est"/>
    <x v="99"/>
    <x v="211"/>
    <x v="4"/>
    <n v="7"/>
    <n v="15000"/>
    <n v="94923"/>
    <n v="9492"/>
  </r>
  <r>
    <x v="0"/>
    <s v="Abidjan"/>
    <s v="Afrique de l'Ouest"/>
    <x v="81"/>
    <x v="249"/>
    <x v="1"/>
    <n v="8"/>
    <n v="12500"/>
    <n v="108213"/>
    <n v="8657"/>
  </r>
  <r>
    <x v="0"/>
    <s v="Ouagadougou"/>
    <s v="Afrique de l'Ouest"/>
    <x v="10"/>
    <x v="9"/>
    <x v="2"/>
    <n v="5"/>
    <n v="45000"/>
    <n v="218909"/>
    <n v="39404"/>
  </r>
  <r>
    <x v="3"/>
    <s v="Dakar"/>
    <s v="Afrique de l'Ouest"/>
    <x v="23"/>
    <x v="27"/>
    <x v="4"/>
    <n v="10"/>
    <n v="15000"/>
    <n v="139834"/>
    <n v="13983"/>
  </r>
  <r>
    <x v="0"/>
    <s v="Lagos"/>
    <s v="Afrique de l'Ouest"/>
    <x v="76"/>
    <x v="176"/>
    <x v="1"/>
    <n v="10"/>
    <n v="12500"/>
    <n v="133887"/>
    <n v="10711"/>
  </r>
  <r>
    <x v="4"/>
    <s v="Kinshasa"/>
    <s v="Afrique Centrale"/>
    <x v="186"/>
    <x v="133"/>
    <x v="2"/>
    <n v="7"/>
    <n v="45000"/>
    <n v="324924"/>
    <n v="58486"/>
  </r>
  <r>
    <x v="2"/>
    <s v="Abidjan"/>
    <s v="Afrique de l'Ouest"/>
    <x v="161"/>
    <x v="250"/>
    <x v="3"/>
    <n v="5"/>
    <n v="55000"/>
    <n v="288630"/>
    <n v="63499"/>
  </r>
  <r>
    <x v="4"/>
    <s v="Ouagadougou"/>
    <s v="Afrique de l'Ouest"/>
    <x v="187"/>
    <x v="21"/>
    <x v="4"/>
    <n v="10"/>
    <n v="15000"/>
    <n v="155690"/>
    <n v="15569"/>
  </r>
  <r>
    <x v="1"/>
    <s v="Lomé"/>
    <s v="Afrique de l'Ouest"/>
    <x v="58"/>
    <x v="242"/>
    <x v="2"/>
    <n v="10"/>
    <n v="45000"/>
    <n v="438096"/>
    <n v="78857"/>
  </r>
  <r>
    <x v="0"/>
    <s v="Bamako"/>
    <s v="Afrique de l'Ouest"/>
    <x v="17"/>
    <x v="49"/>
    <x v="4"/>
    <n v="6"/>
    <n v="15000"/>
    <n v="92207"/>
    <n v="9221"/>
  </r>
  <r>
    <x v="0"/>
    <s v="Lomé"/>
    <s v="Afrique de l'Ouest"/>
    <x v="33"/>
    <x v="166"/>
    <x v="1"/>
    <n v="4"/>
    <n v="12500"/>
    <n v="46771"/>
    <n v="3742"/>
  </r>
  <r>
    <x v="3"/>
    <s v="Ouagadougou"/>
    <s v="Afrique de l'Ouest"/>
    <x v="0"/>
    <x v="45"/>
    <x v="2"/>
    <n v="6"/>
    <n v="45000"/>
    <n v="243898"/>
    <n v="43902"/>
  </r>
  <r>
    <x v="0"/>
    <s v="Addis-Abeba"/>
    <s v="Afrique de l'Est"/>
    <x v="66"/>
    <x v="251"/>
    <x v="2"/>
    <n v="3"/>
    <n v="45000"/>
    <n v="125189"/>
    <n v="22534"/>
  </r>
  <r>
    <x v="4"/>
    <s v="Dar es Salaam"/>
    <s v="Afrique de l'Est"/>
    <x v="188"/>
    <x v="244"/>
    <x v="4"/>
    <n v="8"/>
    <n v="15000"/>
    <n v="130641"/>
    <n v="13064"/>
  </r>
  <r>
    <x v="3"/>
    <s v="Abidjan"/>
    <s v="Afrique de l'Ouest"/>
    <x v="101"/>
    <x v="252"/>
    <x v="1"/>
    <n v="4"/>
    <n v="12500"/>
    <n v="52474"/>
    <n v="4198"/>
  </r>
  <r>
    <x v="3"/>
    <s v="Yaoundé"/>
    <s v="Afrique Centrale"/>
    <x v="92"/>
    <x v="173"/>
    <x v="4"/>
    <n v="10"/>
    <n v="15000"/>
    <n v="163553"/>
    <n v="16355"/>
  </r>
  <r>
    <x v="2"/>
    <s v="Cotonou"/>
    <s v="Afrique de l'Ouest"/>
    <x v="30"/>
    <x v="88"/>
    <x v="3"/>
    <n v="2"/>
    <n v="55000"/>
    <n v="102876"/>
    <n v="22633"/>
  </r>
  <r>
    <x v="2"/>
    <s v="Douala"/>
    <s v="Afrique Centrale"/>
    <x v="141"/>
    <x v="253"/>
    <x v="1"/>
    <n v="9"/>
    <n v="12500"/>
    <n v="107966"/>
    <n v="8637"/>
  </r>
  <r>
    <x v="3"/>
    <s v="Kinshasa"/>
    <s v="Afrique Centrale"/>
    <x v="86"/>
    <x v="97"/>
    <x v="1"/>
    <n v="7"/>
    <n v="12500"/>
    <n v="88891"/>
    <n v="7111"/>
  </r>
  <r>
    <x v="3"/>
    <s v="Bamako"/>
    <s v="Afrique de l'Ouest"/>
    <x v="102"/>
    <x v="157"/>
    <x v="1"/>
    <n v="9"/>
    <n v="12500"/>
    <n v="112153"/>
    <n v="8972"/>
  </r>
  <r>
    <x v="4"/>
    <s v="Douala"/>
    <s v="Afrique Centrale"/>
    <x v="155"/>
    <x v="225"/>
    <x v="1"/>
    <n v="1"/>
    <n v="12500"/>
    <n v="11929"/>
    <n v="954"/>
  </r>
  <r>
    <x v="2"/>
    <s v="Kampala"/>
    <s v="Afrique de l'Est"/>
    <x v="132"/>
    <x v="254"/>
    <x v="0"/>
    <n v="1"/>
    <n v="18500"/>
    <n v="17541"/>
    <n v="2105"/>
  </r>
  <r>
    <x v="2"/>
    <s v="Addis-Abeba"/>
    <s v="Afrique de l'Est"/>
    <x v="100"/>
    <x v="203"/>
    <x v="3"/>
    <n v="3"/>
    <n v="55000"/>
    <n v="150444"/>
    <n v="33098"/>
  </r>
  <r>
    <x v="3"/>
    <s v="Ouagadougou"/>
    <s v="Afrique de l'Ouest"/>
    <x v="169"/>
    <x v="255"/>
    <x v="3"/>
    <n v="1"/>
    <n v="55000"/>
    <n v="50491"/>
    <n v="11108"/>
  </r>
  <r>
    <x v="2"/>
    <s v="Dakar"/>
    <s v="Afrique de l'Ouest"/>
    <x v="130"/>
    <x v="127"/>
    <x v="4"/>
    <n v="2"/>
    <n v="15000"/>
    <n v="31196"/>
    <n v="3120"/>
  </r>
  <r>
    <x v="1"/>
    <s v="Douala"/>
    <s v="Afrique Centrale"/>
    <x v="117"/>
    <x v="12"/>
    <x v="1"/>
    <n v="10"/>
    <n v="12500"/>
    <n v="113172"/>
    <n v="9054"/>
  </r>
  <r>
    <x v="0"/>
    <s v="Kampala"/>
    <s v="Afrique de l'Est"/>
    <x v="109"/>
    <x v="104"/>
    <x v="2"/>
    <n v="6"/>
    <n v="45000"/>
    <n v="266358"/>
    <n v="47944"/>
  </r>
  <r>
    <x v="2"/>
    <s v="Ouagadougou"/>
    <s v="Afrique de l'Ouest"/>
    <x v="87"/>
    <x v="79"/>
    <x v="1"/>
    <n v="10"/>
    <n v="12500"/>
    <n v="126061"/>
    <n v="10085"/>
  </r>
  <r>
    <x v="0"/>
    <s v="Lagos"/>
    <s v="Afrique de l'Ouest"/>
    <x v="0"/>
    <x v="57"/>
    <x v="2"/>
    <n v="1"/>
    <n v="45000"/>
    <n v="45120"/>
    <n v="8122"/>
  </r>
  <r>
    <x v="4"/>
    <s v="Kinshasa"/>
    <s v="Afrique Centrale"/>
    <x v="157"/>
    <x v="249"/>
    <x v="0"/>
    <n v="9"/>
    <n v="18500"/>
    <n v="181434"/>
    <n v="21772"/>
  </r>
  <r>
    <x v="0"/>
    <s v="Cotonou"/>
    <s v="Afrique de l'Ouest"/>
    <x v="150"/>
    <x v="256"/>
    <x v="4"/>
    <n v="1"/>
    <n v="15000"/>
    <n v="15352"/>
    <n v="1535"/>
  </r>
  <r>
    <x v="2"/>
    <s v="Yaoundé"/>
    <s v="Afrique Centrale"/>
    <x v="12"/>
    <x v="38"/>
    <x v="4"/>
    <n v="5"/>
    <n v="15000"/>
    <n v="68181"/>
    <n v="6818"/>
  </r>
  <r>
    <x v="2"/>
    <s v="Accra"/>
    <s v="Afrique de l'Ouest"/>
    <x v="135"/>
    <x v="257"/>
    <x v="0"/>
    <n v="1"/>
    <n v="18500"/>
    <n v="18274"/>
    <n v="2193"/>
  </r>
  <r>
    <x v="4"/>
    <s v="Lagos"/>
    <s v="Afrique de l'Ouest"/>
    <x v="16"/>
    <x v="258"/>
    <x v="1"/>
    <n v="3"/>
    <n v="12500"/>
    <n v="35985"/>
    <n v="2879"/>
  </r>
  <r>
    <x v="2"/>
    <s v="Lagos"/>
    <s v="Afrique de l'Ouest"/>
    <x v="84"/>
    <x v="65"/>
    <x v="3"/>
    <n v="3"/>
    <n v="55000"/>
    <n v="178758"/>
    <n v="39327"/>
  </r>
  <r>
    <x v="2"/>
    <s v="Bamako"/>
    <s v="Afrique de l'Ouest"/>
    <x v="19"/>
    <x v="259"/>
    <x v="2"/>
    <n v="3"/>
    <n v="45000"/>
    <n v="135587"/>
    <n v="24406"/>
  </r>
  <r>
    <x v="2"/>
    <s v="Addis-Abeba"/>
    <s v="Afrique de l'Est"/>
    <x v="50"/>
    <x v="68"/>
    <x v="2"/>
    <n v="6"/>
    <n v="45000"/>
    <n v="253006"/>
    <n v="45541"/>
  </r>
  <r>
    <x v="3"/>
    <s v="Kampala"/>
    <s v="Afrique de l'Est"/>
    <x v="113"/>
    <x v="159"/>
    <x v="0"/>
    <n v="2"/>
    <n v="18500"/>
    <n v="36569"/>
    <n v="4388"/>
  </r>
  <r>
    <x v="2"/>
    <s v="Lagos"/>
    <s v="Afrique de l'Ouest"/>
    <x v="189"/>
    <x v="193"/>
    <x v="1"/>
    <n v="3"/>
    <n v="12500"/>
    <n v="39978"/>
    <n v="3198"/>
  </r>
  <r>
    <x v="4"/>
    <s v="Yaoundé"/>
    <s v="Afrique Centrale"/>
    <x v="4"/>
    <x v="99"/>
    <x v="2"/>
    <n v="2"/>
    <n v="45000"/>
    <n v="98566"/>
    <n v="17742"/>
  </r>
  <r>
    <x v="4"/>
    <s v="Accra"/>
    <s v="Afrique de l'Ouest"/>
    <x v="179"/>
    <x v="98"/>
    <x v="2"/>
    <n v="4"/>
    <n v="45000"/>
    <n v="185992"/>
    <n v="33479"/>
  </r>
  <r>
    <x v="2"/>
    <s v="Kampala"/>
    <s v="Afrique de l'Est"/>
    <x v="159"/>
    <x v="150"/>
    <x v="2"/>
    <n v="9"/>
    <n v="45000"/>
    <n v="366366"/>
    <n v="65946"/>
  </r>
  <r>
    <x v="1"/>
    <s v="Ouagadougou"/>
    <s v="Afrique de l'Ouest"/>
    <x v="89"/>
    <x v="260"/>
    <x v="4"/>
    <n v="10"/>
    <n v="15000"/>
    <n v="141771"/>
    <n v="14177"/>
  </r>
  <r>
    <x v="3"/>
    <s v="Bamako"/>
    <s v="Afrique de l'Ouest"/>
    <x v="110"/>
    <x v="261"/>
    <x v="0"/>
    <n v="6"/>
    <n v="18500"/>
    <n v="119025"/>
    <n v="14283"/>
  </r>
  <r>
    <x v="1"/>
    <s v="Addis-Abeba"/>
    <s v="Afrique de l'Est"/>
    <x v="171"/>
    <x v="262"/>
    <x v="0"/>
    <n v="3"/>
    <n v="18500"/>
    <n v="50439"/>
    <n v="6053"/>
  </r>
  <r>
    <x v="2"/>
    <s v="Nairobi"/>
    <s v="Afrique de l'Est"/>
    <x v="59"/>
    <x v="263"/>
    <x v="3"/>
    <n v="2"/>
    <n v="55000"/>
    <n v="113640"/>
    <n v="25001"/>
  </r>
  <r>
    <x v="3"/>
    <s v="Lagos"/>
    <s v="Afrique de l'Ouest"/>
    <x v="190"/>
    <x v="61"/>
    <x v="1"/>
    <n v="6"/>
    <n v="12500"/>
    <n v="74299"/>
    <n v="5944"/>
  </r>
  <r>
    <x v="1"/>
    <s v="Cotonou"/>
    <s v="Afrique de l'Ouest"/>
    <x v="36"/>
    <x v="264"/>
    <x v="3"/>
    <n v="1"/>
    <n v="55000"/>
    <n v="60152"/>
    <n v="13233"/>
  </r>
  <r>
    <x v="2"/>
    <s v="Abidjan"/>
    <s v="Afrique de l'Ouest"/>
    <x v="96"/>
    <x v="255"/>
    <x v="4"/>
    <n v="7"/>
    <n v="15000"/>
    <n v="102632"/>
    <n v="10263"/>
  </r>
  <r>
    <x v="2"/>
    <s v="Accra"/>
    <s v="Afrique de l'Ouest"/>
    <x v="137"/>
    <x v="265"/>
    <x v="2"/>
    <n v="10"/>
    <n v="45000"/>
    <n v="420715"/>
    <n v="75729"/>
  </r>
  <r>
    <x v="2"/>
    <s v="Lagos"/>
    <s v="Afrique de l'Ouest"/>
    <x v="191"/>
    <x v="127"/>
    <x v="4"/>
    <n v="7"/>
    <n v="15000"/>
    <n v="110741"/>
    <n v="11074"/>
  </r>
  <r>
    <x v="3"/>
    <s v="Nairobi"/>
    <s v="Afrique de l'Est"/>
    <x v="126"/>
    <x v="108"/>
    <x v="4"/>
    <n v="4"/>
    <n v="15000"/>
    <n v="57448"/>
    <n v="5745"/>
  </r>
  <r>
    <x v="1"/>
    <s v="Kinshasa"/>
    <s v="Afrique Centrale"/>
    <x v="70"/>
    <x v="243"/>
    <x v="1"/>
    <n v="3"/>
    <n v="12500"/>
    <n v="37553"/>
    <n v="3004"/>
  </r>
  <r>
    <x v="2"/>
    <s v="Lomé"/>
    <s v="Afrique de l'Ouest"/>
    <x v="192"/>
    <x v="176"/>
    <x v="4"/>
    <n v="8"/>
    <n v="15000"/>
    <n v="126919"/>
    <n v="12692"/>
  </r>
  <r>
    <x v="1"/>
    <s v="Douala"/>
    <s v="Afrique Centrale"/>
    <x v="68"/>
    <x v="104"/>
    <x v="4"/>
    <n v="9"/>
    <n v="15000"/>
    <n v="122038"/>
    <n v="12204"/>
  </r>
  <r>
    <x v="3"/>
    <s v="Cotonou"/>
    <s v="Afrique de l'Ouest"/>
    <x v="38"/>
    <x v="162"/>
    <x v="4"/>
    <n v="7"/>
    <n v="15000"/>
    <n v="104543"/>
    <n v="10454"/>
  </r>
  <r>
    <x v="4"/>
    <s v="Bamako"/>
    <s v="Afrique de l'Ouest"/>
    <x v="193"/>
    <x v="223"/>
    <x v="4"/>
    <n v="9"/>
    <n v="15000"/>
    <n v="124688"/>
    <n v="12469"/>
  </r>
  <r>
    <x v="1"/>
    <s v="Abidjan"/>
    <s v="Afrique de l'Ouest"/>
    <x v="88"/>
    <x v="73"/>
    <x v="3"/>
    <n v="10"/>
    <n v="55000"/>
    <n v="583352"/>
    <n v="128337"/>
  </r>
  <r>
    <x v="2"/>
    <s v="Addis-Abeba"/>
    <s v="Afrique de l'Est"/>
    <x v="144"/>
    <x v="151"/>
    <x v="2"/>
    <n v="1"/>
    <n v="45000"/>
    <n v="46140"/>
    <n v="8305"/>
  </r>
  <r>
    <x v="0"/>
    <s v="Dakar"/>
    <s v="Afrique de l'Ouest"/>
    <x v="174"/>
    <x v="227"/>
    <x v="3"/>
    <n v="8"/>
    <n v="55000"/>
    <n v="456253"/>
    <n v="100376"/>
  </r>
  <r>
    <x v="1"/>
    <s v="Douala"/>
    <s v="Afrique Centrale"/>
    <x v="58"/>
    <x v="69"/>
    <x v="1"/>
    <n v="4"/>
    <n v="12500"/>
    <n v="51863"/>
    <n v="4149"/>
  </r>
  <r>
    <x v="2"/>
    <s v="Ouagadougou"/>
    <s v="Afrique de l'Ouest"/>
    <x v="71"/>
    <x v="143"/>
    <x v="2"/>
    <n v="4"/>
    <n v="45000"/>
    <n v="187923"/>
    <n v="33826"/>
  </r>
  <r>
    <x v="4"/>
    <s v="Kinshasa"/>
    <s v="Afrique Centrale"/>
    <x v="72"/>
    <x v="5"/>
    <x v="0"/>
    <n v="3"/>
    <n v="18500"/>
    <n v="53604"/>
    <n v="6432"/>
  </r>
  <r>
    <x v="1"/>
    <s v="Kampala"/>
    <s v="Afrique de l'Est"/>
    <x v="133"/>
    <x v="266"/>
    <x v="0"/>
    <n v="10"/>
    <n v="18500"/>
    <n v="198790"/>
    <n v="23855"/>
  </r>
  <r>
    <x v="1"/>
    <s v="Abidjan"/>
    <s v="Afrique de l'Ouest"/>
    <x v="174"/>
    <x v="260"/>
    <x v="3"/>
    <n v="8"/>
    <n v="55000"/>
    <n v="417750"/>
    <n v="91905"/>
  </r>
  <r>
    <x v="2"/>
    <s v="Lagos"/>
    <s v="Afrique de l'Ouest"/>
    <x v="151"/>
    <x v="0"/>
    <x v="1"/>
    <n v="7"/>
    <n v="12500"/>
    <n v="87736"/>
    <n v="7019"/>
  </r>
  <r>
    <x v="4"/>
    <s v="Yaoundé"/>
    <s v="Afrique Centrale"/>
    <x v="179"/>
    <x v="143"/>
    <x v="4"/>
    <n v="7"/>
    <n v="15000"/>
    <n v="100705"/>
    <n v="10070"/>
  </r>
  <r>
    <x v="1"/>
    <s v="Kinshasa"/>
    <s v="Afrique Centrale"/>
    <x v="137"/>
    <x v="217"/>
    <x v="1"/>
    <n v="2"/>
    <n v="12500"/>
    <n v="24495"/>
    <n v="1960"/>
  </r>
  <r>
    <x v="0"/>
    <s v="Bamako"/>
    <s v="Afrique de l'Ouest"/>
    <x v="71"/>
    <x v="206"/>
    <x v="2"/>
    <n v="8"/>
    <n v="45000"/>
    <n v="333600"/>
    <n v="60048"/>
  </r>
  <r>
    <x v="2"/>
    <s v="Addis-Abeba"/>
    <s v="Afrique de l'Est"/>
    <x v="28"/>
    <x v="158"/>
    <x v="0"/>
    <n v="4"/>
    <n v="18500"/>
    <n v="74537"/>
    <n v="8944"/>
  </r>
  <r>
    <x v="1"/>
    <s v="Bamako"/>
    <s v="Afrique de l'Ouest"/>
    <x v="48"/>
    <x v="234"/>
    <x v="3"/>
    <n v="7"/>
    <n v="55000"/>
    <n v="377232"/>
    <n v="82991"/>
  </r>
  <r>
    <x v="4"/>
    <s v="Kinshasa"/>
    <s v="Afrique Centrale"/>
    <x v="194"/>
    <x v="45"/>
    <x v="1"/>
    <n v="2"/>
    <n v="12500"/>
    <n v="26821"/>
    <n v="2146"/>
  </r>
  <r>
    <x v="2"/>
    <s v="Cotonou"/>
    <s v="Afrique de l'Ouest"/>
    <x v="163"/>
    <x v="151"/>
    <x v="2"/>
    <n v="1"/>
    <n v="45000"/>
    <n v="48109"/>
    <n v="8660"/>
  </r>
  <r>
    <x v="1"/>
    <s v="Lomé"/>
    <s v="Afrique de l'Ouest"/>
    <x v="133"/>
    <x v="213"/>
    <x v="4"/>
    <n v="2"/>
    <n v="15000"/>
    <n v="28740"/>
    <n v="2874"/>
  </r>
  <r>
    <x v="1"/>
    <s v="Nairobi"/>
    <s v="Afrique de l'Est"/>
    <x v="123"/>
    <x v="143"/>
    <x v="3"/>
    <n v="8"/>
    <n v="55000"/>
    <n v="445265"/>
    <n v="97958"/>
  </r>
  <r>
    <x v="3"/>
    <s v="Kinshasa"/>
    <s v="Afrique Centrale"/>
    <x v="79"/>
    <x v="267"/>
    <x v="4"/>
    <n v="3"/>
    <n v="15000"/>
    <n v="43731"/>
    <n v="4373"/>
  </r>
  <r>
    <x v="4"/>
    <s v="Yaoundé"/>
    <s v="Afrique Centrale"/>
    <x v="27"/>
    <x v="84"/>
    <x v="0"/>
    <n v="3"/>
    <n v="18500"/>
    <n v="59024"/>
    <n v="7083"/>
  </r>
  <r>
    <x v="3"/>
    <s v="Lagos"/>
    <s v="Afrique de l'Ouest"/>
    <x v="19"/>
    <x v="266"/>
    <x v="4"/>
    <n v="4"/>
    <n v="15000"/>
    <n v="60030"/>
    <n v="6003"/>
  </r>
  <r>
    <x v="3"/>
    <s v="Nairobi"/>
    <s v="Afrique de l'Est"/>
    <x v="195"/>
    <x v="134"/>
    <x v="3"/>
    <n v="4"/>
    <n v="55000"/>
    <n v="214185"/>
    <n v="47121"/>
  </r>
  <r>
    <x v="3"/>
    <s v="Kinshasa"/>
    <s v="Afrique Centrale"/>
    <x v="144"/>
    <x v="95"/>
    <x v="1"/>
    <n v="3"/>
    <n v="12500"/>
    <n v="39521"/>
    <n v="3162"/>
  </r>
  <r>
    <x v="4"/>
    <s v="Lomé"/>
    <s v="Afrique de l'Ouest"/>
    <x v="37"/>
    <x v="268"/>
    <x v="1"/>
    <n v="1"/>
    <n v="12500"/>
    <n v="12863"/>
    <n v="1029"/>
  </r>
  <r>
    <x v="2"/>
    <s v="Kinshasa"/>
    <s v="Afrique Centrale"/>
    <x v="57"/>
    <x v="217"/>
    <x v="3"/>
    <n v="8"/>
    <n v="55000"/>
    <n v="424801"/>
    <n v="93456"/>
  </r>
  <r>
    <x v="4"/>
    <s v="Kinshasa"/>
    <s v="Afrique Centrale"/>
    <x v="196"/>
    <x v="17"/>
    <x v="4"/>
    <n v="1"/>
    <n v="15000"/>
    <n v="16302"/>
    <n v="1630"/>
  </r>
  <r>
    <x v="2"/>
    <s v="Douala"/>
    <s v="Afrique Centrale"/>
    <x v="117"/>
    <x v="195"/>
    <x v="2"/>
    <n v="5"/>
    <n v="45000"/>
    <n v="244364"/>
    <n v="43986"/>
  </r>
  <r>
    <x v="3"/>
    <s v="Douala"/>
    <s v="Afrique Centrale"/>
    <x v="59"/>
    <x v="156"/>
    <x v="4"/>
    <n v="7"/>
    <n v="15000"/>
    <n v="114120"/>
    <n v="11412"/>
  </r>
  <r>
    <x v="0"/>
    <s v="Abidjan"/>
    <s v="Afrique de l'Ouest"/>
    <x v="24"/>
    <x v="16"/>
    <x v="0"/>
    <n v="10"/>
    <n v="18500"/>
    <n v="179558"/>
    <n v="21547"/>
  </r>
  <r>
    <x v="1"/>
    <s v="Addis-Abeba"/>
    <s v="Afrique de l'Est"/>
    <x v="90"/>
    <x v="9"/>
    <x v="0"/>
    <n v="7"/>
    <n v="18500"/>
    <n v="141864"/>
    <n v="17024"/>
  </r>
  <r>
    <x v="1"/>
    <s v="Accra"/>
    <s v="Afrique de l'Ouest"/>
    <x v="63"/>
    <x v="83"/>
    <x v="0"/>
    <n v="10"/>
    <n v="18500"/>
    <n v="169437"/>
    <n v="20332"/>
  </r>
  <r>
    <x v="1"/>
    <s v="Lagos"/>
    <s v="Afrique de l'Ouest"/>
    <x v="178"/>
    <x v="155"/>
    <x v="0"/>
    <n v="6"/>
    <n v="18500"/>
    <n v="105346"/>
    <n v="12642"/>
  </r>
  <r>
    <x v="4"/>
    <s v="Bamako"/>
    <s v="Afrique de l'Ouest"/>
    <x v="109"/>
    <x v="130"/>
    <x v="0"/>
    <n v="3"/>
    <n v="18500"/>
    <n v="59742"/>
    <n v="7169"/>
  </r>
  <r>
    <x v="4"/>
    <s v="Dakar"/>
    <s v="Afrique de l'Ouest"/>
    <x v="50"/>
    <x v="269"/>
    <x v="4"/>
    <n v="5"/>
    <n v="15000"/>
    <n v="69739"/>
    <n v="6974"/>
  </r>
  <r>
    <x v="0"/>
    <s v="Yaoundé"/>
    <s v="Afrique Centrale"/>
    <x v="40"/>
    <x v="193"/>
    <x v="2"/>
    <n v="2"/>
    <n v="45000"/>
    <n v="83628"/>
    <n v="15053"/>
  </r>
  <r>
    <x v="2"/>
    <s v="Douala"/>
    <s v="Afrique Centrale"/>
    <x v="124"/>
    <x v="270"/>
    <x v="4"/>
    <n v="10"/>
    <n v="15000"/>
    <n v="153407"/>
    <n v="15341"/>
  </r>
  <r>
    <x v="2"/>
    <s v="Dakar"/>
    <s v="Afrique de l'Ouest"/>
    <x v="197"/>
    <x v="66"/>
    <x v="2"/>
    <n v="7"/>
    <n v="45000"/>
    <n v="344030"/>
    <n v="61925"/>
  </r>
  <r>
    <x v="3"/>
    <s v="Dar es Salaam"/>
    <s v="Afrique de l'Est"/>
    <x v="123"/>
    <x v="217"/>
    <x v="4"/>
    <n v="7"/>
    <n v="15000"/>
    <n v="108932"/>
    <n v="10893"/>
  </r>
  <r>
    <x v="4"/>
    <s v="Addis-Abeba"/>
    <s v="Afrique de l'Est"/>
    <x v="146"/>
    <x v="56"/>
    <x v="4"/>
    <n v="8"/>
    <n v="15000"/>
    <n v="115512"/>
    <n v="11551"/>
  </r>
  <r>
    <x v="2"/>
    <s v="Douala"/>
    <s v="Afrique Centrale"/>
    <x v="132"/>
    <x v="116"/>
    <x v="2"/>
    <n v="9"/>
    <n v="45000"/>
    <n v="392761"/>
    <n v="70697"/>
  </r>
  <r>
    <x v="2"/>
    <s v="Addis-Abeba"/>
    <s v="Afrique de l'Est"/>
    <x v="111"/>
    <x v="197"/>
    <x v="1"/>
    <n v="2"/>
    <n v="12500"/>
    <n v="25709"/>
    <n v="2057"/>
  </r>
  <r>
    <x v="0"/>
    <s v="Accra"/>
    <s v="Afrique de l'Ouest"/>
    <x v="104"/>
    <x v="30"/>
    <x v="0"/>
    <n v="10"/>
    <n v="18500"/>
    <n v="173405"/>
    <n v="20809"/>
  </r>
  <r>
    <x v="3"/>
    <s v="Bamako"/>
    <s v="Afrique de l'Ouest"/>
    <x v="190"/>
    <x v="271"/>
    <x v="3"/>
    <n v="3"/>
    <n v="55000"/>
    <n v="153263"/>
    <n v="33718"/>
  </r>
  <r>
    <x v="3"/>
    <s v="Lomé"/>
    <s v="Afrique de l'Ouest"/>
    <x v="191"/>
    <x v="272"/>
    <x v="2"/>
    <n v="4"/>
    <n v="45000"/>
    <n v="174095"/>
    <n v="31337"/>
  </r>
  <r>
    <x v="2"/>
    <s v="Dakar"/>
    <s v="Afrique de l'Ouest"/>
    <x v="155"/>
    <x v="57"/>
    <x v="3"/>
    <n v="6"/>
    <n v="55000"/>
    <n v="300305"/>
    <n v="66067"/>
  </r>
  <r>
    <x v="0"/>
    <s v="Douala"/>
    <s v="Afrique Centrale"/>
    <x v="170"/>
    <x v="273"/>
    <x v="2"/>
    <n v="5"/>
    <n v="45000"/>
    <n v="211952"/>
    <n v="38151"/>
  </r>
  <r>
    <x v="3"/>
    <s v="Accra"/>
    <s v="Afrique de l'Ouest"/>
    <x v="35"/>
    <x v="260"/>
    <x v="3"/>
    <n v="4"/>
    <n v="55000"/>
    <n v="228281"/>
    <n v="50222"/>
  </r>
  <r>
    <x v="0"/>
    <s v="Cotonou"/>
    <s v="Afrique de l'Ouest"/>
    <x v="56"/>
    <x v="233"/>
    <x v="3"/>
    <n v="3"/>
    <n v="55000"/>
    <n v="173041"/>
    <n v="38069"/>
  </r>
  <r>
    <x v="1"/>
    <s v="Accra"/>
    <s v="Afrique de l'Ouest"/>
    <x v="45"/>
    <x v="219"/>
    <x v="3"/>
    <n v="3"/>
    <n v="55000"/>
    <n v="178081"/>
    <n v="39178"/>
  </r>
  <r>
    <x v="4"/>
    <s v="Addis-Abeba"/>
    <s v="Afrique de l'Est"/>
    <x v="137"/>
    <x v="243"/>
    <x v="2"/>
    <n v="8"/>
    <n v="45000"/>
    <n v="330776"/>
    <n v="59540"/>
  </r>
  <r>
    <x v="2"/>
    <s v="Douala"/>
    <s v="Afrique Centrale"/>
    <x v="12"/>
    <x v="14"/>
    <x v="1"/>
    <n v="7"/>
    <n v="12500"/>
    <n v="96156"/>
    <n v="7692"/>
  </r>
  <r>
    <x v="0"/>
    <s v="Bamako"/>
    <s v="Afrique de l'Ouest"/>
    <x v="176"/>
    <x v="274"/>
    <x v="0"/>
    <n v="1"/>
    <n v="18500"/>
    <n v="18973"/>
    <n v="2277"/>
  </r>
  <r>
    <x v="2"/>
    <s v="Cotonou"/>
    <s v="Afrique de l'Ouest"/>
    <x v="2"/>
    <x v="275"/>
    <x v="1"/>
    <n v="8"/>
    <n v="12500"/>
    <n v="103904"/>
    <n v="8312"/>
  </r>
  <r>
    <x v="4"/>
    <s v="Yaoundé"/>
    <s v="Afrique Centrale"/>
    <x v="64"/>
    <x v="29"/>
    <x v="3"/>
    <n v="1"/>
    <n v="55000"/>
    <n v="59416"/>
    <n v="13072"/>
  </r>
  <r>
    <x v="4"/>
    <s v="Douala"/>
    <s v="Afrique Centrale"/>
    <x v="149"/>
    <x v="76"/>
    <x v="3"/>
    <n v="9"/>
    <n v="55000"/>
    <n v="488423"/>
    <n v="107453"/>
  </r>
  <r>
    <x v="0"/>
    <s v="Dakar"/>
    <s v="Afrique de l'Ouest"/>
    <x v="198"/>
    <x v="276"/>
    <x v="0"/>
    <n v="4"/>
    <n v="18500"/>
    <n v="72063"/>
    <n v="8648"/>
  </r>
  <r>
    <x v="2"/>
    <s v="Lomé"/>
    <s v="Afrique de l'Ouest"/>
    <x v="117"/>
    <x v="44"/>
    <x v="2"/>
    <n v="7"/>
    <n v="45000"/>
    <n v="315796"/>
    <n v="56843"/>
  </r>
  <r>
    <x v="4"/>
    <s v="Dakar"/>
    <s v="Afrique de l'Ouest"/>
    <x v="199"/>
    <x v="108"/>
    <x v="3"/>
    <n v="1"/>
    <n v="55000"/>
    <n v="50889"/>
    <n v="11196"/>
  </r>
  <r>
    <x v="3"/>
    <s v="Cotonou"/>
    <s v="Afrique de l'Ouest"/>
    <x v="200"/>
    <x v="90"/>
    <x v="3"/>
    <n v="6"/>
    <n v="55000"/>
    <n v="323014"/>
    <n v="71063"/>
  </r>
  <r>
    <x v="3"/>
    <s v="Abidjan"/>
    <s v="Afrique de l'Ouest"/>
    <x v="136"/>
    <x v="163"/>
    <x v="2"/>
    <n v="5"/>
    <n v="45000"/>
    <n v="232474"/>
    <n v="41845"/>
  </r>
  <r>
    <x v="4"/>
    <s v="Lomé"/>
    <s v="Afrique de l'Ouest"/>
    <x v="11"/>
    <x v="277"/>
    <x v="4"/>
    <n v="3"/>
    <n v="15000"/>
    <n v="46929"/>
    <n v="4693"/>
  </r>
  <r>
    <x v="4"/>
    <s v="Dar es Salaam"/>
    <s v="Afrique de l'Est"/>
    <x v="165"/>
    <x v="61"/>
    <x v="0"/>
    <n v="3"/>
    <n v="18500"/>
    <n v="52591"/>
    <n v="6311"/>
  </r>
  <r>
    <x v="0"/>
    <s v="Douala"/>
    <s v="Afrique Centrale"/>
    <x v="201"/>
    <x v="253"/>
    <x v="1"/>
    <n v="7"/>
    <n v="12500"/>
    <n v="81339"/>
    <n v="6507"/>
  </r>
  <r>
    <x v="1"/>
    <s v="Abidjan"/>
    <s v="Afrique de l'Ouest"/>
    <x v="188"/>
    <x v="114"/>
    <x v="3"/>
    <n v="6"/>
    <n v="55000"/>
    <n v="317564"/>
    <n v="69864"/>
  </r>
  <r>
    <x v="3"/>
    <s v="Douala"/>
    <s v="Afrique Centrale"/>
    <x v="79"/>
    <x v="278"/>
    <x v="0"/>
    <n v="4"/>
    <n v="18500"/>
    <n v="67596"/>
    <n v="8112"/>
  </r>
  <r>
    <x v="4"/>
    <s v="Dakar"/>
    <s v="Afrique de l'Ouest"/>
    <x v="202"/>
    <x v="172"/>
    <x v="0"/>
    <n v="1"/>
    <n v="18500"/>
    <n v="17424"/>
    <n v="2091"/>
  </r>
  <r>
    <x v="0"/>
    <s v="Ouagadougou"/>
    <s v="Afrique de l'Ouest"/>
    <x v="203"/>
    <x v="218"/>
    <x v="3"/>
    <n v="7"/>
    <n v="55000"/>
    <n v="419762"/>
    <n v="92348"/>
  </r>
  <r>
    <x v="3"/>
    <s v="Abidjan"/>
    <s v="Afrique de l'Ouest"/>
    <x v="106"/>
    <x v="88"/>
    <x v="4"/>
    <n v="5"/>
    <n v="15000"/>
    <n v="80030"/>
    <n v="8003"/>
  </r>
  <r>
    <x v="3"/>
    <s v="Abidjan"/>
    <s v="Afrique de l'Ouest"/>
    <x v="204"/>
    <x v="279"/>
    <x v="1"/>
    <n v="5"/>
    <n v="12500"/>
    <n v="57907"/>
    <n v="4633"/>
  </r>
  <r>
    <x v="3"/>
    <s v="Cotonou"/>
    <s v="Afrique de l'Ouest"/>
    <x v="110"/>
    <x v="280"/>
    <x v="1"/>
    <n v="9"/>
    <n v="12500"/>
    <n v="119343"/>
    <n v="9547"/>
  </r>
  <r>
    <x v="1"/>
    <s v="Cotonou"/>
    <s v="Afrique de l'Ouest"/>
    <x v="6"/>
    <x v="26"/>
    <x v="1"/>
    <n v="10"/>
    <n v="12500"/>
    <n v="123232"/>
    <n v="9859"/>
  </r>
  <r>
    <x v="1"/>
    <s v="Dar es Salaam"/>
    <s v="Afrique de l'Est"/>
    <x v="154"/>
    <x v="114"/>
    <x v="0"/>
    <n v="1"/>
    <n v="18500"/>
    <n v="18350"/>
    <n v="2202"/>
  </r>
  <r>
    <x v="1"/>
    <s v="Lomé"/>
    <s v="Afrique de l'Ouest"/>
    <x v="48"/>
    <x v="281"/>
    <x v="3"/>
    <n v="10"/>
    <n v="55000"/>
    <n v="541295"/>
    <n v="119085"/>
  </r>
  <r>
    <x v="3"/>
    <s v="Kinshasa"/>
    <s v="Afrique Centrale"/>
    <x v="31"/>
    <x v="11"/>
    <x v="2"/>
    <n v="5"/>
    <n v="45000"/>
    <n v="238482"/>
    <n v="42927"/>
  </r>
  <r>
    <x v="3"/>
    <s v="Dakar"/>
    <s v="Afrique de l'Ouest"/>
    <x v="205"/>
    <x v="282"/>
    <x v="0"/>
    <n v="1"/>
    <n v="18500"/>
    <n v="18832"/>
    <n v="2260"/>
  </r>
  <r>
    <x v="0"/>
    <s v="Addis-Abeba"/>
    <s v="Afrique de l'Est"/>
    <x v="206"/>
    <x v="108"/>
    <x v="0"/>
    <n v="8"/>
    <n v="18500"/>
    <n v="141384"/>
    <n v="16966"/>
  </r>
  <r>
    <x v="0"/>
    <s v="Kinshasa"/>
    <s v="Afrique Centrale"/>
    <x v="21"/>
    <x v="166"/>
    <x v="2"/>
    <n v="9"/>
    <n v="45000"/>
    <n v="414271"/>
    <n v="74569"/>
  </r>
  <r>
    <x v="1"/>
    <s v="Ouagadougou"/>
    <s v="Afrique de l'Ouest"/>
    <x v="157"/>
    <x v="161"/>
    <x v="4"/>
    <n v="9"/>
    <n v="15000"/>
    <n v="128315"/>
    <n v="12832"/>
  </r>
  <r>
    <x v="3"/>
    <s v="Lagos"/>
    <s v="Afrique de l'Ouest"/>
    <x v="157"/>
    <x v="41"/>
    <x v="0"/>
    <n v="1"/>
    <n v="18500"/>
    <n v="18216"/>
    <n v="2186"/>
  </r>
  <r>
    <x v="4"/>
    <s v="Nairobi"/>
    <s v="Afrique de l'Est"/>
    <x v="74"/>
    <x v="239"/>
    <x v="3"/>
    <n v="6"/>
    <n v="55000"/>
    <n v="315388"/>
    <n v="69385"/>
  </r>
  <r>
    <x v="3"/>
    <s v="Cotonou"/>
    <s v="Afrique de l'Ouest"/>
    <x v="29"/>
    <x v="103"/>
    <x v="1"/>
    <n v="3"/>
    <n v="12500"/>
    <n v="35234"/>
    <n v="2819"/>
  </r>
  <r>
    <x v="0"/>
    <s v="Addis-Abeba"/>
    <s v="Afrique de l'Est"/>
    <x v="207"/>
    <x v="283"/>
    <x v="3"/>
    <n v="2"/>
    <n v="55000"/>
    <n v="104238"/>
    <n v="22932"/>
  </r>
  <r>
    <x v="3"/>
    <s v="Lomé"/>
    <s v="Afrique de l'Ouest"/>
    <x v="206"/>
    <x v="100"/>
    <x v="2"/>
    <n v="8"/>
    <n v="45000"/>
    <n v="374877"/>
    <n v="67478"/>
  </r>
  <r>
    <x v="1"/>
    <s v="Abidjan"/>
    <s v="Afrique de l'Ouest"/>
    <x v="2"/>
    <x v="178"/>
    <x v="3"/>
    <n v="1"/>
    <n v="55000"/>
    <n v="59362"/>
    <n v="13060"/>
  </r>
  <r>
    <x v="4"/>
    <s v="Nairobi"/>
    <s v="Afrique de l'Est"/>
    <x v="1"/>
    <x v="284"/>
    <x v="4"/>
    <n v="2"/>
    <n v="15000"/>
    <n v="32462"/>
    <n v="3246"/>
  </r>
  <r>
    <x v="1"/>
    <s v="Kampala"/>
    <s v="Afrique de l'Est"/>
    <x v="208"/>
    <x v="233"/>
    <x v="2"/>
    <n v="9"/>
    <n v="45000"/>
    <n v="423191"/>
    <n v="76174"/>
  </r>
  <r>
    <x v="3"/>
    <s v="Nairobi"/>
    <s v="Afrique de l'Est"/>
    <x v="73"/>
    <x v="259"/>
    <x v="0"/>
    <n v="1"/>
    <n v="18500"/>
    <n v="19124"/>
    <n v="2295"/>
  </r>
  <r>
    <x v="1"/>
    <s v="Kampala"/>
    <s v="Afrique de l'Est"/>
    <x v="178"/>
    <x v="76"/>
    <x v="3"/>
    <n v="4"/>
    <n v="55000"/>
    <n v="200379"/>
    <n v="44083"/>
  </r>
  <r>
    <x v="3"/>
    <s v="Dar es Salaam"/>
    <s v="Afrique de l'Est"/>
    <x v="38"/>
    <x v="238"/>
    <x v="1"/>
    <n v="4"/>
    <n v="12500"/>
    <n v="48309"/>
    <n v="3865"/>
  </r>
  <r>
    <x v="2"/>
    <s v="Kampala"/>
    <s v="Afrique de l'Est"/>
    <x v="206"/>
    <x v="191"/>
    <x v="3"/>
    <n v="3"/>
    <n v="55000"/>
    <n v="158811"/>
    <n v="34938"/>
  </r>
  <r>
    <x v="2"/>
    <s v="Accra"/>
    <s v="Afrique de l'Ouest"/>
    <x v="209"/>
    <x v="151"/>
    <x v="2"/>
    <n v="4"/>
    <n v="45000"/>
    <n v="166838"/>
    <n v="30031"/>
  </r>
  <r>
    <x v="3"/>
    <s v="Kampala"/>
    <s v="Afrique de l'Est"/>
    <x v="15"/>
    <x v="215"/>
    <x v="0"/>
    <n v="9"/>
    <n v="18500"/>
    <n v="178256"/>
    <n v="21391"/>
  </r>
  <r>
    <x v="3"/>
    <s v="Kinshasa"/>
    <s v="Afrique Centrale"/>
    <x v="160"/>
    <x v="285"/>
    <x v="3"/>
    <n v="3"/>
    <n v="55000"/>
    <n v="172681"/>
    <n v="37990"/>
  </r>
  <r>
    <x v="1"/>
    <s v="Bamako"/>
    <s v="Afrique de l'Ouest"/>
    <x v="101"/>
    <x v="112"/>
    <x v="0"/>
    <n v="5"/>
    <n v="18500"/>
    <n v="89585"/>
    <n v="10750"/>
  </r>
  <r>
    <x v="0"/>
    <s v="Dar es Salaam"/>
    <s v="Afrique de l'Est"/>
    <x v="8"/>
    <x v="70"/>
    <x v="4"/>
    <n v="9"/>
    <n v="15000"/>
    <n v="131168"/>
    <n v="13117"/>
  </r>
  <r>
    <x v="2"/>
    <s v="Kinshasa"/>
    <s v="Afrique Centrale"/>
    <x v="112"/>
    <x v="70"/>
    <x v="4"/>
    <n v="4"/>
    <n v="15000"/>
    <n v="57911"/>
    <n v="5791"/>
  </r>
  <r>
    <x v="0"/>
    <s v="Dar es Salaam"/>
    <s v="Afrique de l'Est"/>
    <x v="106"/>
    <x v="234"/>
    <x v="3"/>
    <n v="9"/>
    <n v="55000"/>
    <n v="452741"/>
    <n v="99603"/>
  </r>
  <r>
    <x v="3"/>
    <s v="Ouagadougou"/>
    <s v="Afrique de l'Ouest"/>
    <x v="152"/>
    <x v="45"/>
    <x v="1"/>
    <n v="10"/>
    <n v="12500"/>
    <n v="129510"/>
    <n v="10361"/>
  </r>
  <r>
    <x v="2"/>
    <s v="Dakar"/>
    <s v="Afrique de l'Ouest"/>
    <x v="195"/>
    <x v="286"/>
    <x v="3"/>
    <n v="7"/>
    <n v="55000"/>
    <n v="409417"/>
    <n v="90072"/>
  </r>
  <r>
    <x v="0"/>
    <s v="Lagos"/>
    <s v="Afrique de l'Ouest"/>
    <x v="176"/>
    <x v="204"/>
    <x v="2"/>
    <n v="8"/>
    <n v="45000"/>
    <n v="391894"/>
    <n v="70541"/>
  </r>
  <r>
    <x v="3"/>
    <s v="Addis-Abeba"/>
    <s v="Afrique de l'Est"/>
    <x v="210"/>
    <x v="287"/>
    <x v="4"/>
    <n v="1"/>
    <n v="15000"/>
    <n v="13982"/>
    <n v="1398"/>
  </r>
  <r>
    <x v="3"/>
    <s v="Accra"/>
    <s v="Afrique de l'Ouest"/>
    <x v="82"/>
    <x v="200"/>
    <x v="2"/>
    <n v="8"/>
    <n v="45000"/>
    <n v="330340"/>
    <n v="59461"/>
  </r>
  <r>
    <x v="1"/>
    <s v="Dakar"/>
    <s v="Afrique de l'Ouest"/>
    <x v="50"/>
    <x v="229"/>
    <x v="3"/>
    <n v="3"/>
    <n v="55000"/>
    <n v="150299"/>
    <n v="33066"/>
  </r>
  <r>
    <x v="0"/>
    <s v="Lomé"/>
    <s v="Afrique de l'Ouest"/>
    <x v="14"/>
    <x v="280"/>
    <x v="3"/>
    <n v="9"/>
    <n v="55000"/>
    <n v="524898"/>
    <n v="115478"/>
  </r>
  <r>
    <x v="2"/>
    <s v="Douala"/>
    <s v="Afrique Centrale"/>
    <x v="119"/>
    <x v="101"/>
    <x v="2"/>
    <n v="4"/>
    <n v="45000"/>
    <n v="184519"/>
    <n v="33213"/>
  </r>
  <r>
    <x v="3"/>
    <s v="Bamako"/>
    <s v="Afrique de l'Ouest"/>
    <x v="39"/>
    <x v="243"/>
    <x v="0"/>
    <n v="6"/>
    <n v="18500"/>
    <n v="108177"/>
    <n v="12981"/>
  </r>
  <r>
    <x v="1"/>
    <s v="Douala"/>
    <s v="Afrique Centrale"/>
    <x v="73"/>
    <x v="120"/>
    <x v="4"/>
    <n v="6"/>
    <n v="15000"/>
    <n v="98159"/>
    <n v="9816"/>
  </r>
  <r>
    <x v="1"/>
    <s v="Abidjan"/>
    <s v="Afrique de l'Ouest"/>
    <x v="96"/>
    <x v="209"/>
    <x v="2"/>
    <n v="9"/>
    <n v="45000"/>
    <n v="367900"/>
    <n v="66222"/>
  </r>
  <r>
    <x v="2"/>
    <s v="Ouagadougou"/>
    <s v="Afrique de l'Ouest"/>
    <x v="67"/>
    <x v="288"/>
    <x v="4"/>
    <n v="7"/>
    <n v="15000"/>
    <n v="113706"/>
    <n v="11371"/>
  </r>
  <r>
    <x v="2"/>
    <s v="Kampala"/>
    <s v="Afrique de l'Est"/>
    <x v="33"/>
    <x v="3"/>
    <x v="4"/>
    <n v="6"/>
    <n v="15000"/>
    <n v="96911"/>
    <n v="9691"/>
  </r>
  <r>
    <x v="2"/>
    <s v="Yaoundé"/>
    <s v="Afrique Centrale"/>
    <x v="156"/>
    <x v="20"/>
    <x v="2"/>
    <n v="6"/>
    <n v="45000"/>
    <n v="290146"/>
    <n v="52226"/>
  </r>
  <r>
    <x v="0"/>
    <s v="Lomé"/>
    <s v="Afrique de l'Ouest"/>
    <x v="62"/>
    <x v="176"/>
    <x v="2"/>
    <n v="3"/>
    <n v="45000"/>
    <n v="148006"/>
    <n v="26641"/>
  </r>
  <r>
    <x v="0"/>
    <s v="Nairobi"/>
    <s v="Afrique de l'Est"/>
    <x v="23"/>
    <x v="164"/>
    <x v="4"/>
    <n v="4"/>
    <n v="15000"/>
    <n v="61655"/>
    <n v="6166"/>
  </r>
  <r>
    <x v="1"/>
    <s v="Abidjan"/>
    <s v="Afrique de l'Ouest"/>
    <x v="126"/>
    <x v="203"/>
    <x v="4"/>
    <n v="4"/>
    <n v="15000"/>
    <n v="54276"/>
    <n v="5428"/>
  </r>
  <r>
    <x v="3"/>
    <s v="Cotonou"/>
    <s v="Afrique de l'Ouest"/>
    <x v="45"/>
    <x v="97"/>
    <x v="2"/>
    <n v="2"/>
    <n v="45000"/>
    <n v="84473"/>
    <n v="15205"/>
  </r>
  <r>
    <x v="3"/>
    <s v="Dakar"/>
    <s v="Afrique de l'Ouest"/>
    <x v="134"/>
    <x v="247"/>
    <x v="3"/>
    <n v="3"/>
    <n v="55000"/>
    <n v="176237"/>
    <n v="38772"/>
  </r>
  <r>
    <x v="4"/>
    <s v="Kinshasa"/>
    <s v="Afrique Centrale"/>
    <x v="112"/>
    <x v="241"/>
    <x v="3"/>
    <n v="10"/>
    <n v="55000"/>
    <n v="594664"/>
    <n v="130826"/>
  </r>
  <r>
    <x v="2"/>
    <s v="Dar es Salaam"/>
    <s v="Afrique de l'Est"/>
    <x v="211"/>
    <x v="3"/>
    <x v="4"/>
    <n v="2"/>
    <n v="15000"/>
    <n v="28063"/>
    <n v="2806"/>
  </r>
  <r>
    <x v="0"/>
    <s v="Cotonou"/>
    <s v="Afrique de l'Ouest"/>
    <x v="206"/>
    <x v="143"/>
    <x v="4"/>
    <n v="6"/>
    <n v="15000"/>
    <n v="94968"/>
    <n v="9497"/>
  </r>
  <r>
    <x v="2"/>
    <s v="Kinshasa"/>
    <s v="Afrique Centrale"/>
    <x v="160"/>
    <x v="224"/>
    <x v="3"/>
    <n v="2"/>
    <n v="55000"/>
    <n v="116460"/>
    <n v="25621"/>
  </r>
  <r>
    <x v="3"/>
    <s v="Dar es Salaam"/>
    <s v="Afrique de l'Est"/>
    <x v="116"/>
    <x v="270"/>
    <x v="0"/>
    <n v="9"/>
    <n v="18500"/>
    <n v="159781"/>
    <n v="19174"/>
  </r>
  <r>
    <x v="1"/>
    <s v="Accra"/>
    <s v="Afrique de l'Ouest"/>
    <x v="110"/>
    <x v="240"/>
    <x v="4"/>
    <n v="1"/>
    <n v="15000"/>
    <n v="15673"/>
    <n v="1567"/>
  </r>
  <r>
    <x v="4"/>
    <s v="Addis-Abeba"/>
    <s v="Afrique de l'Est"/>
    <x v="165"/>
    <x v="260"/>
    <x v="4"/>
    <n v="6"/>
    <n v="15000"/>
    <n v="81967"/>
    <n v="8197"/>
  </r>
  <r>
    <x v="2"/>
    <s v="Kinshasa"/>
    <s v="Afrique Centrale"/>
    <x v="165"/>
    <x v="289"/>
    <x v="0"/>
    <n v="3"/>
    <n v="18500"/>
    <n v="54357"/>
    <n v="6523"/>
  </r>
  <r>
    <x v="0"/>
    <s v="Kampala"/>
    <s v="Afrique de l'Est"/>
    <x v="209"/>
    <x v="110"/>
    <x v="1"/>
    <n v="4"/>
    <n v="12500"/>
    <n v="51351"/>
    <n v="4108"/>
  </r>
  <r>
    <x v="2"/>
    <s v="Accra"/>
    <s v="Afrique de l'Ouest"/>
    <x v="89"/>
    <x v="222"/>
    <x v="1"/>
    <n v="7"/>
    <n v="12500"/>
    <n v="86782"/>
    <n v="6943"/>
  </r>
  <r>
    <x v="4"/>
    <s v="Yaoundé"/>
    <s v="Afrique Centrale"/>
    <x v="212"/>
    <x v="252"/>
    <x v="3"/>
    <n v="1"/>
    <n v="55000"/>
    <n v="53470"/>
    <n v="11763"/>
  </r>
  <r>
    <x v="1"/>
    <s v="Douala"/>
    <s v="Afrique Centrale"/>
    <x v="37"/>
    <x v="195"/>
    <x v="0"/>
    <n v="9"/>
    <n v="18500"/>
    <n v="182603"/>
    <n v="21912"/>
  </r>
  <r>
    <x v="2"/>
    <s v="Bamako"/>
    <s v="Afrique de l'Ouest"/>
    <x v="208"/>
    <x v="290"/>
    <x v="1"/>
    <n v="3"/>
    <n v="12500"/>
    <n v="38906"/>
    <n v="3112"/>
  </r>
  <r>
    <x v="4"/>
    <s v="Kampala"/>
    <s v="Afrique de l'Est"/>
    <x v="119"/>
    <x v="9"/>
    <x v="2"/>
    <n v="10"/>
    <n v="45000"/>
    <n v="438852"/>
    <n v="78993"/>
  </r>
  <r>
    <x v="1"/>
    <s v="Douala"/>
    <s v="Afrique Centrale"/>
    <x v="145"/>
    <x v="76"/>
    <x v="3"/>
    <n v="2"/>
    <n v="55000"/>
    <n v="112022"/>
    <n v="24645"/>
  </r>
  <r>
    <x v="1"/>
    <s v="Cotonou"/>
    <s v="Afrique de l'Ouest"/>
    <x v="15"/>
    <x v="291"/>
    <x v="3"/>
    <n v="6"/>
    <n v="55000"/>
    <n v="356269"/>
    <n v="78379"/>
  </r>
  <r>
    <x v="2"/>
    <s v="Lagos"/>
    <s v="Afrique de l'Ouest"/>
    <x v="213"/>
    <x v="77"/>
    <x v="0"/>
    <n v="2"/>
    <n v="18500"/>
    <n v="37226"/>
    <n v="4467"/>
  </r>
  <r>
    <x v="1"/>
    <s v="Lomé"/>
    <s v="Afrique de l'Ouest"/>
    <x v="97"/>
    <x v="285"/>
    <x v="2"/>
    <n v="1"/>
    <n v="45000"/>
    <n v="48702"/>
    <n v="8766"/>
  </r>
  <r>
    <x v="1"/>
    <s v="Kampala"/>
    <s v="Afrique de l'Est"/>
    <x v="39"/>
    <x v="16"/>
    <x v="2"/>
    <n v="8"/>
    <n v="45000"/>
    <n v="383940"/>
    <n v="69109"/>
  </r>
  <r>
    <x v="3"/>
    <s v="Dakar"/>
    <s v="Afrique de l'Ouest"/>
    <x v="108"/>
    <x v="175"/>
    <x v="1"/>
    <n v="9"/>
    <n v="12500"/>
    <n v="107744"/>
    <n v="8620"/>
  </r>
  <r>
    <x v="0"/>
    <s v="Bamako"/>
    <s v="Afrique de l'Ouest"/>
    <x v="175"/>
    <x v="180"/>
    <x v="4"/>
    <n v="5"/>
    <n v="15000"/>
    <n v="81166"/>
    <n v="8117"/>
  </r>
  <r>
    <x v="0"/>
    <s v="Kinshasa"/>
    <s v="Afrique Centrale"/>
    <x v="116"/>
    <x v="167"/>
    <x v="4"/>
    <n v="3"/>
    <n v="15000"/>
    <n v="46236"/>
    <n v="4624"/>
  </r>
  <r>
    <x v="0"/>
    <s v="Abidjan"/>
    <s v="Afrique de l'Ouest"/>
    <x v="212"/>
    <x v="279"/>
    <x v="4"/>
    <n v="2"/>
    <n v="15000"/>
    <n v="32205"/>
    <n v="3220"/>
  </r>
  <r>
    <x v="0"/>
    <s v="Kinshasa"/>
    <s v="Afrique Centrale"/>
    <x v="214"/>
    <x v="149"/>
    <x v="1"/>
    <n v="8"/>
    <n v="12500"/>
    <n v="93549"/>
    <n v="7484"/>
  </r>
  <r>
    <x v="4"/>
    <s v="Douala"/>
    <s v="Afrique Centrale"/>
    <x v="137"/>
    <x v="24"/>
    <x v="2"/>
    <n v="3"/>
    <n v="45000"/>
    <n v="139616"/>
    <n v="25131"/>
  </r>
  <r>
    <x v="2"/>
    <s v="Accra"/>
    <s v="Afrique de l'Ouest"/>
    <x v="190"/>
    <x v="146"/>
    <x v="4"/>
    <n v="7"/>
    <n v="15000"/>
    <n v="96544"/>
    <n v="9654"/>
  </r>
  <r>
    <x v="2"/>
    <s v="Lagos"/>
    <s v="Afrique de l'Ouest"/>
    <x v="37"/>
    <x v="237"/>
    <x v="1"/>
    <n v="5"/>
    <n v="12500"/>
    <n v="58778"/>
    <n v="4702"/>
  </r>
  <r>
    <x v="0"/>
    <s v="Ouagadougou"/>
    <s v="Afrique de l'Ouest"/>
    <x v="205"/>
    <x v="292"/>
    <x v="3"/>
    <n v="8"/>
    <n v="55000"/>
    <n v="455739"/>
    <n v="100263"/>
  </r>
  <r>
    <x v="4"/>
    <s v="Cotonou"/>
    <s v="Afrique de l'Ouest"/>
    <x v="104"/>
    <x v="49"/>
    <x v="4"/>
    <n v="6"/>
    <n v="15000"/>
    <n v="97108"/>
    <n v="9711"/>
  </r>
  <r>
    <x v="2"/>
    <s v="Abidjan"/>
    <s v="Afrique de l'Ouest"/>
    <x v="48"/>
    <x v="167"/>
    <x v="4"/>
    <n v="1"/>
    <n v="15000"/>
    <n v="15320"/>
    <n v="1532"/>
  </r>
  <r>
    <x v="4"/>
    <s v="Yaoundé"/>
    <s v="Afrique Centrale"/>
    <x v="51"/>
    <x v="11"/>
    <x v="0"/>
    <n v="7"/>
    <n v="18500"/>
    <n v="136987"/>
    <n v="16438"/>
  </r>
  <r>
    <x v="3"/>
    <s v="Lomé"/>
    <s v="Afrique de l'Ouest"/>
    <x v="215"/>
    <x v="293"/>
    <x v="0"/>
    <n v="7"/>
    <n v="18500"/>
    <n v="136496"/>
    <n v="16380"/>
  </r>
  <r>
    <x v="3"/>
    <s v="Cotonou"/>
    <s v="Afrique de l'Ouest"/>
    <x v="216"/>
    <x v="66"/>
    <x v="4"/>
    <n v="1"/>
    <n v="15000"/>
    <n v="13539"/>
    <n v="1354"/>
  </r>
  <r>
    <x v="1"/>
    <s v="Nairobi"/>
    <s v="Afrique de l'Est"/>
    <x v="6"/>
    <x v="294"/>
    <x v="3"/>
    <n v="3"/>
    <n v="55000"/>
    <n v="162128"/>
    <n v="35668"/>
  </r>
  <r>
    <x v="0"/>
    <s v="Kinshasa"/>
    <s v="Afrique Centrale"/>
    <x v="118"/>
    <x v="5"/>
    <x v="0"/>
    <n v="7"/>
    <n v="18500"/>
    <n v="141640"/>
    <n v="16997"/>
  </r>
  <r>
    <x v="1"/>
    <s v="Kampala"/>
    <s v="Afrique de l'Est"/>
    <x v="217"/>
    <x v="178"/>
    <x v="2"/>
    <n v="3"/>
    <n v="45000"/>
    <n v="123174"/>
    <n v="22171"/>
  </r>
  <r>
    <x v="2"/>
    <s v="Ouagadougou"/>
    <s v="Afrique de l'Ouest"/>
    <x v="98"/>
    <x v="211"/>
    <x v="4"/>
    <n v="3"/>
    <n v="15000"/>
    <n v="41774"/>
    <n v="4177"/>
  </r>
  <r>
    <x v="2"/>
    <s v="Bamako"/>
    <s v="Afrique de l'Ouest"/>
    <x v="110"/>
    <x v="128"/>
    <x v="0"/>
    <n v="9"/>
    <n v="18500"/>
    <n v="182387"/>
    <n v="21886"/>
  </r>
  <r>
    <x v="4"/>
    <s v="Yaoundé"/>
    <s v="Afrique Centrale"/>
    <x v="30"/>
    <x v="135"/>
    <x v="3"/>
    <n v="2"/>
    <n v="55000"/>
    <n v="111626"/>
    <n v="24558"/>
  </r>
  <r>
    <x v="3"/>
    <s v="Kinshasa"/>
    <s v="Afrique Centrale"/>
    <x v="186"/>
    <x v="270"/>
    <x v="2"/>
    <n v="4"/>
    <n v="45000"/>
    <n v="167677"/>
    <n v="30182"/>
  </r>
  <r>
    <x v="1"/>
    <s v="Bamako"/>
    <s v="Afrique de l'Ouest"/>
    <x v="31"/>
    <x v="295"/>
    <x v="3"/>
    <n v="5"/>
    <n v="55000"/>
    <n v="259388"/>
    <n v="57065"/>
  </r>
  <r>
    <x v="1"/>
    <s v="Ouagadougou"/>
    <s v="Afrique de l'Ouest"/>
    <x v="38"/>
    <x v="142"/>
    <x v="1"/>
    <n v="6"/>
    <n v="12500"/>
    <n v="72049"/>
    <n v="5764"/>
  </r>
  <r>
    <x v="1"/>
    <s v="Lagos"/>
    <s v="Afrique de l'Ouest"/>
    <x v="90"/>
    <x v="292"/>
    <x v="3"/>
    <n v="8"/>
    <n v="55000"/>
    <n v="398594"/>
    <n v="87691"/>
  </r>
  <r>
    <x v="2"/>
    <s v="Lagos"/>
    <s v="Afrique de l'Ouest"/>
    <x v="218"/>
    <x v="286"/>
    <x v="4"/>
    <n v="2"/>
    <n v="15000"/>
    <n v="28745"/>
    <n v="2874"/>
  </r>
  <r>
    <x v="3"/>
    <s v="Lomé"/>
    <s v="Afrique de l'Ouest"/>
    <x v="87"/>
    <x v="236"/>
    <x v="4"/>
    <n v="4"/>
    <n v="15000"/>
    <n v="54086"/>
    <n v="5409"/>
  </r>
  <r>
    <x v="0"/>
    <s v="Kinshasa"/>
    <s v="Afrique Centrale"/>
    <x v="40"/>
    <x v="138"/>
    <x v="0"/>
    <n v="10"/>
    <n v="18500"/>
    <n v="175111"/>
    <n v="21013"/>
  </r>
  <r>
    <x v="1"/>
    <s v="Dakar"/>
    <s v="Afrique de l'Ouest"/>
    <x v="32"/>
    <x v="134"/>
    <x v="0"/>
    <n v="7"/>
    <n v="18500"/>
    <n v="119320"/>
    <n v="14318"/>
  </r>
  <r>
    <x v="1"/>
    <s v="Kinshasa"/>
    <s v="Afrique Centrale"/>
    <x v="149"/>
    <x v="105"/>
    <x v="2"/>
    <n v="7"/>
    <n v="45000"/>
    <n v="326153"/>
    <n v="58708"/>
  </r>
  <r>
    <x v="4"/>
    <s v="Bamako"/>
    <s v="Afrique de l'Ouest"/>
    <x v="98"/>
    <x v="70"/>
    <x v="0"/>
    <n v="9"/>
    <n v="18500"/>
    <n v="175174"/>
    <n v="21021"/>
  </r>
  <r>
    <x v="0"/>
    <s v="Dar es Salaam"/>
    <s v="Afrique de l'Est"/>
    <x v="104"/>
    <x v="212"/>
    <x v="2"/>
    <n v="7"/>
    <n v="45000"/>
    <n v="312511"/>
    <n v="56252"/>
  </r>
  <r>
    <x v="3"/>
    <s v="Bamako"/>
    <s v="Afrique de l'Ouest"/>
    <x v="118"/>
    <x v="129"/>
    <x v="0"/>
    <n v="7"/>
    <n v="18500"/>
    <n v="121487"/>
    <n v="14578"/>
  </r>
  <r>
    <x v="4"/>
    <s v="Nairobi"/>
    <s v="Afrique de l'Est"/>
    <x v="182"/>
    <x v="131"/>
    <x v="3"/>
    <n v="2"/>
    <n v="55000"/>
    <n v="103302"/>
    <n v="22726"/>
  </r>
  <r>
    <x v="2"/>
    <s v="Nairobi"/>
    <s v="Afrique de l'Est"/>
    <x v="145"/>
    <x v="14"/>
    <x v="1"/>
    <n v="9"/>
    <n v="12500"/>
    <n v="108916"/>
    <n v="8713"/>
  </r>
  <r>
    <x v="1"/>
    <s v="Dar es Salaam"/>
    <s v="Afrique de l'Est"/>
    <x v="103"/>
    <x v="272"/>
    <x v="0"/>
    <n v="7"/>
    <n v="18500"/>
    <n v="128245"/>
    <n v="15389"/>
  </r>
  <r>
    <x v="4"/>
    <s v="Abidjan"/>
    <s v="Afrique de l'Ouest"/>
    <x v="55"/>
    <x v="188"/>
    <x v="1"/>
    <n v="8"/>
    <n v="12500"/>
    <n v="104904"/>
    <n v="8392"/>
  </r>
  <r>
    <x v="0"/>
    <s v="Lomé"/>
    <s v="Afrique de l'Ouest"/>
    <x v="152"/>
    <x v="296"/>
    <x v="0"/>
    <n v="10"/>
    <n v="18500"/>
    <n v="199217"/>
    <n v="23906"/>
  </r>
  <r>
    <x v="0"/>
    <s v="Lomé"/>
    <s v="Afrique de l'Ouest"/>
    <x v="114"/>
    <x v="33"/>
    <x v="4"/>
    <n v="3"/>
    <n v="15000"/>
    <n v="47410"/>
    <n v="4741"/>
  </r>
  <r>
    <x v="0"/>
    <s v="Lagos"/>
    <s v="Afrique de l'Ouest"/>
    <x v="173"/>
    <x v="130"/>
    <x v="1"/>
    <n v="3"/>
    <n v="12500"/>
    <n v="36697"/>
    <n v="2936"/>
  </r>
  <r>
    <x v="1"/>
    <s v="Accra"/>
    <s v="Afrique de l'Ouest"/>
    <x v="55"/>
    <x v="297"/>
    <x v="3"/>
    <n v="5"/>
    <n v="55000"/>
    <n v="285927"/>
    <n v="62904"/>
  </r>
  <r>
    <x v="4"/>
    <s v="Cotonou"/>
    <s v="Afrique de l'Ouest"/>
    <x v="146"/>
    <x v="298"/>
    <x v="3"/>
    <n v="1"/>
    <n v="55000"/>
    <n v="57264"/>
    <n v="12598"/>
  </r>
  <r>
    <x v="0"/>
    <s v="Cotonou"/>
    <s v="Afrique de l'Ouest"/>
    <x v="68"/>
    <x v="112"/>
    <x v="1"/>
    <n v="7"/>
    <n v="12500"/>
    <n v="91962"/>
    <n v="7357"/>
  </r>
  <r>
    <x v="3"/>
    <s v="Addis-Abeba"/>
    <s v="Afrique de l'Est"/>
    <x v="194"/>
    <x v="213"/>
    <x v="1"/>
    <n v="6"/>
    <n v="12500"/>
    <n v="73647"/>
    <n v="5892"/>
  </r>
  <r>
    <x v="2"/>
    <s v="Kinshasa"/>
    <s v="Afrique Centrale"/>
    <x v="141"/>
    <x v="242"/>
    <x v="1"/>
    <n v="8"/>
    <n v="12500"/>
    <n v="94004"/>
    <n v="7520"/>
  </r>
  <r>
    <x v="2"/>
    <s v="Dar es Salaam"/>
    <s v="Afrique de l'Est"/>
    <x v="152"/>
    <x v="289"/>
    <x v="1"/>
    <n v="7"/>
    <n v="12500"/>
    <n v="82491"/>
    <n v="6599"/>
  </r>
  <r>
    <x v="0"/>
    <s v="Lomé"/>
    <s v="Afrique de l'Ouest"/>
    <x v="182"/>
    <x v="134"/>
    <x v="2"/>
    <n v="5"/>
    <n v="45000"/>
    <n v="209219"/>
    <n v="37659"/>
  </r>
  <r>
    <x v="3"/>
    <s v="Kampala"/>
    <s v="Afrique de l'Est"/>
    <x v="98"/>
    <x v="299"/>
    <x v="4"/>
    <n v="1"/>
    <n v="15000"/>
    <n v="13516"/>
    <n v="1352"/>
  </r>
  <r>
    <x v="3"/>
    <s v="Lomé"/>
    <s v="Afrique de l'Ouest"/>
    <x v="201"/>
    <x v="300"/>
    <x v="3"/>
    <n v="5"/>
    <n v="55000"/>
    <n v="283025"/>
    <n v="62266"/>
  </r>
  <r>
    <x v="1"/>
    <s v="Ouagadougou"/>
    <s v="Afrique de l'Ouest"/>
    <x v="140"/>
    <x v="210"/>
    <x v="3"/>
    <n v="2"/>
    <n v="55000"/>
    <n v="106766"/>
    <n v="23489"/>
  </r>
  <r>
    <x v="0"/>
    <s v="Accra"/>
    <s v="Afrique de l'Ouest"/>
    <x v="58"/>
    <x v="301"/>
    <x v="2"/>
    <n v="10"/>
    <n v="45000"/>
    <n v="485340"/>
    <n v="87361"/>
  </r>
  <r>
    <x v="2"/>
    <s v="Lomé"/>
    <s v="Afrique de l'Ouest"/>
    <x v="86"/>
    <x v="291"/>
    <x v="4"/>
    <n v="2"/>
    <n v="15000"/>
    <n v="32842"/>
    <n v="3284"/>
  </r>
  <r>
    <x v="4"/>
    <s v="Cotonou"/>
    <s v="Afrique de l'Ouest"/>
    <x v="30"/>
    <x v="38"/>
    <x v="4"/>
    <n v="7"/>
    <n v="15000"/>
    <n v="106834"/>
    <n v="10683"/>
  </r>
  <r>
    <x v="0"/>
    <s v="Ouagadougou"/>
    <s v="Afrique de l'Ouest"/>
    <x v="1"/>
    <x v="198"/>
    <x v="3"/>
    <n v="6"/>
    <n v="55000"/>
    <n v="320981"/>
    <n v="70616"/>
  </r>
  <r>
    <x v="2"/>
    <s v="Yaoundé"/>
    <s v="Afrique Centrale"/>
    <x v="170"/>
    <x v="109"/>
    <x v="2"/>
    <n v="8"/>
    <n v="45000"/>
    <n v="389629"/>
    <n v="70133"/>
  </r>
  <r>
    <x v="1"/>
    <s v="Kinshasa"/>
    <s v="Afrique Centrale"/>
    <x v="152"/>
    <x v="295"/>
    <x v="2"/>
    <n v="2"/>
    <n v="45000"/>
    <n v="86650"/>
    <n v="15597"/>
  </r>
  <r>
    <x v="3"/>
    <s v="Addis-Abeba"/>
    <s v="Afrique de l'Est"/>
    <x v="87"/>
    <x v="114"/>
    <x v="3"/>
    <n v="8"/>
    <n v="55000"/>
    <n v="460851"/>
    <n v="101387"/>
  </r>
  <r>
    <x v="0"/>
    <s v="Kinshasa"/>
    <s v="Afrique Centrale"/>
    <x v="43"/>
    <x v="33"/>
    <x v="4"/>
    <n v="8"/>
    <n v="15000"/>
    <n v="130718"/>
    <n v="13072"/>
  </r>
  <r>
    <x v="4"/>
    <s v="Dakar"/>
    <s v="Afrique de l'Ouest"/>
    <x v="77"/>
    <x v="242"/>
    <x v="2"/>
    <n v="1"/>
    <n v="45000"/>
    <n v="42115"/>
    <n v="7581"/>
  </r>
  <r>
    <x v="0"/>
    <s v="Dar es Salaam"/>
    <s v="Afrique de l'Est"/>
    <x v="15"/>
    <x v="242"/>
    <x v="4"/>
    <n v="3"/>
    <n v="15000"/>
    <n v="48751"/>
    <n v="4875"/>
  </r>
  <r>
    <x v="3"/>
    <s v="Kinshasa"/>
    <s v="Afrique Centrale"/>
    <x v="94"/>
    <x v="14"/>
    <x v="1"/>
    <n v="7"/>
    <n v="12500"/>
    <n v="95184"/>
    <n v="7615"/>
  </r>
  <r>
    <x v="1"/>
    <s v="Lagos"/>
    <s v="Afrique de l'Ouest"/>
    <x v="12"/>
    <x v="13"/>
    <x v="1"/>
    <n v="3"/>
    <n v="12500"/>
    <n v="40435"/>
    <n v="3235"/>
  </r>
  <r>
    <x v="0"/>
    <s v="Lomé"/>
    <s v="Afrique de l'Ouest"/>
    <x v="203"/>
    <x v="302"/>
    <x v="1"/>
    <n v="4"/>
    <n v="12500"/>
    <n v="45282"/>
    <n v="3623"/>
  </r>
  <r>
    <x v="0"/>
    <s v="Dar es Salaam"/>
    <s v="Afrique de l'Est"/>
    <x v="123"/>
    <x v="59"/>
    <x v="1"/>
    <n v="5"/>
    <n v="12500"/>
    <n v="62115"/>
    <n v="4969"/>
  </r>
  <r>
    <x v="0"/>
    <s v="Bamako"/>
    <s v="Afrique de l'Ouest"/>
    <x v="131"/>
    <x v="90"/>
    <x v="3"/>
    <n v="4"/>
    <n v="55000"/>
    <n v="204808"/>
    <n v="45058"/>
  </r>
  <r>
    <x v="2"/>
    <s v="Abidjan"/>
    <s v="Afrique de l'Ouest"/>
    <x v="190"/>
    <x v="185"/>
    <x v="1"/>
    <n v="8"/>
    <n v="12500"/>
    <n v="99695"/>
    <n v="7976"/>
  </r>
  <r>
    <x v="0"/>
    <s v="Ouagadougou"/>
    <s v="Afrique de l'Ouest"/>
    <x v="190"/>
    <x v="303"/>
    <x v="2"/>
    <n v="5"/>
    <n v="45000"/>
    <n v="237270"/>
    <n v="42709"/>
  </r>
  <r>
    <x v="0"/>
    <s v="Lagos"/>
    <s v="Afrique de l'Ouest"/>
    <x v="125"/>
    <x v="304"/>
    <x v="3"/>
    <n v="2"/>
    <n v="55000"/>
    <n v="104772"/>
    <n v="23050"/>
  </r>
  <r>
    <x v="1"/>
    <s v="Ouagadougou"/>
    <s v="Afrique de l'Ouest"/>
    <x v="110"/>
    <x v="305"/>
    <x v="1"/>
    <n v="5"/>
    <n v="12500"/>
    <n v="60034"/>
    <n v="4803"/>
  </r>
  <r>
    <x v="0"/>
    <s v="Cotonou"/>
    <s v="Afrique de l'Ouest"/>
    <x v="145"/>
    <x v="30"/>
    <x v="1"/>
    <n v="7"/>
    <n v="12500"/>
    <n v="90121"/>
    <n v="7210"/>
  </r>
  <r>
    <x v="4"/>
    <s v="Cotonou"/>
    <s v="Afrique de l'Ouest"/>
    <x v="9"/>
    <x v="209"/>
    <x v="1"/>
    <n v="8"/>
    <n v="12500"/>
    <n v="98950"/>
    <n v="7916"/>
  </r>
  <r>
    <x v="4"/>
    <s v="Nairobi"/>
    <s v="Afrique de l'Est"/>
    <x v="89"/>
    <x v="76"/>
    <x v="1"/>
    <n v="9"/>
    <n v="12500"/>
    <n v="117205"/>
    <n v="9376"/>
  </r>
  <r>
    <x v="2"/>
    <s v="Kinshasa"/>
    <s v="Afrique Centrale"/>
    <x v="217"/>
    <x v="87"/>
    <x v="2"/>
    <n v="4"/>
    <n v="45000"/>
    <n v="182819"/>
    <n v="32907"/>
  </r>
  <r>
    <x v="4"/>
    <s v="Cotonou"/>
    <s v="Afrique de l'Ouest"/>
    <x v="93"/>
    <x v="240"/>
    <x v="3"/>
    <n v="3"/>
    <n v="55000"/>
    <n v="166185"/>
    <n v="36561"/>
  </r>
  <r>
    <x v="4"/>
    <s v="Nairobi"/>
    <s v="Afrique de l'Est"/>
    <x v="126"/>
    <x v="306"/>
    <x v="3"/>
    <n v="5"/>
    <n v="55000"/>
    <n v="284176"/>
    <n v="62519"/>
  </r>
  <r>
    <x v="4"/>
    <s v="Dakar"/>
    <s v="Afrique de l'Ouest"/>
    <x v="187"/>
    <x v="26"/>
    <x v="3"/>
    <n v="2"/>
    <n v="55000"/>
    <n v="108897"/>
    <n v="23957"/>
  </r>
  <r>
    <x v="0"/>
    <s v="Abidjan"/>
    <s v="Afrique de l'Ouest"/>
    <x v="25"/>
    <x v="293"/>
    <x v="3"/>
    <n v="4"/>
    <n v="55000"/>
    <n v="238044"/>
    <n v="52370"/>
  </r>
  <r>
    <x v="2"/>
    <s v="Cotonou"/>
    <s v="Afrique de l'Ouest"/>
    <x v="150"/>
    <x v="291"/>
    <x v="1"/>
    <n v="3"/>
    <n v="12500"/>
    <n v="38901"/>
    <n v="3112"/>
  </r>
  <r>
    <x v="0"/>
    <s v="Abidjan"/>
    <s v="Afrique de l'Ouest"/>
    <x v="131"/>
    <x v="307"/>
    <x v="3"/>
    <n v="3"/>
    <n v="55000"/>
    <n v="162824"/>
    <n v="35821"/>
  </r>
  <r>
    <x v="3"/>
    <s v="Kampala"/>
    <s v="Afrique de l'Est"/>
    <x v="173"/>
    <x v="247"/>
    <x v="4"/>
    <n v="6"/>
    <n v="15000"/>
    <n v="96207"/>
    <n v="9621"/>
  </r>
  <r>
    <x v="0"/>
    <s v="Lomé"/>
    <s v="Afrique de l'Ouest"/>
    <x v="45"/>
    <x v="162"/>
    <x v="0"/>
    <n v="8"/>
    <n v="18500"/>
    <n v="135221"/>
    <n v="16227"/>
  </r>
  <r>
    <x v="4"/>
    <s v="Ouagadougou"/>
    <s v="Afrique de l'Ouest"/>
    <x v="36"/>
    <x v="35"/>
    <x v="1"/>
    <n v="5"/>
    <n v="12500"/>
    <n v="64818"/>
    <n v="5185"/>
  </r>
  <r>
    <x v="4"/>
    <s v="Dakar"/>
    <s v="Afrique de l'Ouest"/>
    <x v="0"/>
    <x v="246"/>
    <x v="2"/>
    <n v="7"/>
    <n v="45000"/>
    <n v="296904"/>
    <n v="53443"/>
  </r>
  <r>
    <x v="4"/>
    <s v="Yaoundé"/>
    <s v="Afrique Centrale"/>
    <x v="218"/>
    <x v="240"/>
    <x v="3"/>
    <n v="6"/>
    <n v="55000"/>
    <n v="331089"/>
    <n v="72840"/>
  </r>
  <r>
    <x v="1"/>
    <s v="Lagos"/>
    <s v="Afrique de l'Ouest"/>
    <x v="62"/>
    <x v="273"/>
    <x v="1"/>
    <n v="9"/>
    <n v="12500"/>
    <n v="122376"/>
    <n v="9790"/>
  </r>
  <r>
    <x v="3"/>
    <s v="Douala"/>
    <s v="Afrique Centrale"/>
    <x v="114"/>
    <x v="239"/>
    <x v="1"/>
    <n v="9"/>
    <n v="12500"/>
    <n v="103157"/>
    <n v="8253"/>
  </r>
  <r>
    <x v="3"/>
    <s v="Dakar"/>
    <s v="Afrique de l'Ouest"/>
    <x v="82"/>
    <x v="20"/>
    <x v="1"/>
    <n v="1"/>
    <n v="12500"/>
    <n v="12143"/>
    <n v="971"/>
  </r>
  <r>
    <x v="0"/>
    <s v="Douala"/>
    <s v="Afrique Centrale"/>
    <x v="166"/>
    <x v="126"/>
    <x v="0"/>
    <n v="9"/>
    <n v="18500"/>
    <n v="181602"/>
    <n v="21792"/>
  </r>
  <r>
    <x v="1"/>
    <s v="Dakar"/>
    <s v="Afrique de l'Ouest"/>
    <x v="154"/>
    <x v="136"/>
    <x v="4"/>
    <n v="10"/>
    <n v="15000"/>
    <n v="153272"/>
    <n v="15327"/>
  </r>
  <r>
    <x v="2"/>
    <s v="Dakar"/>
    <s v="Afrique de l'Ouest"/>
    <x v="116"/>
    <x v="227"/>
    <x v="1"/>
    <n v="6"/>
    <n v="12500"/>
    <n v="74046"/>
    <n v="5924"/>
  </r>
  <r>
    <x v="2"/>
    <s v="Abidjan"/>
    <s v="Afrique de l'Ouest"/>
    <x v="170"/>
    <x v="277"/>
    <x v="0"/>
    <n v="3"/>
    <n v="18500"/>
    <n v="55288"/>
    <n v="6635"/>
  </r>
  <r>
    <x v="4"/>
    <s v="Abidjan"/>
    <s v="Afrique de l'Ouest"/>
    <x v="1"/>
    <x v="162"/>
    <x v="1"/>
    <n v="1"/>
    <n v="12500"/>
    <n v="11668"/>
    <n v="933"/>
  </r>
  <r>
    <x v="2"/>
    <s v="Yaoundé"/>
    <s v="Afrique Centrale"/>
    <x v="145"/>
    <x v="308"/>
    <x v="1"/>
    <n v="3"/>
    <n v="12500"/>
    <n v="33940"/>
    <n v="2715"/>
  </r>
  <r>
    <x v="0"/>
    <s v="Addis-Abeba"/>
    <s v="Afrique de l'Est"/>
    <x v="75"/>
    <x v="47"/>
    <x v="4"/>
    <n v="1"/>
    <n v="15000"/>
    <n v="15067"/>
    <n v="1507"/>
  </r>
  <r>
    <x v="4"/>
    <s v="Nairobi"/>
    <s v="Afrique de l'Est"/>
    <x v="206"/>
    <x v="240"/>
    <x v="4"/>
    <n v="4"/>
    <n v="15000"/>
    <n v="55032"/>
    <n v="5503"/>
  </r>
  <r>
    <x v="1"/>
    <s v="Dakar"/>
    <s v="Afrique de l'Ouest"/>
    <x v="153"/>
    <x v="187"/>
    <x v="0"/>
    <n v="9"/>
    <n v="18500"/>
    <n v="166074"/>
    <n v="19929"/>
  </r>
  <r>
    <x v="3"/>
    <s v="Ouagadougou"/>
    <s v="Afrique de l'Ouest"/>
    <x v="154"/>
    <x v="175"/>
    <x v="3"/>
    <n v="8"/>
    <n v="55000"/>
    <n v="432575"/>
    <n v="95166"/>
  </r>
  <r>
    <x v="0"/>
    <s v="Kampala"/>
    <s v="Afrique de l'Est"/>
    <x v="164"/>
    <x v="187"/>
    <x v="0"/>
    <n v="2"/>
    <n v="18500"/>
    <n v="36347"/>
    <n v="4362"/>
  </r>
  <r>
    <x v="4"/>
    <s v="Abidjan"/>
    <s v="Afrique de l'Ouest"/>
    <x v="132"/>
    <x v="103"/>
    <x v="0"/>
    <n v="10"/>
    <n v="18500"/>
    <n v="174490"/>
    <n v="20939"/>
  </r>
  <r>
    <x v="0"/>
    <s v="Dakar"/>
    <s v="Afrique de l'Ouest"/>
    <x v="162"/>
    <x v="60"/>
    <x v="1"/>
    <n v="2"/>
    <n v="12500"/>
    <n v="27195"/>
    <n v="2176"/>
  </r>
  <r>
    <x v="1"/>
    <s v="Cotonou"/>
    <s v="Afrique de l'Ouest"/>
    <x v="102"/>
    <x v="134"/>
    <x v="3"/>
    <n v="2"/>
    <n v="55000"/>
    <n v="101781"/>
    <n v="22392"/>
  </r>
  <r>
    <x v="2"/>
    <s v="Yaoundé"/>
    <s v="Afrique Centrale"/>
    <x v="166"/>
    <x v="71"/>
    <x v="2"/>
    <n v="7"/>
    <n v="45000"/>
    <n v="325126"/>
    <n v="58523"/>
  </r>
  <r>
    <x v="3"/>
    <s v="Yaoundé"/>
    <s v="Afrique Centrale"/>
    <x v="77"/>
    <x v="303"/>
    <x v="1"/>
    <n v="10"/>
    <n v="12500"/>
    <n v="125047"/>
    <n v="10004"/>
  </r>
  <r>
    <x v="0"/>
    <s v="Bamako"/>
    <s v="Afrique de l'Ouest"/>
    <x v="189"/>
    <x v="137"/>
    <x v="0"/>
    <n v="3"/>
    <n v="18500"/>
    <n v="53732"/>
    <n v="6448"/>
  </r>
  <r>
    <x v="3"/>
    <s v="Kampala"/>
    <s v="Afrique de l'Est"/>
    <x v="62"/>
    <x v="50"/>
    <x v="1"/>
    <n v="8"/>
    <n v="12500"/>
    <n v="102634"/>
    <n v="8211"/>
  </r>
  <r>
    <x v="0"/>
    <s v="Yaoundé"/>
    <s v="Afrique Centrale"/>
    <x v="124"/>
    <x v="56"/>
    <x v="1"/>
    <n v="9"/>
    <n v="12500"/>
    <n v="114852"/>
    <n v="9188"/>
  </r>
  <r>
    <x v="3"/>
    <s v="Cotonou"/>
    <s v="Afrique de l'Ouest"/>
    <x v="219"/>
    <x v="309"/>
    <x v="0"/>
    <n v="8"/>
    <n v="18500"/>
    <n v="150729"/>
    <n v="18087"/>
  </r>
  <r>
    <x v="3"/>
    <s v="Abidjan"/>
    <s v="Afrique de l'Ouest"/>
    <x v="69"/>
    <x v="290"/>
    <x v="1"/>
    <n v="4"/>
    <n v="12500"/>
    <n v="50803"/>
    <n v="4064"/>
  </r>
  <r>
    <x v="2"/>
    <s v="Nairobi"/>
    <s v="Afrique de l'Est"/>
    <x v="155"/>
    <x v="105"/>
    <x v="1"/>
    <n v="4"/>
    <n v="12500"/>
    <n v="47343"/>
    <n v="3787"/>
  </r>
  <r>
    <x v="0"/>
    <s v="Kinshasa"/>
    <s v="Afrique Centrale"/>
    <x v="57"/>
    <x v="294"/>
    <x v="1"/>
    <n v="4"/>
    <n v="12500"/>
    <n v="51655"/>
    <n v="4132"/>
  </r>
  <r>
    <x v="0"/>
    <s v="Abidjan"/>
    <s v="Afrique de l'Ouest"/>
    <x v="135"/>
    <x v="64"/>
    <x v="4"/>
    <n v="1"/>
    <n v="15000"/>
    <n v="16133"/>
    <n v="1613"/>
  </r>
  <r>
    <x v="0"/>
    <s v="Accra"/>
    <s v="Afrique de l'Ouest"/>
    <x v="163"/>
    <x v="4"/>
    <x v="3"/>
    <n v="7"/>
    <n v="55000"/>
    <n v="350238"/>
    <n v="77052"/>
  </r>
  <r>
    <x v="4"/>
    <s v="Abidjan"/>
    <s v="Afrique de l'Ouest"/>
    <x v="196"/>
    <x v="58"/>
    <x v="0"/>
    <n v="3"/>
    <n v="18500"/>
    <n v="51779"/>
    <n v="6213"/>
  </r>
  <r>
    <x v="4"/>
    <s v="Dakar"/>
    <s v="Afrique de l'Ouest"/>
    <x v="66"/>
    <x v="74"/>
    <x v="4"/>
    <n v="10"/>
    <n v="15000"/>
    <n v="136186"/>
    <n v="13619"/>
  </r>
  <r>
    <x v="2"/>
    <s v="Bamako"/>
    <s v="Afrique de l'Ouest"/>
    <x v="193"/>
    <x v="112"/>
    <x v="1"/>
    <n v="3"/>
    <n v="12500"/>
    <n v="39328"/>
    <n v="3146"/>
  </r>
  <r>
    <x v="0"/>
    <s v="Cotonou"/>
    <s v="Afrique de l'Ouest"/>
    <x v="86"/>
    <x v="162"/>
    <x v="0"/>
    <n v="5"/>
    <n v="18500"/>
    <n v="91947"/>
    <n v="11034"/>
  </r>
  <r>
    <x v="4"/>
    <s v="Yaoundé"/>
    <s v="Afrique Centrale"/>
    <x v="58"/>
    <x v="87"/>
    <x v="4"/>
    <n v="10"/>
    <n v="15000"/>
    <n v="140266"/>
    <n v="14027"/>
  </r>
  <r>
    <x v="0"/>
    <s v="Dakar"/>
    <s v="Afrique de l'Ouest"/>
    <x v="136"/>
    <x v="11"/>
    <x v="2"/>
    <n v="4"/>
    <n v="45000"/>
    <n v="188659"/>
    <n v="33959"/>
  </r>
  <r>
    <x v="2"/>
    <s v="Kampala"/>
    <s v="Afrique de l'Est"/>
    <x v="28"/>
    <x v="79"/>
    <x v="2"/>
    <n v="4"/>
    <n v="45000"/>
    <n v="194490"/>
    <n v="35008"/>
  </r>
  <r>
    <x v="0"/>
    <s v="Nairobi"/>
    <s v="Afrique de l'Est"/>
    <x v="157"/>
    <x v="247"/>
    <x v="0"/>
    <n v="5"/>
    <n v="18500"/>
    <n v="100097"/>
    <n v="12012"/>
  </r>
  <r>
    <x v="3"/>
    <s v="Lagos"/>
    <s v="Afrique de l'Ouest"/>
    <x v="53"/>
    <x v="238"/>
    <x v="2"/>
    <n v="3"/>
    <n v="45000"/>
    <n v="145865"/>
    <n v="26256"/>
  </r>
  <r>
    <x v="1"/>
    <s v="Accra"/>
    <s v="Afrique de l'Ouest"/>
    <x v="169"/>
    <x v="70"/>
    <x v="1"/>
    <n v="4"/>
    <n v="12500"/>
    <n v="52400"/>
    <n v="4192"/>
  </r>
  <r>
    <x v="0"/>
    <s v="Accra"/>
    <s v="Afrique de l'Ouest"/>
    <x v="59"/>
    <x v="162"/>
    <x v="3"/>
    <n v="5"/>
    <n v="55000"/>
    <n v="247945"/>
    <n v="54548"/>
  </r>
  <r>
    <x v="0"/>
    <s v="Dar es Salaam"/>
    <s v="Afrique de l'Est"/>
    <x v="203"/>
    <x v="287"/>
    <x v="4"/>
    <n v="7"/>
    <n v="15000"/>
    <n v="105566"/>
    <n v="10557"/>
  </r>
  <r>
    <x v="1"/>
    <s v="Bamako"/>
    <s v="Afrique de l'Ouest"/>
    <x v="141"/>
    <x v="65"/>
    <x v="4"/>
    <n v="1"/>
    <n v="15000"/>
    <n v="15579"/>
    <n v="1558"/>
  </r>
  <r>
    <x v="0"/>
    <s v="Lagos"/>
    <s v="Afrique de l'Ouest"/>
    <x v="59"/>
    <x v="5"/>
    <x v="0"/>
    <n v="8"/>
    <n v="18500"/>
    <n v="134517"/>
    <n v="16142"/>
  </r>
  <r>
    <x v="0"/>
    <s v="Douala"/>
    <s v="Afrique Centrale"/>
    <x v="92"/>
    <x v="310"/>
    <x v="1"/>
    <n v="2"/>
    <n v="12500"/>
    <n v="25057"/>
    <n v="2005"/>
  </r>
  <r>
    <x v="3"/>
    <s v="Accra"/>
    <s v="Afrique de l'Ouest"/>
    <x v="155"/>
    <x v="74"/>
    <x v="1"/>
    <n v="2"/>
    <n v="12500"/>
    <n v="27342"/>
    <n v="2187"/>
  </r>
  <r>
    <x v="3"/>
    <s v="Yaoundé"/>
    <s v="Afrique Centrale"/>
    <x v="4"/>
    <x v="143"/>
    <x v="4"/>
    <n v="5"/>
    <n v="15000"/>
    <n v="79438"/>
    <n v="7944"/>
  </r>
  <r>
    <x v="2"/>
    <s v="Douala"/>
    <s v="Afrique Centrale"/>
    <x v="207"/>
    <x v="304"/>
    <x v="2"/>
    <n v="8"/>
    <n v="45000"/>
    <n v="354781"/>
    <n v="63861"/>
  </r>
  <r>
    <x v="3"/>
    <s v="Abidjan"/>
    <s v="Afrique de l'Ouest"/>
    <x v="3"/>
    <x v="51"/>
    <x v="2"/>
    <n v="10"/>
    <n v="45000"/>
    <n v="413976"/>
    <n v="74516"/>
  </r>
  <r>
    <x v="2"/>
    <s v="Nairobi"/>
    <s v="Afrique de l'Est"/>
    <x v="58"/>
    <x v="129"/>
    <x v="4"/>
    <n v="5"/>
    <n v="15000"/>
    <n v="67628"/>
    <n v="6763"/>
  </r>
  <r>
    <x v="1"/>
    <s v="Bamako"/>
    <s v="Afrique de l'Ouest"/>
    <x v="220"/>
    <x v="129"/>
    <x v="1"/>
    <n v="6"/>
    <n v="12500"/>
    <n v="80844"/>
    <n v="6468"/>
  </r>
  <r>
    <x v="4"/>
    <s v="Abidjan"/>
    <s v="Afrique de l'Ouest"/>
    <x v="219"/>
    <x v="159"/>
    <x v="2"/>
    <n v="3"/>
    <n v="45000"/>
    <n v="134903"/>
    <n v="24283"/>
  </r>
  <r>
    <x v="0"/>
    <s v="Ouagadougou"/>
    <s v="Afrique de l'Ouest"/>
    <x v="100"/>
    <x v="178"/>
    <x v="4"/>
    <n v="8"/>
    <n v="15000"/>
    <n v="121457"/>
    <n v="12146"/>
  </r>
  <r>
    <x v="0"/>
    <s v="Yaoundé"/>
    <s v="Afrique Centrale"/>
    <x v="79"/>
    <x v="146"/>
    <x v="3"/>
    <n v="2"/>
    <n v="55000"/>
    <n v="110980"/>
    <n v="24416"/>
  </r>
  <r>
    <x v="4"/>
    <s v="Yaoundé"/>
    <s v="Afrique Centrale"/>
    <x v="197"/>
    <x v="163"/>
    <x v="3"/>
    <n v="2"/>
    <n v="55000"/>
    <n v="114425"/>
    <n v="25174"/>
  </r>
  <r>
    <x v="2"/>
    <s v="Bamako"/>
    <s v="Afrique de l'Ouest"/>
    <x v="8"/>
    <x v="11"/>
    <x v="1"/>
    <n v="1"/>
    <n v="12500"/>
    <n v="13409"/>
    <n v="1073"/>
  </r>
  <r>
    <x v="0"/>
    <s v="Bamako"/>
    <s v="Afrique de l'Ouest"/>
    <x v="185"/>
    <x v="187"/>
    <x v="0"/>
    <n v="8"/>
    <n v="18500"/>
    <n v="133659"/>
    <n v="16039"/>
  </r>
  <r>
    <x v="3"/>
    <s v="Accra"/>
    <s v="Afrique de l'Ouest"/>
    <x v="84"/>
    <x v="60"/>
    <x v="0"/>
    <n v="7"/>
    <n v="18500"/>
    <n v="121120"/>
    <n v="14534"/>
  </r>
  <r>
    <x v="0"/>
    <s v="Addis-Abeba"/>
    <s v="Afrique de l'Est"/>
    <x v="90"/>
    <x v="239"/>
    <x v="2"/>
    <n v="10"/>
    <n v="45000"/>
    <n v="460486"/>
    <n v="82887"/>
  </r>
  <r>
    <x v="4"/>
    <s v="Yaoundé"/>
    <s v="Afrique Centrale"/>
    <x v="51"/>
    <x v="59"/>
    <x v="0"/>
    <n v="1"/>
    <n v="18500"/>
    <n v="16821"/>
    <n v="2019"/>
  </r>
  <r>
    <x v="0"/>
    <s v="Douala"/>
    <s v="Afrique Centrale"/>
    <x v="71"/>
    <x v="65"/>
    <x v="4"/>
    <n v="7"/>
    <n v="15000"/>
    <n v="99129"/>
    <n v="9913"/>
  </r>
  <r>
    <x v="4"/>
    <s v="Dakar"/>
    <s v="Afrique de l'Ouest"/>
    <x v="59"/>
    <x v="196"/>
    <x v="2"/>
    <n v="6"/>
    <n v="45000"/>
    <n v="272184"/>
    <n v="48993"/>
  </r>
  <r>
    <x v="3"/>
    <s v="Yaoundé"/>
    <s v="Afrique Centrale"/>
    <x v="89"/>
    <x v="173"/>
    <x v="1"/>
    <n v="4"/>
    <n v="12500"/>
    <n v="46971"/>
    <n v="3758"/>
  </r>
  <r>
    <x v="3"/>
    <s v="Abidjan"/>
    <s v="Afrique de l'Ouest"/>
    <x v="27"/>
    <x v="128"/>
    <x v="3"/>
    <n v="9"/>
    <n v="55000"/>
    <n v="485801"/>
    <n v="106876"/>
  </r>
  <r>
    <x v="2"/>
    <s v="Yaoundé"/>
    <s v="Afrique Centrale"/>
    <x v="122"/>
    <x v="91"/>
    <x v="2"/>
    <n v="3"/>
    <n v="45000"/>
    <n v="145706"/>
    <n v="26227"/>
  </r>
  <r>
    <x v="3"/>
    <s v="Kinshasa"/>
    <s v="Afrique Centrale"/>
    <x v="11"/>
    <x v="140"/>
    <x v="1"/>
    <n v="7"/>
    <n v="12500"/>
    <n v="80146"/>
    <n v="6412"/>
  </r>
  <r>
    <x v="0"/>
    <s v="Kinshasa"/>
    <s v="Afrique Centrale"/>
    <x v="74"/>
    <x v="247"/>
    <x v="1"/>
    <n v="3"/>
    <n v="12500"/>
    <n v="36547"/>
    <n v="2924"/>
  </r>
  <r>
    <x v="2"/>
    <s v="Douala"/>
    <s v="Afrique Centrale"/>
    <x v="185"/>
    <x v="153"/>
    <x v="3"/>
    <n v="4"/>
    <n v="55000"/>
    <n v="201344"/>
    <n v="44296"/>
  </r>
  <r>
    <x v="4"/>
    <s v="Bamako"/>
    <s v="Afrique de l'Ouest"/>
    <x v="172"/>
    <x v="4"/>
    <x v="2"/>
    <n v="6"/>
    <n v="45000"/>
    <n v="251246"/>
    <n v="45224"/>
  </r>
  <r>
    <x v="1"/>
    <s v="Abidjan"/>
    <s v="Afrique de l'Ouest"/>
    <x v="220"/>
    <x v="311"/>
    <x v="0"/>
    <n v="2"/>
    <n v="18500"/>
    <n v="37348"/>
    <n v="4482"/>
  </r>
  <r>
    <x v="1"/>
    <s v="Kampala"/>
    <s v="Afrique de l'Est"/>
    <x v="94"/>
    <x v="79"/>
    <x v="2"/>
    <n v="1"/>
    <n v="45000"/>
    <n v="44185"/>
    <n v="7953"/>
  </r>
  <r>
    <x v="0"/>
    <s v="Abidjan"/>
    <s v="Afrique de l'Ouest"/>
    <x v="7"/>
    <x v="150"/>
    <x v="2"/>
    <n v="8"/>
    <n v="45000"/>
    <n v="345628"/>
    <n v="62213"/>
  </r>
  <r>
    <x v="3"/>
    <s v="Ouagadougou"/>
    <s v="Afrique de l'Ouest"/>
    <x v="10"/>
    <x v="312"/>
    <x v="2"/>
    <n v="3"/>
    <n v="45000"/>
    <n v="135717"/>
    <n v="24429"/>
  </r>
  <r>
    <x v="2"/>
    <s v="Lagos"/>
    <s v="Afrique de l'Ouest"/>
    <x v="193"/>
    <x v="291"/>
    <x v="2"/>
    <n v="8"/>
    <n v="45000"/>
    <n v="326937"/>
    <n v="58849"/>
  </r>
  <r>
    <x v="4"/>
    <s v="Kinshasa"/>
    <s v="Afrique Centrale"/>
    <x v="112"/>
    <x v="8"/>
    <x v="1"/>
    <n v="6"/>
    <n v="12500"/>
    <n v="69515"/>
    <n v="5561"/>
  </r>
  <r>
    <x v="2"/>
    <s v="Douala"/>
    <s v="Afrique Centrale"/>
    <x v="136"/>
    <x v="226"/>
    <x v="1"/>
    <n v="8"/>
    <n v="12500"/>
    <n v="109485"/>
    <n v="8759"/>
  </r>
  <r>
    <x v="2"/>
    <s v="Kinshasa"/>
    <s v="Afrique Centrale"/>
    <x v="199"/>
    <x v="229"/>
    <x v="4"/>
    <n v="8"/>
    <n v="15000"/>
    <n v="119762"/>
    <n v="11976"/>
  </r>
  <r>
    <x v="3"/>
    <s v="Yaoundé"/>
    <s v="Afrique Centrale"/>
    <x v="76"/>
    <x v="201"/>
    <x v="2"/>
    <n v="8"/>
    <n v="45000"/>
    <n v="354168"/>
    <n v="63750"/>
  </r>
  <r>
    <x v="0"/>
    <s v="Addis-Abeba"/>
    <s v="Afrique de l'Est"/>
    <x v="169"/>
    <x v="209"/>
    <x v="4"/>
    <n v="5"/>
    <n v="15000"/>
    <n v="72335"/>
    <n v="7234"/>
  </r>
  <r>
    <x v="2"/>
    <s v="Abidjan"/>
    <s v="Afrique de l'Ouest"/>
    <x v="206"/>
    <x v="124"/>
    <x v="0"/>
    <n v="4"/>
    <n v="18500"/>
    <n v="74306"/>
    <n v="8917"/>
  </r>
  <r>
    <x v="1"/>
    <s v="Kampala"/>
    <s v="Afrique de l'Est"/>
    <x v="2"/>
    <x v="182"/>
    <x v="1"/>
    <n v="4"/>
    <n v="12500"/>
    <n v="51071"/>
    <n v="4086"/>
  </r>
  <r>
    <x v="2"/>
    <s v="Accra"/>
    <s v="Afrique de l'Ouest"/>
    <x v="139"/>
    <x v="313"/>
    <x v="3"/>
    <n v="2"/>
    <n v="55000"/>
    <n v="116662"/>
    <n v="25666"/>
  </r>
  <r>
    <x v="4"/>
    <s v="Cotonou"/>
    <s v="Afrique de l'Ouest"/>
    <x v="170"/>
    <x v="263"/>
    <x v="4"/>
    <n v="9"/>
    <n v="15000"/>
    <n v="134800"/>
    <n v="13480"/>
  </r>
  <r>
    <x v="3"/>
    <s v="Dar es Salaam"/>
    <s v="Afrique de l'Est"/>
    <x v="84"/>
    <x v="289"/>
    <x v="1"/>
    <n v="3"/>
    <n v="12500"/>
    <n v="35239"/>
    <n v="2819"/>
  </r>
  <r>
    <x v="2"/>
    <s v="Kampala"/>
    <s v="Afrique de l'Est"/>
    <x v="39"/>
    <x v="168"/>
    <x v="4"/>
    <n v="10"/>
    <n v="15000"/>
    <n v="139641"/>
    <n v="13964"/>
  </r>
  <r>
    <x v="2"/>
    <s v="Dakar"/>
    <s v="Afrique de l'Ouest"/>
    <x v="78"/>
    <x v="314"/>
    <x v="0"/>
    <n v="2"/>
    <n v="18500"/>
    <n v="33609"/>
    <n v="4033"/>
  </r>
  <r>
    <x v="0"/>
    <s v="Yaoundé"/>
    <s v="Afrique Centrale"/>
    <x v="159"/>
    <x v="107"/>
    <x v="0"/>
    <n v="5"/>
    <n v="18500"/>
    <n v="93763"/>
    <n v="11252"/>
  </r>
  <r>
    <x v="4"/>
    <s v="Dakar"/>
    <s v="Afrique de l'Ouest"/>
    <x v="19"/>
    <x v="315"/>
    <x v="0"/>
    <n v="5"/>
    <n v="18500"/>
    <n v="92479"/>
    <n v="11097"/>
  </r>
  <r>
    <x v="1"/>
    <s v="Bamako"/>
    <s v="Afrique de l'Ouest"/>
    <x v="221"/>
    <x v="267"/>
    <x v="1"/>
    <n v="6"/>
    <n v="12500"/>
    <n v="70405"/>
    <n v="5632"/>
  </r>
  <r>
    <x v="2"/>
    <s v="Cotonou"/>
    <s v="Afrique de l'Ouest"/>
    <x v="58"/>
    <x v="311"/>
    <x v="2"/>
    <n v="3"/>
    <n v="45000"/>
    <n v="126738"/>
    <n v="22813"/>
  </r>
  <r>
    <x v="3"/>
    <s v="Dakar"/>
    <s v="Afrique de l'Ouest"/>
    <x v="161"/>
    <x v="214"/>
    <x v="3"/>
    <n v="6"/>
    <n v="55000"/>
    <n v="316691"/>
    <n v="69672"/>
  </r>
  <r>
    <x v="1"/>
    <s v="Dakar"/>
    <s v="Afrique de l'Ouest"/>
    <x v="66"/>
    <x v="273"/>
    <x v="3"/>
    <n v="4"/>
    <n v="55000"/>
    <n v="240358"/>
    <n v="52879"/>
  </r>
  <r>
    <x v="3"/>
    <s v="Ouagadougou"/>
    <s v="Afrique de l'Ouest"/>
    <x v="89"/>
    <x v="20"/>
    <x v="2"/>
    <n v="3"/>
    <n v="45000"/>
    <n v="121688"/>
    <n v="21904"/>
  </r>
  <r>
    <x v="3"/>
    <s v="Lagos"/>
    <s v="Afrique de l'Ouest"/>
    <x v="198"/>
    <x v="73"/>
    <x v="0"/>
    <n v="5"/>
    <n v="18500"/>
    <n v="94872"/>
    <n v="11385"/>
  </r>
  <r>
    <x v="3"/>
    <s v="Abidjan"/>
    <s v="Afrique de l'Ouest"/>
    <x v="75"/>
    <x v="154"/>
    <x v="4"/>
    <n v="4"/>
    <n v="15000"/>
    <n v="62909"/>
    <n v="6291"/>
  </r>
  <r>
    <x v="2"/>
    <s v="Lomé"/>
    <s v="Afrique de l'Ouest"/>
    <x v="4"/>
    <x v="92"/>
    <x v="1"/>
    <n v="3"/>
    <n v="12500"/>
    <n v="41157"/>
    <n v="3293"/>
  </r>
  <r>
    <x v="3"/>
    <s v="Lomé"/>
    <s v="Afrique de l'Ouest"/>
    <x v="66"/>
    <x v="272"/>
    <x v="0"/>
    <n v="8"/>
    <n v="18500"/>
    <n v="140120"/>
    <n v="16814"/>
  </r>
  <r>
    <x v="2"/>
    <s v="Nairobi"/>
    <s v="Afrique de l'Est"/>
    <x v="107"/>
    <x v="236"/>
    <x v="3"/>
    <n v="2"/>
    <n v="55000"/>
    <n v="115224"/>
    <n v="25349"/>
  </r>
  <r>
    <x v="0"/>
    <s v="Yaoundé"/>
    <s v="Afrique Centrale"/>
    <x v="104"/>
    <x v="205"/>
    <x v="3"/>
    <n v="8"/>
    <n v="55000"/>
    <n v="468842"/>
    <n v="103145"/>
  </r>
  <r>
    <x v="2"/>
    <s v="Kampala"/>
    <s v="Afrique de l'Est"/>
    <x v="19"/>
    <x v="316"/>
    <x v="0"/>
    <n v="6"/>
    <n v="18500"/>
    <n v="102517"/>
    <n v="12302"/>
  </r>
  <r>
    <x v="2"/>
    <s v="Dar es Salaam"/>
    <s v="Afrique de l'Est"/>
    <x v="200"/>
    <x v="317"/>
    <x v="2"/>
    <n v="9"/>
    <n v="45000"/>
    <n v="388685"/>
    <n v="69963"/>
  </r>
  <r>
    <x v="3"/>
    <s v="Yaoundé"/>
    <s v="Afrique Centrale"/>
    <x v="25"/>
    <x v="124"/>
    <x v="0"/>
    <n v="7"/>
    <n v="18500"/>
    <n v="138828"/>
    <n v="16659"/>
  </r>
  <r>
    <x v="3"/>
    <s v="Abidjan"/>
    <s v="Afrique de l'Ouest"/>
    <x v="155"/>
    <x v="122"/>
    <x v="2"/>
    <n v="7"/>
    <n v="45000"/>
    <n v="289584"/>
    <n v="52125"/>
  </r>
  <r>
    <x v="2"/>
    <s v="Addis-Abeba"/>
    <s v="Afrique de l'Est"/>
    <x v="51"/>
    <x v="176"/>
    <x v="3"/>
    <n v="6"/>
    <n v="55000"/>
    <n v="309005"/>
    <n v="67981"/>
  </r>
  <r>
    <x v="2"/>
    <s v="Addis-Abeba"/>
    <s v="Afrique de l'Est"/>
    <x v="19"/>
    <x v="318"/>
    <x v="2"/>
    <n v="3"/>
    <n v="45000"/>
    <n v="125750"/>
    <n v="22635"/>
  </r>
  <r>
    <x v="2"/>
    <s v="Kampala"/>
    <s v="Afrique de l'Est"/>
    <x v="57"/>
    <x v="74"/>
    <x v="2"/>
    <n v="10"/>
    <n v="45000"/>
    <n v="418599"/>
    <n v="75348"/>
  </r>
  <r>
    <x v="1"/>
    <s v="Abidjan"/>
    <s v="Afrique de l'Ouest"/>
    <x v="187"/>
    <x v="278"/>
    <x v="4"/>
    <n v="1"/>
    <n v="15000"/>
    <n v="15771"/>
    <n v="1577"/>
  </r>
  <r>
    <x v="0"/>
    <s v="Lomé"/>
    <s v="Afrique de l'Ouest"/>
    <x v="37"/>
    <x v="310"/>
    <x v="1"/>
    <n v="5"/>
    <n v="12500"/>
    <n v="67793"/>
    <n v="5423"/>
  </r>
  <r>
    <x v="1"/>
    <s v="Douala"/>
    <s v="Afrique Centrale"/>
    <x v="200"/>
    <x v="319"/>
    <x v="0"/>
    <n v="6"/>
    <n v="18500"/>
    <n v="112514"/>
    <n v="13502"/>
  </r>
  <r>
    <x v="2"/>
    <s v="Dar es Salaam"/>
    <s v="Afrique de l'Est"/>
    <x v="171"/>
    <x v="4"/>
    <x v="1"/>
    <n v="8"/>
    <n v="12500"/>
    <n v="92883"/>
    <n v="7431"/>
  </r>
  <r>
    <x v="3"/>
    <s v="Yaoundé"/>
    <s v="Afrique Centrale"/>
    <x v="183"/>
    <x v="117"/>
    <x v="3"/>
    <n v="7"/>
    <n v="55000"/>
    <n v="365847"/>
    <n v="80486"/>
  </r>
  <r>
    <x v="1"/>
    <s v="Dar es Salaam"/>
    <s v="Afrique de l'Est"/>
    <x v="139"/>
    <x v="320"/>
    <x v="3"/>
    <n v="8"/>
    <n v="55000"/>
    <n v="473916"/>
    <n v="104262"/>
  </r>
  <r>
    <x v="1"/>
    <s v="Accra"/>
    <s v="Afrique de l'Ouest"/>
    <x v="218"/>
    <x v="37"/>
    <x v="2"/>
    <n v="9"/>
    <n v="45000"/>
    <n v="401646"/>
    <n v="72296"/>
  </r>
  <r>
    <x v="4"/>
    <s v="Bamako"/>
    <s v="Afrique de l'Ouest"/>
    <x v="110"/>
    <x v="193"/>
    <x v="1"/>
    <n v="5"/>
    <n v="12500"/>
    <n v="67254"/>
    <n v="5380"/>
  </r>
  <r>
    <x v="1"/>
    <s v="Yaoundé"/>
    <s v="Afrique Centrale"/>
    <x v="222"/>
    <x v="321"/>
    <x v="3"/>
    <n v="7"/>
    <n v="55000"/>
    <n v="376397"/>
    <n v="82807"/>
  </r>
  <r>
    <x v="4"/>
    <s v="Cotonou"/>
    <s v="Afrique de l'Ouest"/>
    <x v="48"/>
    <x v="322"/>
    <x v="3"/>
    <n v="2"/>
    <n v="55000"/>
    <n v="100141"/>
    <n v="22031"/>
  </r>
  <r>
    <x v="2"/>
    <s v="Ouagadougou"/>
    <s v="Afrique de l'Ouest"/>
    <x v="146"/>
    <x v="230"/>
    <x v="0"/>
    <n v="6"/>
    <n v="18500"/>
    <n v="102718"/>
    <n v="12326"/>
  </r>
  <r>
    <x v="4"/>
    <s v="Nairobi"/>
    <s v="Afrique de l'Est"/>
    <x v="39"/>
    <x v="15"/>
    <x v="4"/>
    <n v="8"/>
    <n v="15000"/>
    <n v="122953"/>
    <n v="12295"/>
  </r>
  <r>
    <x v="0"/>
    <s v="Dar es Salaam"/>
    <s v="Afrique de l'Est"/>
    <x v="198"/>
    <x v="311"/>
    <x v="3"/>
    <n v="7"/>
    <n v="55000"/>
    <n v="381237"/>
    <n v="83872"/>
  </r>
  <r>
    <x v="3"/>
    <s v="Addis-Abeba"/>
    <s v="Afrique de l'Est"/>
    <x v="205"/>
    <x v="36"/>
    <x v="2"/>
    <n v="5"/>
    <n v="45000"/>
    <n v="206446"/>
    <n v="37160"/>
  </r>
  <r>
    <x v="3"/>
    <s v="Abidjan"/>
    <s v="Afrique de l'Ouest"/>
    <x v="107"/>
    <x v="261"/>
    <x v="0"/>
    <n v="9"/>
    <n v="18500"/>
    <n v="174720"/>
    <n v="20966"/>
  </r>
  <r>
    <x v="3"/>
    <s v="Bamako"/>
    <s v="Afrique de l'Ouest"/>
    <x v="186"/>
    <x v="238"/>
    <x v="2"/>
    <n v="9"/>
    <n v="45000"/>
    <n v="422271"/>
    <n v="76009"/>
  </r>
  <r>
    <x v="4"/>
    <s v="Addis-Abeba"/>
    <s v="Afrique de l'Est"/>
    <x v="60"/>
    <x v="145"/>
    <x v="0"/>
    <n v="7"/>
    <n v="18500"/>
    <n v="128119"/>
    <n v="15374"/>
  </r>
  <r>
    <x v="3"/>
    <s v="Accra"/>
    <s v="Afrique de l'Ouest"/>
    <x v="65"/>
    <x v="190"/>
    <x v="0"/>
    <n v="3"/>
    <n v="18500"/>
    <n v="50415"/>
    <n v="6050"/>
  </r>
  <r>
    <x v="4"/>
    <s v="Dar es Salaam"/>
    <s v="Afrique de l'Est"/>
    <x v="156"/>
    <x v="314"/>
    <x v="1"/>
    <n v="3"/>
    <n v="12500"/>
    <n v="37648"/>
    <n v="3012"/>
  </r>
  <r>
    <x v="3"/>
    <s v="Accra"/>
    <s v="Afrique de l'Ouest"/>
    <x v="35"/>
    <x v="186"/>
    <x v="4"/>
    <n v="4"/>
    <n v="15000"/>
    <n v="54352"/>
    <n v="5435"/>
  </r>
  <r>
    <x v="3"/>
    <s v="Kampala"/>
    <s v="Afrique de l'Est"/>
    <x v="210"/>
    <x v="75"/>
    <x v="3"/>
    <n v="10"/>
    <n v="55000"/>
    <n v="509609"/>
    <n v="112114"/>
  </r>
  <r>
    <x v="0"/>
    <s v="Abidjan"/>
    <s v="Afrique de l'Ouest"/>
    <x v="20"/>
    <x v="230"/>
    <x v="3"/>
    <n v="9"/>
    <n v="55000"/>
    <n v="541159"/>
    <n v="119055"/>
  </r>
  <r>
    <x v="4"/>
    <s v="Abidjan"/>
    <s v="Afrique de l'Ouest"/>
    <x v="138"/>
    <x v="21"/>
    <x v="2"/>
    <n v="5"/>
    <n v="45000"/>
    <n v="205392"/>
    <n v="36971"/>
  </r>
  <r>
    <x v="3"/>
    <s v="Abidjan"/>
    <s v="Afrique de l'Ouest"/>
    <x v="65"/>
    <x v="89"/>
    <x v="0"/>
    <n v="8"/>
    <n v="18500"/>
    <n v="146265"/>
    <n v="17552"/>
  </r>
  <r>
    <x v="4"/>
    <s v="Abidjan"/>
    <s v="Afrique de l'Ouest"/>
    <x v="86"/>
    <x v="323"/>
    <x v="3"/>
    <n v="1"/>
    <n v="55000"/>
    <n v="52198"/>
    <n v="11484"/>
  </r>
  <r>
    <x v="3"/>
    <s v="Yaoundé"/>
    <s v="Afrique Centrale"/>
    <x v="62"/>
    <x v="9"/>
    <x v="4"/>
    <n v="2"/>
    <n v="15000"/>
    <n v="27715"/>
    <n v="2772"/>
  </r>
  <r>
    <x v="2"/>
    <s v="Accra"/>
    <s v="Afrique de l'Ouest"/>
    <x v="84"/>
    <x v="324"/>
    <x v="2"/>
    <n v="4"/>
    <n v="45000"/>
    <n v="165247"/>
    <n v="29744"/>
  </r>
  <r>
    <x v="4"/>
    <s v="Lomé"/>
    <s v="Afrique de l'Ouest"/>
    <x v="173"/>
    <x v="325"/>
    <x v="4"/>
    <n v="5"/>
    <n v="15000"/>
    <n v="80677"/>
    <n v="8068"/>
  </r>
  <r>
    <x v="3"/>
    <s v="Douala"/>
    <s v="Afrique Centrale"/>
    <x v="86"/>
    <x v="326"/>
    <x v="4"/>
    <n v="6"/>
    <n v="15000"/>
    <n v="85632"/>
    <n v="8563"/>
  </r>
  <r>
    <x v="0"/>
    <s v="Bamako"/>
    <s v="Afrique de l'Ouest"/>
    <x v="99"/>
    <x v="327"/>
    <x v="4"/>
    <n v="9"/>
    <n v="15000"/>
    <n v="121944"/>
    <n v="12194"/>
  </r>
  <r>
    <x v="4"/>
    <s v="Accra"/>
    <s v="Afrique de l'Ouest"/>
    <x v="81"/>
    <x v="165"/>
    <x v="1"/>
    <n v="6"/>
    <n v="12500"/>
    <n v="70882"/>
    <n v="5671"/>
  </r>
  <r>
    <x v="0"/>
    <s v="Dar es Salaam"/>
    <s v="Afrique de l'Est"/>
    <x v="164"/>
    <x v="93"/>
    <x v="0"/>
    <n v="8"/>
    <n v="18500"/>
    <n v="141131"/>
    <n v="16936"/>
  </r>
  <r>
    <x v="3"/>
    <s v="Lagos"/>
    <s v="Afrique de l'Ouest"/>
    <x v="208"/>
    <x v="131"/>
    <x v="0"/>
    <n v="9"/>
    <n v="18500"/>
    <n v="173084"/>
    <n v="20770"/>
  </r>
  <r>
    <x v="2"/>
    <s v="Dakar"/>
    <s v="Afrique de l'Ouest"/>
    <x v="169"/>
    <x v="211"/>
    <x v="4"/>
    <n v="1"/>
    <n v="15000"/>
    <n v="15324"/>
    <n v="1532"/>
  </r>
  <r>
    <x v="4"/>
    <s v="Douala"/>
    <s v="Afrique Centrale"/>
    <x v="60"/>
    <x v="60"/>
    <x v="4"/>
    <n v="7"/>
    <n v="15000"/>
    <n v="110168"/>
    <n v="11017"/>
  </r>
  <r>
    <x v="2"/>
    <s v="Abidjan"/>
    <s v="Afrique de l'Ouest"/>
    <x v="22"/>
    <x v="185"/>
    <x v="3"/>
    <n v="5"/>
    <n v="55000"/>
    <n v="261360"/>
    <n v="57499"/>
  </r>
  <r>
    <x v="2"/>
    <s v="Kinshasa"/>
    <s v="Afrique Centrale"/>
    <x v="131"/>
    <x v="237"/>
    <x v="0"/>
    <n v="4"/>
    <n v="18500"/>
    <n v="76885"/>
    <n v="9226"/>
  </r>
  <r>
    <x v="3"/>
    <s v="Nairobi"/>
    <s v="Afrique de l'Est"/>
    <x v="169"/>
    <x v="277"/>
    <x v="2"/>
    <n v="6"/>
    <n v="45000"/>
    <n v="250503"/>
    <n v="45091"/>
  </r>
  <r>
    <x v="0"/>
    <s v="Bamako"/>
    <s v="Afrique de l'Ouest"/>
    <x v="161"/>
    <x v="88"/>
    <x v="4"/>
    <n v="8"/>
    <n v="15000"/>
    <n v="123823"/>
    <n v="12382"/>
  </r>
  <r>
    <x v="4"/>
    <s v="Kinshasa"/>
    <s v="Afrique Centrale"/>
    <x v="203"/>
    <x v="234"/>
    <x v="2"/>
    <n v="4"/>
    <n v="45000"/>
    <n v="176122"/>
    <n v="31702"/>
  </r>
  <r>
    <x v="2"/>
    <s v="Lomé"/>
    <s v="Afrique de l'Ouest"/>
    <x v="51"/>
    <x v="328"/>
    <x v="4"/>
    <n v="8"/>
    <n v="15000"/>
    <n v="131919"/>
    <n v="13192"/>
  </r>
  <r>
    <x v="4"/>
    <s v="Accra"/>
    <s v="Afrique de l'Ouest"/>
    <x v="25"/>
    <x v="320"/>
    <x v="4"/>
    <n v="7"/>
    <n v="15000"/>
    <n v="95314"/>
    <n v="9531"/>
  </r>
  <r>
    <x v="0"/>
    <s v="Dakar"/>
    <s v="Afrique de l'Ouest"/>
    <x v="20"/>
    <x v="180"/>
    <x v="0"/>
    <n v="10"/>
    <n v="18500"/>
    <n v="180439"/>
    <n v="21653"/>
  </r>
  <r>
    <x v="2"/>
    <s v="Dar es Salaam"/>
    <s v="Afrique de l'Est"/>
    <x v="124"/>
    <x v="268"/>
    <x v="3"/>
    <n v="8"/>
    <n v="55000"/>
    <n v="408511"/>
    <n v="89872"/>
  </r>
  <r>
    <x v="4"/>
    <s v="Addis-Abeba"/>
    <s v="Afrique de l'Est"/>
    <x v="187"/>
    <x v="329"/>
    <x v="3"/>
    <n v="9"/>
    <n v="55000"/>
    <n v="481712"/>
    <n v="105977"/>
  </r>
  <r>
    <x v="3"/>
    <s v="Douala"/>
    <s v="Afrique Centrale"/>
    <x v="50"/>
    <x v="223"/>
    <x v="1"/>
    <n v="5"/>
    <n v="12500"/>
    <n v="60256"/>
    <n v="4820"/>
  </r>
  <r>
    <x v="0"/>
    <s v="Nairobi"/>
    <s v="Afrique de l'Est"/>
    <x v="137"/>
    <x v="293"/>
    <x v="0"/>
    <n v="7"/>
    <n v="18500"/>
    <n v="121222"/>
    <n v="14547"/>
  </r>
  <r>
    <x v="4"/>
    <s v="Bamako"/>
    <s v="Afrique de l'Ouest"/>
    <x v="150"/>
    <x v="330"/>
    <x v="3"/>
    <n v="3"/>
    <n v="55000"/>
    <n v="176188"/>
    <n v="38761"/>
  </r>
  <r>
    <x v="1"/>
    <s v="Dar es Salaam"/>
    <s v="Afrique de l'Est"/>
    <x v="26"/>
    <x v="292"/>
    <x v="1"/>
    <n v="7"/>
    <n v="12500"/>
    <n v="91674"/>
    <n v="7334"/>
  </r>
  <r>
    <x v="0"/>
    <s v="Kinshasa"/>
    <s v="Afrique Centrale"/>
    <x v="141"/>
    <x v="183"/>
    <x v="2"/>
    <n v="3"/>
    <n v="45000"/>
    <n v="128592"/>
    <n v="23147"/>
  </r>
  <r>
    <x v="4"/>
    <s v="Abidjan"/>
    <s v="Afrique de l'Ouest"/>
    <x v="211"/>
    <x v="11"/>
    <x v="4"/>
    <n v="10"/>
    <n v="15000"/>
    <n v="143006"/>
    <n v="14301"/>
  </r>
  <r>
    <x v="4"/>
    <s v="Accra"/>
    <s v="Afrique de l'Ouest"/>
    <x v="162"/>
    <x v="117"/>
    <x v="1"/>
    <n v="7"/>
    <n v="12500"/>
    <n v="92235"/>
    <n v="7379"/>
  </r>
  <r>
    <x v="1"/>
    <s v="Bamako"/>
    <s v="Afrique de l'Ouest"/>
    <x v="26"/>
    <x v="86"/>
    <x v="3"/>
    <n v="2"/>
    <n v="55000"/>
    <n v="116064"/>
    <n v="25534"/>
  </r>
  <r>
    <x v="3"/>
    <s v="Dakar"/>
    <s v="Afrique de l'Ouest"/>
    <x v="69"/>
    <x v="331"/>
    <x v="4"/>
    <n v="7"/>
    <n v="15000"/>
    <n v="95522"/>
    <n v="9552"/>
  </r>
  <r>
    <x v="4"/>
    <s v="Kampala"/>
    <s v="Afrique de l'Est"/>
    <x v="209"/>
    <x v="319"/>
    <x v="2"/>
    <n v="1"/>
    <n v="45000"/>
    <n v="41993"/>
    <n v="7559"/>
  </r>
  <r>
    <x v="3"/>
    <s v="Dar es Salaam"/>
    <s v="Afrique de l'Est"/>
    <x v="1"/>
    <x v="89"/>
    <x v="1"/>
    <n v="8"/>
    <n v="12500"/>
    <n v="90618"/>
    <n v="7249"/>
  </r>
  <r>
    <x v="2"/>
    <s v="Ouagadougou"/>
    <s v="Afrique de l'Ouest"/>
    <x v="175"/>
    <x v="29"/>
    <x v="1"/>
    <n v="10"/>
    <n v="12500"/>
    <n v="118621"/>
    <n v="9490"/>
  </r>
  <r>
    <x v="3"/>
    <s v="Kampala"/>
    <s v="Afrique de l'Est"/>
    <x v="99"/>
    <x v="332"/>
    <x v="1"/>
    <n v="5"/>
    <n v="12500"/>
    <n v="60538"/>
    <n v="4843"/>
  </r>
  <r>
    <x v="1"/>
    <s v="Nairobi"/>
    <s v="Afrique de l'Est"/>
    <x v="74"/>
    <x v="276"/>
    <x v="0"/>
    <n v="3"/>
    <n v="18500"/>
    <n v="50969"/>
    <n v="6116"/>
  </r>
  <r>
    <x v="0"/>
    <s v="Nairobi"/>
    <s v="Afrique de l'Est"/>
    <x v="131"/>
    <x v="66"/>
    <x v="2"/>
    <n v="4"/>
    <n v="45000"/>
    <n v="187140"/>
    <n v="33685"/>
  </r>
  <r>
    <x v="0"/>
    <s v="Nairobi"/>
    <s v="Afrique de l'Est"/>
    <x v="105"/>
    <x v="79"/>
    <x v="3"/>
    <n v="6"/>
    <n v="55000"/>
    <n v="350560"/>
    <n v="77123"/>
  </r>
  <r>
    <x v="4"/>
    <s v="Lagos"/>
    <s v="Afrique de l'Ouest"/>
    <x v="67"/>
    <x v="172"/>
    <x v="2"/>
    <n v="8"/>
    <n v="45000"/>
    <n v="337796"/>
    <n v="60803"/>
  </r>
  <r>
    <x v="0"/>
    <s v="Ouagadougou"/>
    <s v="Afrique de l'Ouest"/>
    <x v="103"/>
    <x v="169"/>
    <x v="2"/>
    <n v="10"/>
    <n v="45000"/>
    <n v="418718"/>
    <n v="75369"/>
  </r>
  <r>
    <x v="0"/>
    <s v="Kampala"/>
    <s v="Afrique de l'Est"/>
    <x v="190"/>
    <x v="61"/>
    <x v="3"/>
    <n v="2"/>
    <n v="55000"/>
    <n v="104502"/>
    <n v="22990"/>
  </r>
  <r>
    <x v="2"/>
    <s v="Kinshasa"/>
    <s v="Afrique Centrale"/>
    <x v="152"/>
    <x v="133"/>
    <x v="4"/>
    <n v="3"/>
    <n v="15000"/>
    <n v="40894"/>
    <n v="4089"/>
  </r>
  <r>
    <x v="4"/>
    <s v="Lomé"/>
    <s v="Afrique de l'Ouest"/>
    <x v="222"/>
    <x v="131"/>
    <x v="0"/>
    <n v="7"/>
    <n v="18500"/>
    <n v="121844"/>
    <n v="14621"/>
  </r>
  <r>
    <x v="4"/>
    <s v="Accra"/>
    <s v="Afrique de l'Ouest"/>
    <x v="118"/>
    <x v="258"/>
    <x v="2"/>
    <n v="2"/>
    <n v="45000"/>
    <n v="90307"/>
    <n v="16255"/>
  </r>
  <r>
    <x v="0"/>
    <s v="Lomé"/>
    <s v="Afrique de l'Ouest"/>
    <x v="107"/>
    <x v="46"/>
    <x v="0"/>
    <n v="10"/>
    <n v="18500"/>
    <n v="202114"/>
    <n v="24254"/>
  </r>
  <r>
    <x v="0"/>
    <s v="Douala"/>
    <s v="Afrique Centrale"/>
    <x v="183"/>
    <x v="163"/>
    <x v="0"/>
    <n v="6"/>
    <n v="18500"/>
    <n v="105199"/>
    <n v="12624"/>
  </r>
  <r>
    <x v="3"/>
    <s v="Abidjan"/>
    <s v="Afrique de l'Ouest"/>
    <x v="89"/>
    <x v="3"/>
    <x v="4"/>
    <n v="2"/>
    <n v="15000"/>
    <n v="31295"/>
    <n v="3130"/>
  </r>
  <r>
    <x v="3"/>
    <s v="Accra"/>
    <s v="Afrique de l'Ouest"/>
    <x v="65"/>
    <x v="196"/>
    <x v="0"/>
    <n v="5"/>
    <n v="18500"/>
    <n v="83445"/>
    <n v="10013"/>
  </r>
  <r>
    <x v="0"/>
    <s v="Dakar"/>
    <s v="Afrique de l'Ouest"/>
    <x v="186"/>
    <x v="13"/>
    <x v="0"/>
    <n v="9"/>
    <n v="18500"/>
    <n v="166262"/>
    <n v="19951"/>
  </r>
  <r>
    <x v="4"/>
    <s v="Kampala"/>
    <s v="Afrique de l'Est"/>
    <x v="71"/>
    <x v="322"/>
    <x v="4"/>
    <n v="9"/>
    <n v="15000"/>
    <n v="134247"/>
    <n v="13425"/>
  </r>
  <r>
    <x v="2"/>
    <s v="Yaoundé"/>
    <s v="Afrique Centrale"/>
    <x v="31"/>
    <x v="333"/>
    <x v="0"/>
    <n v="4"/>
    <n v="18500"/>
    <n v="70841"/>
    <n v="8501"/>
  </r>
  <r>
    <x v="3"/>
    <s v="Yaoundé"/>
    <s v="Afrique Centrale"/>
    <x v="222"/>
    <x v="203"/>
    <x v="3"/>
    <n v="4"/>
    <n v="55000"/>
    <n v="202039"/>
    <n v="44449"/>
  </r>
  <r>
    <x v="4"/>
    <s v="Dakar"/>
    <s v="Afrique de l'Ouest"/>
    <x v="185"/>
    <x v="334"/>
    <x v="3"/>
    <n v="2"/>
    <n v="55000"/>
    <n v="107489"/>
    <n v="23648"/>
  </r>
  <r>
    <x v="3"/>
    <s v="Abidjan"/>
    <s v="Afrique de l'Ouest"/>
    <x v="41"/>
    <x v="72"/>
    <x v="4"/>
    <n v="3"/>
    <n v="15000"/>
    <n v="41091"/>
    <n v="4109"/>
  </r>
  <r>
    <x v="0"/>
    <s v="Lomé"/>
    <s v="Afrique de l'Ouest"/>
    <x v="21"/>
    <x v="335"/>
    <x v="3"/>
    <n v="9"/>
    <n v="55000"/>
    <n v="509723"/>
    <n v="112139"/>
  </r>
  <r>
    <x v="1"/>
    <s v="Dar es Salaam"/>
    <s v="Afrique de l'Est"/>
    <x v="60"/>
    <x v="82"/>
    <x v="2"/>
    <n v="6"/>
    <n v="45000"/>
    <n v="293550"/>
    <n v="52839"/>
  </r>
  <r>
    <x v="4"/>
    <s v="Ouagadougou"/>
    <s v="Afrique de l'Ouest"/>
    <x v="75"/>
    <x v="0"/>
    <x v="2"/>
    <n v="9"/>
    <n v="45000"/>
    <n v="403556"/>
    <n v="72640"/>
  </r>
  <r>
    <x v="2"/>
    <s v="Dar es Salaam"/>
    <s v="Afrique de l'Est"/>
    <x v="91"/>
    <x v="37"/>
    <x v="2"/>
    <n v="8"/>
    <n v="45000"/>
    <n v="394518"/>
    <n v="71013"/>
  </r>
  <r>
    <x v="1"/>
    <s v="Douala"/>
    <s v="Afrique Centrale"/>
    <x v="60"/>
    <x v="92"/>
    <x v="1"/>
    <n v="4"/>
    <n v="12500"/>
    <n v="51281"/>
    <n v="4102"/>
  </r>
  <r>
    <x v="0"/>
    <s v="Accra"/>
    <s v="Afrique de l'Ouest"/>
    <x v="169"/>
    <x v="161"/>
    <x v="1"/>
    <n v="3"/>
    <n v="12500"/>
    <n v="40991"/>
    <n v="3279"/>
  </r>
  <r>
    <x v="2"/>
    <s v="Cotonou"/>
    <s v="Afrique de l'Ouest"/>
    <x v="153"/>
    <x v="130"/>
    <x v="3"/>
    <n v="6"/>
    <n v="55000"/>
    <n v="361266"/>
    <n v="79479"/>
  </r>
  <r>
    <x v="1"/>
    <s v="Lagos"/>
    <s v="Afrique de l'Ouest"/>
    <x v="5"/>
    <x v="261"/>
    <x v="4"/>
    <n v="6"/>
    <n v="15000"/>
    <n v="81755"/>
    <n v="8176"/>
  </r>
  <r>
    <x v="1"/>
    <s v="Lomé"/>
    <s v="Afrique de l'Ouest"/>
    <x v="186"/>
    <x v="49"/>
    <x v="1"/>
    <n v="6"/>
    <n v="12500"/>
    <n v="70267"/>
    <n v="5621"/>
  </r>
  <r>
    <x v="2"/>
    <s v="Kinshasa"/>
    <s v="Afrique Centrale"/>
    <x v="167"/>
    <x v="104"/>
    <x v="4"/>
    <n v="8"/>
    <n v="15000"/>
    <n v="118506"/>
    <n v="11851"/>
  </r>
  <r>
    <x v="2"/>
    <s v="Yaoundé"/>
    <s v="Afrique Centrale"/>
    <x v="164"/>
    <x v="290"/>
    <x v="1"/>
    <n v="9"/>
    <n v="12500"/>
    <n v="109673"/>
    <n v="8774"/>
  </r>
  <r>
    <x v="1"/>
    <s v="Addis-Abeba"/>
    <s v="Afrique de l'Est"/>
    <x v="212"/>
    <x v="250"/>
    <x v="0"/>
    <n v="4"/>
    <n v="18500"/>
    <n v="71634"/>
    <n v="8596"/>
  </r>
  <r>
    <x v="4"/>
    <s v="Nairobi"/>
    <s v="Afrique de l'Est"/>
    <x v="116"/>
    <x v="51"/>
    <x v="2"/>
    <n v="9"/>
    <n v="45000"/>
    <n v="418302"/>
    <n v="75294"/>
  </r>
  <r>
    <x v="3"/>
    <s v="Abidjan"/>
    <s v="Afrique de l'Ouest"/>
    <x v="45"/>
    <x v="55"/>
    <x v="0"/>
    <n v="3"/>
    <n v="18500"/>
    <n v="54094"/>
    <n v="6491"/>
  </r>
  <r>
    <x v="4"/>
    <s v="Addis-Abeba"/>
    <s v="Afrique de l'Est"/>
    <x v="206"/>
    <x v="13"/>
    <x v="4"/>
    <n v="10"/>
    <n v="15000"/>
    <n v="154542"/>
    <n v="15454"/>
  </r>
  <r>
    <x v="3"/>
    <s v="Ouagadougou"/>
    <s v="Afrique de l'Ouest"/>
    <x v="218"/>
    <x v="231"/>
    <x v="4"/>
    <n v="6"/>
    <n v="15000"/>
    <n v="82297"/>
    <n v="8230"/>
  </r>
  <r>
    <x v="4"/>
    <s v="Dakar"/>
    <s v="Afrique de l'Ouest"/>
    <x v="106"/>
    <x v="288"/>
    <x v="1"/>
    <n v="8"/>
    <n v="12500"/>
    <n v="98091"/>
    <n v="7847"/>
  </r>
  <r>
    <x v="0"/>
    <s v="Kampala"/>
    <s v="Afrique de l'Est"/>
    <x v="139"/>
    <x v="102"/>
    <x v="1"/>
    <n v="3"/>
    <n v="12500"/>
    <n v="35677"/>
    <n v="2854"/>
  </r>
  <r>
    <x v="2"/>
    <s v="Lomé"/>
    <s v="Afrique de l'Ouest"/>
    <x v="142"/>
    <x v="242"/>
    <x v="2"/>
    <n v="9"/>
    <n v="45000"/>
    <n v="421956"/>
    <n v="75952"/>
  </r>
  <r>
    <x v="2"/>
    <s v="Abidjan"/>
    <s v="Afrique de l'Ouest"/>
    <x v="120"/>
    <x v="334"/>
    <x v="4"/>
    <n v="2"/>
    <n v="15000"/>
    <n v="28239"/>
    <n v="2824"/>
  </r>
  <r>
    <x v="2"/>
    <s v="Accra"/>
    <s v="Afrique de l'Ouest"/>
    <x v="125"/>
    <x v="267"/>
    <x v="4"/>
    <n v="5"/>
    <n v="15000"/>
    <n v="72662"/>
    <n v="7266"/>
  </r>
  <r>
    <x v="4"/>
    <s v="Cotonou"/>
    <s v="Afrique de l'Ouest"/>
    <x v="18"/>
    <x v="199"/>
    <x v="2"/>
    <n v="9"/>
    <n v="45000"/>
    <n v="388334"/>
    <n v="69900"/>
  </r>
  <r>
    <x v="4"/>
    <s v="Dakar"/>
    <s v="Afrique de l'Ouest"/>
    <x v="163"/>
    <x v="67"/>
    <x v="2"/>
    <n v="7"/>
    <n v="45000"/>
    <n v="305160"/>
    <n v="54929"/>
  </r>
  <r>
    <x v="3"/>
    <s v="Cotonou"/>
    <s v="Afrique de l'Ouest"/>
    <x v="215"/>
    <x v="45"/>
    <x v="0"/>
    <n v="10"/>
    <n v="18500"/>
    <n v="185781"/>
    <n v="22294"/>
  </r>
  <r>
    <x v="0"/>
    <s v="Kampala"/>
    <s v="Afrique de l'Est"/>
    <x v="197"/>
    <x v="238"/>
    <x v="0"/>
    <n v="4"/>
    <n v="18500"/>
    <n v="79396"/>
    <n v="9528"/>
  </r>
  <r>
    <x v="2"/>
    <s v="Nairobi"/>
    <s v="Afrique de l'Est"/>
    <x v="177"/>
    <x v="152"/>
    <x v="1"/>
    <n v="3"/>
    <n v="12500"/>
    <n v="38462"/>
    <n v="3077"/>
  </r>
  <r>
    <x v="0"/>
    <s v="Kampala"/>
    <s v="Afrique de l'Est"/>
    <x v="7"/>
    <x v="86"/>
    <x v="1"/>
    <n v="2"/>
    <n v="12500"/>
    <n v="23442"/>
    <n v="1875"/>
  </r>
  <r>
    <x v="4"/>
    <s v="Addis-Abeba"/>
    <s v="Afrique de l'Est"/>
    <x v="181"/>
    <x v="44"/>
    <x v="1"/>
    <n v="1"/>
    <n v="12500"/>
    <n v="12537"/>
    <n v="1003"/>
  </r>
  <r>
    <x v="2"/>
    <s v="Lomé"/>
    <s v="Afrique de l'Ouest"/>
    <x v="111"/>
    <x v="245"/>
    <x v="3"/>
    <n v="3"/>
    <n v="55000"/>
    <n v="156524"/>
    <n v="34435"/>
  </r>
  <r>
    <x v="3"/>
    <s v="Addis-Abeba"/>
    <s v="Afrique de l'Est"/>
    <x v="54"/>
    <x v="17"/>
    <x v="4"/>
    <n v="2"/>
    <n v="15000"/>
    <n v="29038"/>
    <n v="2904"/>
  </r>
  <r>
    <x v="4"/>
    <s v="Lomé"/>
    <s v="Afrique de l'Ouest"/>
    <x v="205"/>
    <x v="158"/>
    <x v="4"/>
    <n v="1"/>
    <n v="15000"/>
    <n v="14611"/>
    <n v="1461"/>
  </r>
  <r>
    <x v="0"/>
    <s v="Lagos"/>
    <s v="Afrique de l'Ouest"/>
    <x v="130"/>
    <x v="336"/>
    <x v="1"/>
    <n v="6"/>
    <n v="12500"/>
    <n v="73365"/>
    <n v="5869"/>
  </r>
  <r>
    <x v="0"/>
    <s v="Dar es Salaam"/>
    <s v="Afrique de l'Est"/>
    <x v="140"/>
    <x v="101"/>
    <x v="3"/>
    <n v="9"/>
    <n v="55000"/>
    <n v="487148"/>
    <n v="107173"/>
  </r>
  <r>
    <x v="3"/>
    <s v="Abidjan"/>
    <s v="Afrique de l'Ouest"/>
    <x v="36"/>
    <x v="268"/>
    <x v="4"/>
    <n v="4"/>
    <n v="15000"/>
    <n v="60922"/>
    <n v="6092"/>
  </r>
  <r>
    <x v="2"/>
    <s v="Dar es Salaam"/>
    <s v="Afrique de l'Est"/>
    <x v="61"/>
    <x v="337"/>
    <x v="2"/>
    <n v="3"/>
    <n v="45000"/>
    <n v="147495"/>
    <n v="26549"/>
  </r>
  <r>
    <x v="0"/>
    <s v="Bamako"/>
    <s v="Afrique de l'Ouest"/>
    <x v="96"/>
    <x v="70"/>
    <x v="3"/>
    <n v="3"/>
    <n v="55000"/>
    <n v="168674"/>
    <n v="37108"/>
  </r>
  <r>
    <x v="1"/>
    <s v="Kinshasa"/>
    <s v="Afrique Centrale"/>
    <x v="170"/>
    <x v="271"/>
    <x v="4"/>
    <n v="4"/>
    <n v="15000"/>
    <n v="59008"/>
    <n v="5901"/>
  </r>
  <r>
    <x v="0"/>
    <s v="Dakar"/>
    <s v="Afrique de l'Ouest"/>
    <x v="171"/>
    <x v="221"/>
    <x v="2"/>
    <n v="1"/>
    <n v="45000"/>
    <n v="49037"/>
    <n v="8827"/>
  </r>
  <r>
    <x v="2"/>
    <s v="Douala"/>
    <s v="Afrique Centrale"/>
    <x v="50"/>
    <x v="307"/>
    <x v="0"/>
    <n v="9"/>
    <n v="18500"/>
    <n v="155391"/>
    <n v="18647"/>
  </r>
  <r>
    <x v="1"/>
    <s v="Abidjan"/>
    <s v="Afrique de l'Ouest"/>
    <x v="14"/>
    <x v="122"/>
    <x v="0"/>
    <n v="6"/>
    <n v="18500"/>
    <n v="119939"/>
    <n v="14393"/>
  </r>
  <r>
    <x v="3"/>
    <s v="Cotonou"/>
    <s v="Afrique de l'Ouest"/>
    <x v="111"/>
    <x v="306"/>
    <x v="4"/>
    <n v="1"/>
    <n v="15000"/>
    <n v="16372"/>
    <n v="1637"/>
  </r>
  <r>
    <x v="1"/>
    <s v="Yaoundé"/>
    <s v="Afrique Centrale"/>
    <x v="181"/>
    <x v="289"/>
    <x v="3"/>
    <n v="7"/>
    <n v="55000"/>
    <n v="408721"/>
    <n v="89919"/>
  </r>
  <r>
    <x v="0"/>
    <s v="Lagos"/>
    <s v="Afrique de l'Ouest"/>
    <x v="115"/>
    <x v="338"/>
    <x v="3"/>
    <n v="9"/>
    <n v="55000"/>
    <n v="456990"/>
    <n v="100538"/>
  </r>
  <r>
    <x v="2"/>
    <s v="Kampala"/>
    <s v="Afrique de l'Est"/>
    <x v="13"/>
    <x v="27"/>
    <x v="1"/>
    <n v="9"/>
    <n v="12500"/>
    <n v="110991"/>
    <n v="8879"/>
  </r>
  <r>
    <x v="3"/>
    <s v="Kinshasa"/>
    <s v="Afrique Centrale"/>
    <x v="48"/>
    <x v="195"/>
    <x v="4"/>
    <n v="1"/>
    <n v="15000"/>
    <n v="15334"/>
    <n v="1533"/>
  </r>
  <r>
    <x v="3"/>
    <s v="Abidjan"/>
    <s v="Afrique de l'Ouest"/>
    <x v="150"/>
    <x v="339"/>
    <x v="1"/>
    <n v="6"/>
    <n v="12500"/>
    <n v="79171"/>
    <n v="6334"/>
  </r>
  <r>
    <x v="0"/>
    <s v="Yaoundé"/>
    <s v="Afrique Centrale"/>
    <x v="198"/>
    <x v="224"/>
    <x v="3"/>
    <n v="4"/>
    <n v="55000"/>
    <n v="209518"/>
    <n v="46094"/>
  </r>
  <r>
    <x v="3"/>
    <s v="Accra"/>
    <s v="Afrique de l'Ouest"/>
    <x v="23"/>
    <x v="274"/>
    <x v="3"/>
    <n v="2"/>
    <n v="55000"/>
    <n v="117141"/>
    <n v="25771"/>
  </r>
  <r>
    <x v="3"/>
    <s v="Bamako"/>
    <s v="Afrique de l'Ouest"/>
    <x v="205"/>
    <x v="231"/>
    <x v="4"/>
    <n v="5"/>
    <n v="15000"/>
    <n v="81193"/>
    <n v="8119"/>
  </r>
  <r>
    <x v="4"/>
    <s v="Kampala"/>
    <s v="Afrique de l'Est"/>
    <x v="33"/>
    <x v="284"/>
    <x v="2"/>
    <n v="3"/>
    <n v="45000"/>
    <n v="127281"/>
    <n v="22911"/>
  </r>
  <r>
    <x v="2"/>
    <s v="Dakar"/>
    <s v="Afrique de l'Ouest"/>
    <x v="147"/>
    <x v="137"/>
    <x v="3"/>
    <n v="2"/>
    <n v="55000"/>
    <n v="105584"/>
    <n v="23228"/>
  </r>
  <r>
    <x v="2"/>
    <s v="Nairobi"/>
    <s v="Afrique de l'Est"/>
    <x v="130"/>
    <x v="172"/>
    <x v="4"/>
    <n v="4"/>
    <n v="15000"/>
    <n v="58963"/>
    <n v="5896"/>
  </r>
  <r>
    <x v="4"/>
    <s v="Abidjan"/>
    <s v="Afrique de l'Ouest"/>
    <x v="165"/>
    <x v="192"/>
    <x v="3"/>
    <n v="1"/>
    <n v="55000"/>
    <n v="57157"/>
    <n v="12575"/>
  </r>
  <r>
    <x v="0"/>
    <s v="Douala"/>
    <s v="Afrique Centrale"/>
    <x v="63"/>
    <x v="340"/>
    <x v="1"/>
    <n v="7"/>
    <n v="12500"/>
    <n v="78777"/>
    <n v="6302"/>
  </r>
  <r>
    <x v="0"/>
    <s v="Ouagadougou"/>
    <s v="Afrique de l'Ouest"/>
    <x v="132"/>
    <x v="135"/>
    <x v="0"/>
    <n v="9"/>
    <n v="18500"/>
    <n v="152453"/>
    <n v="18294"/>
  </r>
  <r>
    <x v="0"/>
    <s v="Bamako"/>
    <s v="Afrique de l'Ouest"/>
    <x v="138"/>
    <x v="153"/>
    <x v="0"/>
    <n v="9"/>
    <n v="18500"/>
    <n v="157527"/>
    <n v="18903"/>
  </r>
  <r>
    <x v="1"/>
    <s v="Kinshasa"/>
    <s v="Afrique Centrale"/>
    <x v="21"/>
    <x v="264"/>
    <x v="4"/>
    <n v="1"/>
    <n v="15000"/>
    <n v="14576"/>
    <n v="1458"/>
  </r>
  <r>
    <x v="4"/>
    <s v="Abidjan"/>
    <s v="Afrique de l'Ouest"/>
    <x v="22"/>
    <x v="310"/>
    <x v="1"/>
    <n v="3"/>
    <n v="12500"/>
    <n v="40012"/>
    <n v="3201"/>
  </r>
  <r>
    <x v="0"/>
    <s v="Nairobi"/>
    <s v="Afrique de l'Est"/>
    <x v="143"/>
    <x v="44"/>
    <x v="1"/>
    <n v="9"/>
    <n v="12500"/>
    <n v="112242"/>
    <n v="8979"/>
  </r>
  <r>
    <x v="3"/>
    <s v="Douala"/>
    <s v="Afrique Centrale"/>
    <x v="34"/>
    <x v="309"/>
    <x v="1"/>
    <n v="4"/>
    <n v="12500"/>
    <n v="52673"/>
    <n v="4214"/>
  </r>
  <r>
    <x v="2"/>
    <s v="Bamako"/>
    <s v="Afrique de l'Ouest"/>
    <x v="166"/>
    <x v="112"/>
    <x v="1"/>
    <n v="5"/>
    <n v="12500"/>
    <n v="65073"/>
    <n v="5206"/>
  </r>
  <r>
    <x v="1"/>
    <s v="Yaoundé"/>
    <s v="Afrique Centrale"/>
    <x v="181"/>
    <x v="137"/>
    <x v="2"/>
    <n v="3"/>
    <n v="45000"/>
    <n v="145619"/>
    <n v="26211"/>
  </r>
  <r>
    <x v="3"/>
    <s v="Addis-Abeba"/>
    <s v="Afrique de l'Est"/>
    <x v="127"/>
    <x v="282"/>
    <x v="1"/>
    <n v="6"/>
    <n v="12500"/>
    <n v="73709"/>
    <n v="5897"/>
  </r>
  <r>
    <x v="0"/>
    <s v="Lagos"/>
    <s v="Afrique de l'Ouest"/>
    <x v="222"/>
    <x v="340"/>
    <x v="4"/>
    <n v="6"/>
    <n v="15000"/>
    <n v="89173"/>
    <n v="8917"/>
  </r>
  <r>
    <x v="3"/>
    <s v="Nairobi"/>
    <s v="Afrique de l'Est"/>
    <x v="214"/>
    <x v="266"/>
    <x v="4"/>
    <n v="4"/>
    <n v="15000"/>
    <n v="58295"/>
    <n v="5830"/>
  </r>
  <r>
    <x v="3"/>
    <s v="Accra"/>
    <s v="Afrique de l'Ouest"/>
    <x v="57"/>
    <x v="38"/>
    <x v="4"/>
    <n v="5"/>
    <n v="15000"/>
    <n v="75255"/>
    <n v="7526"/>
  </r>
  <r>
    <x v="0"/>
    <s v="Lagos"/>
    <s v="Afrique de l'Ouest"/>
    <x v="156"/>
    <x v="285"/>
    <x v="3"/>
    <n v="1"/>
    <n v="55000"/>
    <n v="51468"/>
    <n v="11323"/>
  </r>
  <r>
    <x v="0"/>
    <s v="Kampala"/>
    <s v="Afrique de l'Est"/>
    <x v="120"/>
    <x v="203"/>
    <x v="3"/>
    <n v="1"/>
    <n v="55000"/>
    <n v="50731"/>
    <n v="11161"/>
  </r>
  <r>
    <x v="2"/>
    <s v="Accra"/>
    <s v="Afrique de l'Ouest"/>
    <x v="39"/>
    <x v="303"/>
    <x v="2"/>
    <n v="2"/>
    <n v="45000"/>
    <n v="93345"/>
    <n v="16802"/>
  </r>
  <r>
    <x v="1"/>
    <s v="Abidjan"/>
    <s v="Afrique de l'Ouest"/>
    <x v="21"/>
    <x v="1"/>
    <x v="1"/>
    <n v="7"/>
    <n v="12500"/>
    <n v="93105"/>
    <n v="7448"/>
  </r>
  <r>
    <x v="0"/>
    <s v="Dar es Salaam"/>
    <s v="Afrique de l'Est"/>
    <x v="102"/>
    <x v="226"/>
    <x v="3"/>
    <n v="9"/>
    <n v="55000"/>
    <n v="519105"/>
    <n v="114203"/>
  </r>
  <r>
    <x v="3"/>
    <s v="Addis-Abeba"/>
    <s v="Afrique de l'Est"/>
    <x v="82"/>
    <x v="145"/>
    <x v="4"/>
    <n v="4"/>
    <n v="15000"/>
    <n v="60758"/>
    <n v="6076"/>
  </r>
  <r>
    <x v="0"/>
    <s v="Dakar"/>
    <s v="Afrique de l'Ouest"/>
    <x v="153"/>
    <x v="81"/>
    <x v="4"/>
    <n v="5"/>
    <n v="15000"/>
    <n v="67888"/>
    <n v="6789"/>
  </r>
  <r>
    <x v="0"/>
    <s v="Abidjan"/>
    <s v="Afrique de l'Ouest"/>
    <x v="127"/>
    <x v="260"/>
    <x v="4"/>
    <n v="4"/>
    <n v="15000"/>
    <n v="61496"/>
    <n v="6150"/>
  </r>
  <r>
    <x v="4"/>
    <s v="Kampala"/>
    <s v="Afrique de l'Est"/>
    <x v="123"/>
    <x v="252"/>
    <x v="2"/>
    <n v="1"/>
    <n v="45000"/>
    <n v="41829"/>
    <n v="7529"/>
  </r>
  <r>
    <x v="3"/>
    <s v="Lagos"/>
    <s v="Afrique de l'Ouest"/>
    <x v="173"/>
    <x v="181"/>
    <x v="1"/>
    <n v="3"/>
    <n v="12500"/>
    <n v="37093"/>
    <n v="2967"/>
  </r>
  <r>
    <x v="0"/>
    <s v="Lagos"/>
    <s v="Afrique de l'Ouest"/>
    <x v="29"/>
    <x v="191"/>
    <x v="1"/>
    <n v="7"/>
    <n v="12500"/>
    <n v="89847"/>
    <n v="7188"/>
  </r>
  <r>
    <x v="1"/>
    <s v="Accra"/>
    <s v="Afrique de l'Ouest"/>
    <x v="200"/>
    <x v="318"/>
    <x v="3"/>
    <n v="6"/>
    <n v="55000"/>
    <n v="362733"/>
    <n v="79801"/>
  </r>
  <r>
    <x v="2"/>
    <s v="Accra"/>
    <s v="Afrique de l'Ouest"/>
    <x v="193"/>
    <x v="318"/>
    <x v="0"/>
    <n v="7"/>
    <n v="18500"/>
    <n v="138729"/>
    <n v="16647"/>
  </r>
  <r>
    <x v="1"/>
    <s v="Ouagadougou"/>
    <s v="Afrique de l'Ouest"/>
    <x v="87"/>
    <x v="96"/>
    <x v="3"/>
    <n v="2"/>
    <n v="55000"/>
    <n v="112581"/>
    <n v="24768"/>
  </r>
  <r>
    <x v="2"/>
    <s v="Ouagadougou"/>
    <s v="Afrique de l'Ouest"/>
    <x v="154"/>
    <x v="210"/>
    <x v="4"/>
    <n v="5"/>
    <n v="15000"/>
    <n v="78509"/>
    <n v="7851"/>
  </r>
  <r>
    <x v="0"/>
    <s v="Kampala"/>
    <s v="Afrique de l'Est"/>
    <x v="31"/>
    <x v="206"/>
    <x v="1"/>
    <n v="3"/>
    <n v="12500"/>
    <n v="40749"/>
    <n v="3260"/>
  </r>
  <r>
    <x v="1"/>
    <s v="Yaoundé"/>
    <s v="Afrique Centrale"/>
    <x v="206"/>
    <x v="128"/>
    <x v="2"/>
    <n v="2"/>
    <n v="45000"/>
    <n v="98255"/>
    <n v="17686"/>
  </r>
  <r>
    <x v="3"/>
    <s v="Kinshasa"/>
    <s v="Afrique Centrale"/>
    <x v="196"/>
    <x v="125"/>
    <x v="3"/>
    <n v="3"/>
    <n v="55000"/>
    <n v="164846"/>
    <n v="36266"/>
  </r>
  <r>
    <x v="0"/>
    <s v="Cotonou"/>
    <s v="Afrique de l'Ouest"/>
    <x v="212"/>
    <x v="189"/>
    <x v="1"/>
    <n v="10"/>
    <n v="12500"/>
    <n v="137251"/>
    <n v="10980"/>
  </r>
  <r>
    <x v="0"/>
    <s v="Kinshasa"/>
    <s v="Afrique Centrale"/>
    <x v="57"/>
    <x v="341"/>
    <x v="1"/>
    <n v="2"/>
    <n v="12500"/>
    <n v="26158"/>
    <n v="2093"/>
  </r>
  <r>
    <x v="2"/>
    <s v="Nairobi"/>
    <s v="Afrique de l'Est"/>
    <x v="75"/>
    <x v="114"/>
    <x v="0"/>
    <n v="6"/>
    <n v="18500"/>
    <n v="116663"/>
    <n v="14000"/>
  </r>
  <r>
    <x v="1"/>
    <s v="Dar es Salaam"/>
    <s v="Afrique de l'Est"/>
    <x v="76"/>
    <x v="205"/>
    <x v="1"/>
    <n v="10"/>
    <n v="12500"/>
    <n v="128282"/>
    <n v="10263"/>
  </r>
  <r>
    <x v="0"/>
    <s v="Yaoundé"/>
    <s v="Afrique Centrale"/>
    <x v="223"/>
    <x v="171"/>
    <x v="3"/>
    <n v="4"/>
    <n v="55000"/>
    <n v="220492"/>
    <n v="48508"/>
  </r>
  <r>
    <x v="4"/>
    <s v="Yaoundé"/>
    <s v="Afrique Centrale"/>
    <x v="91"/>
    <x v="166"/>
    <x v="4"/>
    <n v="7"/>
    <n v="15000"/>
    <n v="106279"/>
    <n v="10628"/>
  </r>
  <r>
    <x v="4"/>
    <s v="Dar es Salaam"/>
    <s v="Afrique de l'Est"/>
    <x v="56"/>
    <x v="120"/>
    <x v="2"/>
    <n v="2"/>
    <n v="45000"/>
    <n v="87079"/>
    <n v="15674"/>
  </r>
  <r>
    <x v="2"/>
    <s v="Ouagadougou"/>
    <s v="Afrique de l'Ouest"/>
    <x v="171"/>
    <x v="139"/>
    <x v="0"/>
    <n v="6"/>
    <n v="18500"/>
    <n v="119937"/>
    <n v="14392"/>
  </r>
  <r>
    <x v="0"/>
    <s v="Nairobi"/>
    <s v="Afrique de l'Est"/>
    <x v="182"/>
    <x v="103"/>
    <x v="2"/>
    <n v="2"/>
    <n v="45000"/>
    <n v="92849"/>
    <n v="16713"/>
  </r>
  <r>
    <x v="1"/>
    <s v="Douala"/>
    <s v="Afrique Centrale"/>
    <x v="69"/>
    <x v="250"/>
    <x v="0"/>
    <n v="1"/>
    <n v="18500"/>
    <n v="18117"/>
    <n v="2174"/>
  </r>
  <r>
    <x v="2"/>
    <s v="Kampala"/>
    <s v="Afrique de l'Est"/>
    <x v="102"/>
    <x v="296"/>
    <x v="4"/>
    <n v="3"/>
    <n v="15000"/>
    <n v="49083"/>
    <n v="4908"/>
  </r>
  <r>
    <x v="2"/>
    <s v="Ouagadougou"/>
    <s v="Afrique de l'Ouest"/>
    <x v="27"/>
    <x v="138"/>
    <x v="3"/>
    <n v="3"/>
    <n v="55000"/>
    <n v="152032"/>
    <n v="33447"/>
  </r>
  <r>
    <x v="2"/>
    <s v="Nairobi"/>
    <s v="Afrique de l'Est"/>
    <x v="55"/>
    <x v="241"/>
    <x v="4"/>
    <n v="5"/>
    <n v="15000"/>
    <n v="68861"/>
    <n v="6886"/>
  </r>
  <r>
    <x v="3"/>
    <s v="Bamako"/>
    <s v="Afrique de l'Ouest"/>
    <x v="201"/>
    <x v="293"/>
    <x v="1"/>
    <n v="7"/>
    <n v="12500"/>
    <n v="93807"/>
    <n v="7505"/>
  </r>
  <r>
    <x v="0"/>
    <s v="Abidjan"/>
    <s v="Afrique de l'Ouest"/>
    <x v="134"/>
    <x v="242"/>
    <x v="2"/>
    <n v="4"/>
    <n v="45000"/>
    <n v="192527"/>
    <n v="34655"/>
  </r>
  <r>
    <x v="4"/>
    <s v="Kinshasa"/>
    <s v="Afrique Centrale"/>
    <x v="60"/>
    <x v="254"/>
    <x v="4"/>
    <n v="6"/>
    <n v="15000"/>
    <n v="93786"/>
    <n v="9379"/>
  </r>
  <r>
    <x v="3"/>
    <s v="Dakar"/>
    <s v="Afrique de l'Ouest"/>
    <x v="43"/>
    <x v="85"/>
    <x v="1"/>
    <n v="10"/>
    <n v="12500"/>
    <n v="118034"/>
    <n v="9443"/>
  </r>
  <r>
    <x v="1"/>
    <s v="Douala"/>
    <s v="Afrique Centrale"/>
    <x v="202"/>
    <x v="243"/>
    <x v="0"/>
    <n v="8"/>
    <n v="18500"/>
    <n v="140832"/>
    <n v="16900"/>
  </r>
  <r>
    <x v="1"/>
    <s v="Lomé"/>
    <s v="Afrique de l'Ouest"/>
    <x v="74"/>
    <x v="236"/>
    <x v="3"/>
    <n v="6"/>
    <n v="55000"/>
    <n v="359530"/>
    <n v="79097"/>
  </r>
  <r>
    <x v="1"/>
    <s v="Lomé"/>
    <s v="Afrique de l'Ouest"/>
    <x v="49"/>
    <x v="286"/>
    <x v="3"/>
    <n v="7"/>
    <n v="55000"/>
    <n v="406761"/>
    <n v="89487"/>
  </r>
  <r>
    <x v="1"/>
    <s v="Yaoundé"/>
    <s v="Afrique Centrale"/>
    <x v="46"/>
    <x v="342"/>
    <x v="4"/>
    <n v="3"/>
    <n v="15000"/>
    <n v="44269"/>
    <n v="4427"/>
  </r>
  <r>
    <x v="0"/>
    <s v="Addis-Abeba"/>
    <s v="Afrique de l'Est"/>
    <x v="32"/>
    <x v="178"/>
    <x v="1"/>
    <n v="2"/>
    <n v="12500"/>
    <n v="23611"/>
    <n v="1889"/>
  </r>
  <r>
    <x v="1"/>
    <s v="Lomé"/>
    <s v="Afrique de l'Ouest"/>
    <x v="86"/>
    <x v="339"/>
    <x v="2"/>
    <n v="4"/>
    <n v="45000"/>
    <n v="196515"/>
    <n v="35373"/>
  </r>
  <r>
    <x v="3"/>
    <s v="Accra"/>
    <s v="Afrique de l'Ouest"/>
    <x v="47"/>
    <x v="194"/>
    <x v="3"/>
    <n v="6"/>
    <n v="55000"/>
    <n v="352601"/>
    <n v="77572"/>
  </r>
  <r>
    <x v="0"/>
    <s v="Accra"/>
    <s v="Afrique de l'Ouest"/>
    <x v="156"/>
    <x v="245"/>
    <x v="4"/>
    <n v="5"/>
    <n v="15000"/>
    <n v="78323"/>
    <n v="7832"/>
  </r>
  <r>
    <x v="2"/>
    <s v="Accra"/>
    <s v="Afrique de l'Ouest"/>
    <x v="188"/>
    <x v="266"/>
    <x v="3"/>
    <n v="8"/>
    <n v="55000"/>
    <n v="444924"/>
    <n v="97883"/>
  </r>
  <r>
    <x v="2"/>
    <s v="Bamako"/>
    <s v="Afrique de l'Ouest"/>
    <x v="40"/>
    <x v="90"/>
    <x v="0"/>
    <n v="10"/>
    <n v="18500"/>
    <n v="188143"/>
    <n v="22577"/>
  </r>
  <r>
    <x v="0"/>
    <s v="Addis-Abeba"/>
    <s v="Afrique de l'Est"/>
    <x v="20"/>
    <x v="85"/>
    <x v="3"/>
    <n v="3"/>
    <n v="55000"/>
    <n v="173915"/>
    <n v="38261"/>
  </r>
  <r>
    <x v="2"/>
    <s v="Kinshasa"/>
    <s v="Afrique Centrale"/>
    <x v="41"/>
    <x v="343"/>
    <x v="1"/>
    <n v="7"/>
    <n v="12500"/>
    <n v="83510"/>
    <n v="6681"/>
  </r>
  <r>
    <x v="2"/>
    <s v="Kampala"/>
    <s v="Afrique de l'Est"/>
    <x v="205"/>
    <x v="120"/>
    <x v="2"/>
    <n v="7"/>
    <n v="45000"/>
    <n v="285260"/>
    <n v="51347"/>
  </r>
  <r>
    <x v="1"/>
    <s v="Yaoundé"/>
    <s v="Afrique Centrale"/>
    <x v="171"/>
    <x v="14"/>
    <x v="4"/>
    <n v="10"/>
    <n v="15000"/>
    <n v="150212"/>
    <n v="15021"/>
  </r>
  <r>
    <x v="4"/>
    <s v="Kinshasa"/>
    <s v="Afrique Centrale"/>
    <x v="42"/>
    <x v="57"/>
    <x v="4"/>
    <n v="8"/>
    <n v="15000"/>
    <n v="127409"/>
    <n v="12741"/>
  </r>
  <r>
    <x v="4"/>
    <s v="Lagos"/>
    <s v="Afrique de l'Ouest"/>
    <x v="97"/>
    <x v="199"/>
    <x v="2"/>
    <n v="2"/>
    <n v="45000"/>
    <n v="83751"/>
    <n v="15075"/>
  </r>
  <r>
    <x v="0"/>
    <s v="Yaoundé"/>
    <s v="Afrique Centrale"/>
    <x v="193"/>
    <x v="308"/>
    <x v="1"/>
    <n v="4"/>
    <n v="12500"/>
    <n v="54318"/>
    <n v="4345"/>
  </r>
  <r>
    <x v="3"/>
    <s v="Abidjan"/>
    <s v="Afrique de l'Ouest"/>
    <x v="221"/>
    <x v="187"/>
    <x v="0"/>
    <n v="2"/>
    <n v="18500"/>
    <n v="34674"/>
    <n v="4161"/>
  </r>
  <r>
    <x v="4"/>
    <s v="Kinshasa"/>
    <s v="Afrique Centrale"/>
    <x v="76"/>
    <x v="292"/>
    <x v="2"/>
    <n v="8"/>
    <n v="45000"/>
    <n v="369653"/>
    <n v="66538"/>
  </r>
  <r>
    <x v="1"/>
    <s v="Ouagadougou"/>
    <s v="Afrique de l'Ouest"/>
    <x v="201"/>
    <x v="78"/>
    <x v="4"/>
    <n v="10"/>
    <n v="15000"/>
    <n v="154126"/>
    <n v="15413"/>
  </r>
  <r>
    <x v="1"/>
    <s v="Addis-Abeba"/>
    <s v="Afrique de l'Est"/>
    <x v="155"/>
    <x v="342"/>
    <x v="3"/>
    <n v="10"/>
    <n v="55000"/>
    <n v="542892"/>
    <n v="119436"/>
  </r>
  <r>
    <x v="3"/>
    <s v="Dakar"/>
    <s v="Afrique de l'Ouest"/>
    <x v="51"/>
    <x v="332"/>
    <x v="3"/>
    <n v="1"/>
    <n v="55000"/>
    <n v="56281"/>
    <n v="12382"/>
  </r>
  <r>
    <x v="0"/>
    <s v="Dar es Salaam"/>
    <s v="Afrique de l'Est"/>
    <x v="63"/>
    <x v="173"/>
    <x v="2"/>
    <n v="5"/>
    <n v="45000"/>
    <n v="227399"/>
    <n v="40932"/>
  </r>
  <r>
    <x v="0"/>
    <s v="Douala"/>
    <s v="Afrique Centrale"/>
    <x v="162"/>
    <x v="26"/>
    <x v="3"/>
    <n v="6"/>
    <n v="55000"/>
    <n v="299668"/>
    <n v="65927"/>
  </r>
  <r>
    <x v="0"/>
    <s v="Kampala"/>
    <s v="Afrique de l'Est"/>
    <x v="10"/>
    <x v="110"/>
    <x v="4"/>
    <n v="3"/>
    <n v="15000"/>
    <n v="43357"/>
    <n v="4336"/>
  </r>
  <r>
    <x v="4"/>
    <s v="Yaoundé"/>
    <s v="Afrique Centrale"/>
    <x v="125"/>
    <x v="9"/>
    <x v="1"/>
    <n v="2"/>
    <n v="12500"/>
    <n v="22548"/>
    <n v="1804"/>
  </r>
  <r>
    <x v="0"/>
    <s v="Lagos"/>
    <s v="Afrique de l'Ouest"/>
    <x v="87"/>
    <x v="256"/>
    <x v="0"/>
    <n v="10"/>
    <n v="18500"/>
    <n v="182936"/>
    <n v="21952"/>
  </r>
  <r>
    <x v="4"/>
    <s v="Douala"/>
    <s v="Afrique Centrale"/>
    <x v="115"/>
    <x v="82"/>
    <x v="0"/>
    <n v="1"/>
    <n v="18500"/>
    <n v="18759"/>
    <n v="2251"/>
  </r>
  <r>
    <x v="2"/>
    <s v="Bamako"/>
    <s v="Afrique de l'Ouest"/>
    <x v="206"/>
    <x v="206"/>
    <x v="2"/>
    <n v="5"/>
    <n v="45000"/>
    <n v="221439"/>
    <n v="39859"/>
  </r>
  <r>
    <x v="1"/>
    <s v="Kampala"/>
    <s v="Afrique de l'Est"/>
    <x v="167"/>
    <x v="53"/>
    <x v="0"/>
    <n v="5"/>
    <n v="18500"/>
    <n v="95452"/>
    <n v="11454"/>
  </r>
  <r>
    <x v="1"/>
    <s v="Lagos"/>
    <s v="Afrique de l'Ouest"/>
    <x v="181"/>
    <x v="152"/>
    <x v="1"/>
    <n v="3"/>
    <n v="12500"/>
    <n v="39213"/>
    <n v="3137"/>
  </r>
  <r>
    <x v="3"/>
    <s v="Dakar"/>
    <s v="Afrique de l'Ouest"/>
    <x v="218"/>
    <x v="335"/>
    <x v="1"/>
    <n v="2"/>
    <n v="12500"/>
    <n v="25387"/>
    <n v="2031"/>
  </r>
  <r>
    <x v="1"/>
    <s v="Cotonou"/>
    <s v="Afrique de l'Ouest"/>
    <x v="95"/>
    <x v="283"/>
    <x v="0"/>
    <n v="4"/>
    <n v="18500"/>
    <n v="71184"/>
    <n v="8542"/>
  </r>
  <r>
    <x v="4"/>
    <s v="Bamako"/>
    <s v="Afrique de l'Ouest"/>
    <x v="7"/>
    <x v="75"/>
    <x v="2"/>
    <n v="2"/>
    <n v="45000"/>
    <n v="83837"/>
    <n v="15091"/>
  </r>
  <r>
    <x v="4"/>
    <s v="Kinshasa"/>
    <s v="Afrique Centrale"/>
    <x v="187"/>
    <x v="20"/>
    <x v="0"/>
    <n v="4"/>
    <n v="18500"/>
    <n v="69601"/>
    <n v="8352"/>
  </r>
  <r>
    <x v="2"/>
    <s v="Accra"/>
    <s v="Afrique de l'Ouest"/>
    <x v="193"/>
    <x v="259"/>
    <x v="2"/>
    <n v="8"/>
    <n v="45000"/>
    <n v="349571"/>
    <n v="62923"/>
  </r>
  <r>
    <x v="3"/>
    <s v="Lomé"/>
    <s v="Afrique de l'Ouest"/>
    <x v="117"/>
    <x v="272"/>
    <x v="2"/>
    <n v="3"/>
    <n v="45000"/>
    <n v="139838"/>
    <n v="25171"/>
  </r>
  <r>
    <x v="1"/>
    <s v="Cotonou"/>
    <s v="Afrique de l'Ouest"/>
    <x v="114"/>
    <x v="51"/>
    <x v="1"/>
    <n v="7"/>
    <n v="12500"/>
    <n v="85154"/>
    <n v="6812"/>
  </r>
  <r>
    <x v="4"/>
    <s v="Cotonou"/>
    <s v="Afrique de l'Ouest"/>
    <x v="217"/>
    <x v="188"/>
    <x v="3"/>
    <n v="5"/>
    <n v="55000"/>
    <n v="270765"/>
    <n v="59568"/>
  </r>
  <r>
    <x v="2"/>
    <s v="Douala"/>
    <s v="Afrique Centrale"/>
    <x v="20"/>
    <x v="36"/>
    <x v="0"/>
    <n v="8"/>
    <n v="18500"/>
    <n v="146897"/>
    <n v="17628"/>
  </r>
  <r>
    <x v="0"/>
    <s v="Abidjan"/>
    <s v="Afrique de l'Ouest"/>
    <x v="205"/>
    <x v="25"/>
    <x v="4"/>
    <n v="6"/>
    <n v="15000"/>
    <n v="95924"/>
    <n v="9592"/>
  </r>
  <r>
    <x v="4"/>
    <s v="Kinshasa"/>
    <s v="Afrique Centrale"/>
    <x v="151"/>
    <x v="215"/>
    <x v="3"/>
    <n v="3"/>
    <n v="55000"/>
    <n v="164613"/>
    <n v="36215"/>
  </r>
  <r>
    <x v="2"/>
    <s v="Nairobi"/>
    <s v="Afrique de l'Est"/>
    <x v="215"/>
    <x v="99"/>
    <x v="0"/>
    <n v="2"/>
    <n v="18500"/>
    <n v="35055"/>
    <n v="4207"/>
  </r>
  <r>
    <x v="2"/>
    <s v="Dar es Salaam"/>
    <s v="Afrique de l'Est"/>
    <x v="121"/>
    <x v="253"/>
    <x v="3"/>
    <n v="4"/>
    <n v="55000"/>
    <n v="224698"/>
    <n v="49434"/>
  </r>
  <r>
    <x v="3"/>
    <s v="Cotonou"/>
    <s v="Afrique de l'Ouest"/>
    <x v="143"/>
    <x v="162"/>
    <x v="3"/>
    <n v="5"/>
    <n v="55000"/>
    <n v="282758"/>
    <n v="62207"/>
  </r>
  <r>
    <x v="4"/>
    <s v="Kinshasa"/>
    <s v="Afrique Centrale"/>
    <x v="147"/>
    <x v="342"/>
    <x v="0"/>
    <n v="7"/>
    <n v="18500"/>
    <n v="117680"/>
    <n v="14122"/>
  </r>
  <r>
    <x v="4"/>
    <s v="Kampala"/>
    <s v="Afrique de l'Est"/>
    <x v="133"/>
    <x v="290"/>
    <x v="2"/>
    <n v="8"/>
    <n v="45000"/>
    <n v="336208"/>
    <n v="60517"/>
  </r>
  <r>
    <x v="0"/>
    <s v="Kampala"/>
    <s v="Afrique de l'Est"/>
    <x v="139"/>
    <x v="73"/>
    <x v="3"/>
    <n v="10"/>
    <n v="55000"/>
    <n v="595750"/>
    <n v="131065"/>
  </r>
  <r>
    <x v="0"/>
    <s v="Kinshasa"/>
    <s v="Afrique Centrale"/>
    <x v="111"/>
    <x v="344"/>
    <x v="0"/>
    <n v="10"/>
    <n v="18500"/>
    <n v="170035"/>
    <n v="20404"/>
  </r>
  <r>
    <x v="2"/>
    <s v="Kampala"/>
    <s v="Afrique de l'Est"/>
    <x v="107"/>
    <x v="100"/>
    <x v="1"/>
    <n v="8"/>
    <n v="12500"/>
    <n v="102383"/>
    <n v="8191"/>
  </r>
  <r>
    <x v="0"/>
    <s v="Nairobi"/>
    <s v="Afrique de l'Est"/>
    <x v="165"/>
    <x v="155"/>
    <x v="3"/>
    <n v="7"/>
    <n v="55000"/>
    <n v="365287"/>
    <n v="80363"/>
  </r>
  <r>
    <x v="4"/>
    <s v="Lagos"/>
    <s v="Afrique de l'Ouest"/>
    <x v="47"/>
    <x v="33"/>
    <x v="1"/>
    <n v="4"/>
    <n v="12500"/>
    <n v="45280"/>
    <n v="3622"/>
  </r>
  <r>
    <x v="3"/>
    <s v="Accra"/>
    <s v="Afrique de l'Ouest"/>
    <x v="103"/>
    <x v="107"/>
    <x v="1"/>
    <n v="1"/>
    <n v="12500"/>
    <n v="11550"/>
    <n v="924"/>
  </r>
  <r>
    <x v="3"/>
    <s v="Nairobi"/>
    <s v="Afrique de l'Est"/>
    <x v="12"/>
    <x v="182"/>
    <x v="0"/>
    <n v="3"/>
    <n v="18500"/>
    <n v="60748"/>
    <n v="7290"/>
  </r>
  <r>
    <x v="0"/>
    <s v="Kampala"/>
    <s v="Afrique de l'Est"/>
    <x v="149"/>
    <x v="332"/>
    <x v="0"/>
    <n v="9"/>
    <n v="18500"/>
    <n v="155745"/>
    <n v="18689"/>
  </r>
  <r>
    <x v="3"/>
    <s v="Lomé"/>
    <s v="Afrique de l'Ouest"/>
    <x v="18"/>
    <x v="101"/>
    <x v="0"/>
    <n v="5"/>
    <n v="18500"/>
    <n v="100934"/>
    <n v="12112"/>
  </r>
  <r>
    <x v="3"/>
    <s v="Dakar"/>
    <s v="Afrique de l'Ouest"/>
    <x v="144"/>
    <x v="218"/>
    <x v="3"/>
    <n v="1"/>
    <n v="55000"/>
    <n v="59686"/>
    <n v="13131"/>
  </r>
  <r>
    <x v="2"/>
    <s v="Yaoundé"/>
    <s v="Afrique Centrale"/>
    <x v="218"/>
    <x v="318"/>
    <x v="4"/>
    <n v="5"/>
    <n v="15000"/>
    <n v="78786"/>
    <n v="7879"/>
  </r>
  <r>
    <x v="3"/>
    <s v="Bamako"/>
    <s v="Afrique de l'Ouest"/>
    <x v="12"/>
    <x v="345"/>
    <x v="0"/>
    <n v="8"/>
    <n v="18500"/>
    <n v="133328"/>
    <n v="15999"/>
  </r>
  <r>
    <x v="1"/>
    <s v="Dakar"/>
    <s v="Afrique de l'Ouest"/>
    <x v="136"/>
    <x v="226"/>
    <x v="2"/>
    <n v="2"/>
    <n v="45000"/>
    <n v="90677"/>
    <n v="16322"/>
  </r>
  <r>
    <x v="0"/>
    <s v="Kinshasa"/>
    <s v="Afrique Centrale"/>
    <x v="172"/>
    <x v="331"/>
    <x v="1"/>
    <n v="1"/>
    <n v="12500"/>
    <n v="12823"/>
    <n v="1026"/>
  </r>
  <r>
    <x v="2"/>
    <s v="Douala"/>
    <s v="Afrique Centrale"/>
    <x v="186"/>
    <x v="132"/>
    <x v="0"/>
    <n v="8"/>
    <n v="18500"/>
    <n v="149247"/>
    <n v="17910"/>
  </r>
  <r>
    <x v="4"/>
    <s v="Bamako"/>
    <s v="Afrique de l'Ouest"/>
    <x v="223"/>
    <x v="346"/>
    <x v="2"/>
    <n v="5"/>
    <n v="45000"/>
    <n v="217460"/>
    <n v="39143"/>
  </r>
  <r>
    <x v="4"/>
    <s v="Ouagadougou"/>
    <s v="Afrique de l'Ouest"/>
    <x v="50"/>
    <x v="214"/>
    <x v="2"/>
    <n v="5"/>
    <n v="45000"/>
    <n v="245126"/>
    <n v="44123"/>
  </r>
  <r>
    <x v="4"/>
    <s v="Accra"/>
    <s v="Afrique de l'Ouest"/>
    <x v="92"/>
    <x v="109"/>
    <x v="2"/>
    <n v="3"/>
    <n v="45000"/>
    <n v="143016"/>
    <n v="25743"/>
  </r>
  <r>
    <x v="1"/>
    <s v="Lagos"/>
    <s v="Afrique de l'Ouest"/>
    <x v="115"/>
    <x v="347"/>
    <x v="1"/>
    <n v="2"/>
    <n v="12500"/>
    <n v="27470"/>
    <n v="2198"/>
  </r>
  <r>
    <x v="0"/>
    <s v="Dar es Salaam"/>
    <s v="Afrique de l'Est"/>
    <x v="182"/>
    <x v="281"/>
    <x v="0"/>
    <n v="8"/>
    <n v="18500"/>
    <n v="134528"/>
    <n v="16143"/>
  </r>
  <r>
    <x v="3"/>
    <s v="Addis-Abeba"/>
    <s v="Afrique de l'Est"/>
    <x v="40"/>
    <x v="322"/>
    <x v="1"/>
    <n v="6"/>
    <n v="12500"/>
    <n v="82001"/>
    <n v="6560"/>
  </r>
  <r>
    <x v="4"/>
    <s v="Bamako"/>
    <s v="Afrique de l'Ouest"/>
    <x v="139"/>
    <x v="130"/>
    <x v="1"/>
    <n v="6"/>
    <n v="12500"/>
    <n v="68752"/>
    <n v="5500"/>
  </r>
  <r>
    <x v="4"/>
    <s v="Lagos"/>
    <s v="Afrique de l'Ouest"/>
    <x v="122"/>
    <x v="121"/>
    <x v="0"/>
    <n v="8"/>
    <n v="18500"/>
    <n v="134493"/>
    <n v="16139"/>
  </r>
  <r>
    <x v="3"/>
    <s v="Ouagadougou"/>
    <s v="Afrique de l'Ouest"/>
    <x v="222"/>
    <x v="275"/>
    <x v="2"/>
    <n v="10"/>
    <n v="45000"/>
    <n v="492969"/>
    <n v="88734"/>
  </r>
  <r>
    <x v="0"/>
    <s v="Accra"/>
    <s v="Afrique de l'Ouest"/>
    <x v="84"/>
    <x v="53"/>
    <x v="0"/>
    <n v="8"/>
    <n v="18500"/>
    <n v="155019"/>
    <n v="18602"/>
  </r>
  <r>
    <x v="1"/>
    <s v="Dakar"/>
    <s v="Afrique de l'Ouest"/>
    <x v="81"/>
    <x v="224"/>
    <x v="3"/>
    <n v="9"/>
    <n v="55000"/>
    <n v="544058"/>
    <n v="119693"/>
  </r>
  <r>
    <x v="0"/>
    <s v="Dar es Salaam"/>
    <s v="Afrique de l'Est"/>
    <x v="50"/>
    <x v="222"/>
    <x v="0"/>
    <n v="8"/>
    <n v="18500"/>
    <n v="160220"/>
    <n v="19226"/>
  </r>
  <r>
    <x v="3"/>
    <s v="Dakar"/>
    <s v="Afrique de l'Ouest"/>
    <x v="101"/>
    <x v="87"/>
    <x v="3"/>
    <n v="4"/>
    <n v="55000"/>
    <n v="207188"/>
    <n v="45581"/>
  </r>
  <r>
    <x v="1"/>
    <s v="Kampala"/>
    <s v="Afrique de l'Est"/>
    <x v="52"/>
    <x v="246"/>
    <x v="0"/>
    <n v="2"/>
    <n v="18500"/>
    <n v="35917"/>
    <n v="4310"/>
  </r>
  <r>
    <x v="0"/>
    <s v="Cotonou"/>
    <s v="Afrique de l'Ouest"/>
    <x v="125"/>
    <x v="20"/>
    <x v="1"/>
    <n v="6"/>
    <n v="12500"/>
    <n v="79753"/>
    <n v="6380"/>
  </r>
  <r>
    <x v="2"/>
    <s v="Dakar"/>
    <s v="Afrique de l'Ouest"/>
    <x v="199"/>
    <x v="126"/>
    <x v="4"/>
    <n v="10"/>
    <n v="15000"/>
    <n v="143953"/>
    <n v="14395"/>
  </r>
  <r>
    <x v="0"/>
    <s v="Abidjan"/>
    <s v="Afrique de l'Ouest"/>
    <x v="24"/>
    <x v="96"/>
    <x v="2"/>
    <n v="2"/>
    <n v="45000"/>
    <n v="84935"/>
    <n v="15288"/>
  </r>
  <r>
    <x v="3"/>
    <s v="Bamako"/>
    <s v="Afrique de l'Ouest"/>
    <x v="109"/>
    <x v="151"/>
    <x v="0"/>
    <n v="9"/>
    <n v="18500"/>
    <n v="171808"/>
    <n v="20617"/>
  </r>
  <r>
    <x v="3"/>
    <s v="Dakar"/>
    <s v="Afrique de l'Ouest"/>
    <x v="202"/>
    <x v="196"/>
    <x v="4"/>
    <n v="10"/>
    <n v="15000"/>
    <n v="136778"/>
    <n v="13678"/>
  </r>
  <r>
    <x v="1"/>
    <s v="Nairobi"/>
    <s v="Afrique de l'Est"/>
    <x v="221"/>
    <x v="269"/>
    <x v="1"/>
    <n v="2"/>
    <n v="12500"/>
    <n v="25071"/>
    <n v="2006"/>
  </r>
  <r>
    <x v="3"/>
    <s v="Abidjan"/>
    <s v="Afrique de l'Ouest"/>
    <x v="133"/>
    <x v="197"/>
    <x v="0"/>
    <n v="4"/>
    <n v="18500"/>
    <n v="78551"/>
    <n v="9426"/>
  </r>
  <r>
    <x v="2"/>
    <s v="Lagos"/>
    <s v="Afrique de l'Ouest"/>
    <x v="67"/>
    <x v="103"/>
    <x v="3"/>
    <n v="6"/>
    <n v="55000"/>
    <n v="360582"/>
    <n v="79328"/>
  </r>
  <r>
    <x v="4"/>
    <s v="Dakar"/>
    <s v="Afrique de l'Ouest"/>
    <x v="105"/>
    <x v="347"/>
    <x v="3"/>
    <n v="7"/>
    <n v="55000"/>
    <n v="400867"/>
    <n v="88191"/>
  </r>
  <r>
    <x v="1"/>
    <s v="Ouagadougou"/>
    <s v="Afrique de l'Ouest"/>
    <x v="24"/>
    <x v="329"/>
    <x v="3"/>
    <n v="5"/>
    <n v="55000"/>
    <n v="257291"/>
    <n v="56604"/>
  </r>
  <r>
    <x v="3"/>
    <s v="Yaoundé"/>
    <s v="Afrique Centrale"/>
    <x v="179"/>
    <x v="171"/>
    <x v="0"/>
    <n v="2"/>
    <n v="18500"/>
    <n v="38294"/>
    <n v="4595"/>
  </r>
  <r>
    <x v="1"/>
    <s v="Dar es Salaam"/>
    <s v="Afrique de l'Est"/>
    <x v="123"/>
    <x v="80"/>
    <x v="3"/>
    <n v="6"/>
    <n v="55000"/>
    <n v="353107"/>
    <n v="77684"/>
  </r>
  <r>
    <x v="4"/>
    <s v="Lomé"/>
    <s v="Afrique de l'Ouest"/>
    <x v="202"/>
    <x v="81"/>
    <x v="2"/>
    <n v="7"/>
    <n v="45000"/>
    <n v="284227"/>
    <n v="51161"/>
  </r>
  <r>
    <x v="0"/>
    <s v="Ouagadougou"/>
    <s v="Afrique de l'Ouest"/>
    <x v="215"/>
    <x v="183"/>
    <x v="3"/>
    <n v="3"/>
    <n v="55000"/>
    <n v="178265"/>
    <n v="39218"/>
  </r>
  <r>
    <x v="0"/>
    <s v="Addis-Abeba"/>
    <s v="Afrique de l'Est"/>
    <x v="197"/>
    <x v="182"/>
    <x v="0"/>
    <n v="1"/>
    <n v="18500"/>
    <n v="18769"/>
    <n v="2252"/>
  </r>
  <r>
    <x v="3"/>
    <s v="Nairobi"/>
    <s v="Afrique de l'Est"/>
    <x v="45"/>
    <x v="341"/>
    <x v="4"/>
    <n v="5"/>
    <n v="15000"/>
    <n v="72296"/>
    <n v="7230"/>
  </r>
  <r>
    <x v="1"/>
    <s v="Bamako"/>
    <s v="Afrique de l'Ouest"/>
    <x v="133"/>
    <x v="52"/>
    <x v="3"/>
    <n v="3"/>
    <n v="55000"/>
    <n v="165765"/>
    <n v="36468"/>
  </r>
  <r>
    <x v="3"/>
    <s v="Abidjan"/>
    <s v="Afrique de l'Ouest"/>
    <x v="25"/>
    <x v="309"/>
    <x v="4"/>
    <n v="10"/>
    <n v="15000"/>
    <n v="152480"/>
    <n v="15248"/>
  </r>
  <r>
    <x v="0"/>
    <s v="Dakar"/>
    <s v="Afrique de l'Ouest"/>
    <x v="90"/>
    <x v="95"/>
    <x v="2"/>
    <n v="3"/>
    <n v="45000"/>
    <n v="128473"/>
    <n v="23125"/>
  </r>
  <r>
    <x v="0"/>
    <s v="Dar es Salaam"/>
    <s v="Afrique de l'Est"/>
    <x v="35"/>
    <x v="279"/>
    <x v="1"/>
    <n v="3"/>
    <n v="12500"/>
    <n v="34342"/>
    <n v="2747"/>
  </r>
  <r>
    <x v="0"/>
    <s v="Ouagadougou"/>
    <s v="Afrique de l'Ouest"/>
    <x v="115"/>
    <x v="10"/>
    <x v="2"/>
    <n v="2"/>
    <n v="45000"/>
    <n v="86483"/>
    <n v="15567"/>
  </r>
  <r>
    <x v="4"/>
    <s v="Bamako"/>
    <s v="Afrique de l'Ouest"/>
    <x v="131"/>
    <x v="117"/>
    <x v="4"/>
    <n v="9"/>
    <n v="15000"/>
    <n v="135376"/>
    <n v="13538"/>
  </r>
  <r>
    <x v="2"/>
    <s v="Accra"/>
    <s v="Afrique de l'Ouest"/>
    <x v="217"/>
    <x v="158"/>
    <x v="2"/>
    <n v="7"/>
    <n v="45000"/>
    <n v="324904"/>
    <n v="58483"/>
  </r>
  <r>
    <x v="1"/>
    <s v="Abidjan"/>
    <s v="Afrique de l'Ouest"/>
    <x v="194"/>
    <x v="119"/>
    <x v="3"/>
    <n v="10"/>
    <n v="55000"/>
    <n v="522497"/>
    <n v="114949"/>
  </r>
  <r>
    <x v="3"/>
    <s v="Abidjan"/>
    <s v="Afrique de l'Ouest"/>
    <x v="106"/>
    <x v="69"/>
    <x v="0"/>
    <n v="7"/>
    <n v="18500"/>
    <n v="136739"/>
    <n v="16409"/>
  </r>
  <r>
    <x v="2"/>
    <s v="Addis-Abeba"/>
    <s v="Afrique de l'Est"/>
    <x v="172"/>
    <x v="103"/>
    <x v="3"/>
    <n v="6"/>
    <n v="55000"/>
    <n v="328667"/>
    <n v="72307"/>
  </r>
  <r>
    <x v="0"/>
    <s v="Bamako"/>
    <s v="Afrique de l'Ouest"/>
    <x v="187"/>
    <x v="251"/>
    <x v="4"/>
    <n v="8"/>
    <n v="15000"/>
    <n v="120020"/>
    <n v="12002"/>
  </r>
  <r>
    <x v="1"/>
    <s v="Cotonou"/>
    <s v="Afrique de l'Ouest"/>
    <x v="108"/>
    <x v="154"/>
    <x v="3"/>
    <n v="8"/>
    <n v="55000"/>
    <n v="462608"/>
    <n v="101774"/>
  </r>
  <r>
    <x v="4"/>
    <s v="Dakar"/>
    <s v="Afrique de l'Ouest"/>
    <x v="104"/>
    <x v="31"/>
    <x v="4"/>
    <n v="2"/>
    <n v="15000"/>
    <n v="27127"/>
    <n v="2713"/>
  </r>
  <r>
    <x v="3"/>
    <s v="Lagos"/>
    <s v="Afrique de l'Ouest"/>
    <x v="120"/>
    <x v="117"/>
    <x v="4"/>
    <n v="5"/>
    <n v="15000"/>
    <n v="68870"/>
    <n v="6887"/>
  </r>
  <r>
    <x v="0"/>
    <s v="Nairobi"/>
    <s v="Afrique de l'Est"/>
    <x v="202"/>
    <x v="242"/>
    <x v="3"/>
    <n v="6"/>
    <n v="55000"/>
    <n v="342193"/>
    <n v="75282"/>
  </r>
  <r>
    <x v="4"/>
    <s v="Lagos"/>
    <s v="Afrique de l'Ouest"/>
    <x v="50"/>
    <x v="140"/>
    <x v="2"/>
    <n v="6"/>
    <n v="45000"/>
    <n v="281205"/>
    <n v="50617"/>
  </r>
  <r>
    <x v="3"/>
    <s v="Kinshasa"/>
    <s v="Afrique Centrale"/>
    <x v="122"/>
    <x v="7"/>
    <x v="1"/>
    <n v="8"/>
    <n v="12500"/>
    <n v="95439"/>
    <n v="7635"/>
  </r>
  <r>
    <x v="4"/>
    <s v="Cotonou"/>
    <s v="Afrique de l'Ouest"/>
    <x v="4"/>
    <x v="260"/>
    <x v="0"/>
    <n v="5"/>
    <n v="18500"/>
    <n v="94756"/>
    <n v="11371"/>
  </r>
  <r>
    <x v="4"/>
    <s v="Addis-Abeba"/>
    <s v="Afrique de l'Est"/>
    <x v="204"/>
    <x v="262"/>
    <x v="3"/>
    <n v="10"/>
    <n v="55000"/>
    <n v="564772"/>
    <n v="124250"/>
  </r>
  <r>
    <x v="4"/>
    <s v="Bamako"/>
    <s v="Afrique de l'Ouest"/>
    <x v="22"/>
    <x v="278"/>
    <x v="2"/>
    <n v="10"/>
    <n v="45000"/>
    <n v="462718"/>
    <n v="83289"/>
  </r>
  <r>
    <x v="0"/>
    <s v="Accra"/>
    <s v="Afrique de l'Ouest"/>
    <x v="69"/>
    <x v="317"/>
    <x v="0"/>
    <n v="1"/>
    <n v="18500"/>
    <n v="18979"/>
    <n v="2277"/>
  </r>
  <r>
    <x v="0"/>
    <s v="Kinshasa"/>
    <s v="Afrique Centrale"/>
    <x v="202"/>
    <x v="148"/>
    <x v="4"/>
    <n v="10"/>
    <n v="15000"/>
    <n v="140777"/>
    <n v="14078"/>
  </r>
  <r>
    <x v="4"/>
    <s v="Nairobi"/>
    <s v="Afrique de l'Est"/>
    <x v="48"/>
    <x v="284"/>
    <x v="3"/>
    <n v="10"/>
    <n v="55000"/>
    <n v="551481"/>
    <n v="121326"/>
  </r>
  <r>
    <x v="2"/>
    <s v="Kinshasa"/>
    <s v="Afrique Centrale"/>
    <x v="74"/>
    <x v="122"/>
    <x v="3"/>
    <n v="4"/>
    <n v="55000"/>
    <n v="208664"/>
    <n v="45906"/>
  </r>
  <r>
    <x v="4"/>
    <s v="Dakar"/>
    <s v="Afrique de l'Ouest"/>
    <x v="203"/>
    <x v="81"/>
    <x v="0"/>
    <n v="6"/>
    <n v="18500"/>
    <n v="114449"/>
    <n v="13734"/>
  </r>
  <r>
    <x v="1"/>
    <s v="Lomé"/>
    <s v="Afrique de l'Ouest"/>
    <x v="93"/>
    <x v="237"/>
    <x v="1"/>
    <n v="8"/>
    <n v="12500"/>
    <n v="102008"/>
    <n v="8161"/>
  </r>
  <r>
    <x v="2"/>
    <s v="Lagos"/>
    <s v="Afrique de l'Ouest"/>
    <x v="115"/>
    <x v="348"/>
    <x v="1"/>
    <n v="6"/>
    <n v="12500"/>
    <n v="74913"/>
    <n v="5993"/>
  </r>
  <r>
    <x v="2"/>
    <s v="Kampala"/>
    <s v="Afrique de l'Est"/>
    <x v="169"/>
    <x v="17"/>
    <x v="1"/>
    <n v="5"/>
    <n v="12500"/>
    <n v="62337"/>
    <n v="4987"/>
  </r>
  <r>
    <x v="4"/>
    <s v="Kinshasa"/>
    <s v="Afrique Centrale"/>
    <x v="30"/>
    <x v="294"/>
    <x v="2"/>
    <n v="6"/>
    <n v="45000"/>
    <n v="276202"/>
    <n v="49716"/>
  </r>
  <r>
    <x v="1"/>
    <s v="Abidjan"/>
    <s v="Afrique de l'Ouest"/>
    <x v="20"/>
    <x v="111"/>
    <x v="0"/>
    <n v="10"/>
    <n v="18500"/>
    <n v="200488"/>
    <n v="24059"/>
  </r>
  <r>
    <x v="0"/>
    <s v="Kinshasa"/>
    <s v="Afrique Centrale"/>
    <x v="142"/>
    <x v="83"/>
    <x v="1"/>
    <n v="3"/>
    <n v="12500"/>
    <n v="35709"/>
    <n v="2857"/>
  </r>
  <r>
    <x v="2"/>
    <s v="Ouagadougou"/>
    <s v="Afrique de l'Ouest"/>
    <x v="69"/>
    <x v="17"/>
    <x v="2"/>
    <n v="5"/>
    <n v="45000"/>
    <n v="240375"/>
    <n v="43268"/>
  </r>
  <r>
    <x v="4"/>
    <s v="Douala"/>
    <s v="Afrique Centrale"/>
    <x v="190"/>
    <x v="197"/>
    <x v="4"/>
    <n v="5"/>
    <n v="15000"/>
    <n v="69441"/>
    <n v="6944"/>
  </r>
  <r>
    <x v="3"/>
    <s v="Kampala"/>
    <s v="Afrique de l'Est"/>
    <x v="20"/>
    <x v="120"/>
    <x v="1"/>
    <n v="3"/>
    <n v="12500"/>
    <n v="40055"/>
    <n v="3204"/>
  </r>
  <r>
    <x v="1"/>
    <s v="Ouagadougou"/>
    <s v="Afrique de l'Ouest"/>
    <x v="39"/>
    <x v="335"/>
    <x v="4"/>
    <n v="1"/>
    <n v="15000"/>
    <n v="14671"/>
    <n v="1467"/>
  </r>
  <r>
    <x v="3"/>
    <s v="Lomé"/>
    <s v="Afrique de l'Ouest"/>
    <x v="196"/>
    <x v="54"/>
    <x v="1"/>
    <n v="1"/>
    <n v="12500"/>
    <n v="11957"/>
    <n v="957"/>
  </r>
  <r>
    <x v="2"/>
    <s v="Lagos"/>
    <s v="Afrique de l'Ouest"/>
    <x v="108"/>
    <x v="114"/>
    <x v="1"/>
    <n v="1"/>
    <n v="12500"/>
    <n v="13138"/>
    <n v="1051"/>
  </r>
  <r>
    <x v="4"/>
    <s v="Nairobi"/>
    <s v="Afrique de l'Est"/>
    <x v="29"/>
    <x v="12"/>
    <x v="0"/>
    <n v="3"/>
    <n v="18500"/>
    <n v="51893"/>
    <n v="6227"/>
  </r>
  <r>
    <x v="3"/>
    <s v="Yaoundé"/>
    <s v="Afrique Centrale"/>
    <x v="178"/>
    <x v="142"/>
    <x v="2"/>
    <n v="9"/>
    <n v="45000"/>
    <n v="438951"/>
    <n v="79011"/>
  </r>
  <r>
    <x v="1"/>
    <s v="Dar es Salaam"/>
    <s v="Afrique de l'Est"/>
    <x v="46"/>
    <x v="349"/>
    <x v="1"/>
    <n v="9"/>
    <n v="12500"/>
    <n v="113307"/>
    <n v="9065"/>
  </r>
  <r>
    <x v="3"/>
    <s v="Bamako"/>
    <s v="Afrique de l'Ouest"/>
    <x v="38"/>
    <x v="1"/>
    <x v="2"/>
    <n v="4"/>
    <n v="45000"/>
    <n v="172515"/>
    <n v="31053"/>
  </r>
  <r>
    <x v="3"/>
    <s v="Yaoundé"/>
    <s v="Afrique Centrale"/>
    <x v="73"/>
    <x v="192"/>
    <x v="4"/>
    <n v="8"/>
    <n v="15000"/>
    <n v="131696"/>
    <n v="13170"/>
  </r>
  <r>
    <x v="4"/>
    <s v="Yaoundé"/>
    <s v="Afrique Centrale"/>
    <x v="203"/>
    <x v="85"/>
    <x v="4"/>
    <n v="4"/>
    <n v="15000"/>
    <n v="55033"/>
    <n v="5503"/>
  </r>
  <r>
    <x v="0"/>
    <s v="Accra"/>
    <s v="Afrique de l'Ouest"/>
    <x v="200"/>
    <x v="85"/>
    <x v="1"/>
    <n v="7"/>
    <n v="12500"/>
    <n v="94332"/>
    <n v="7547"/>
  </r>
  <r>
    <x v="1"/>
    <s v="Cotonou"/>
    <s v="Afrique de l'Ouest"/>
    <x v="44"/>
    <x v="190"/>
    <x v="2"/>
    <n v="4"/>
    <n v="45000"/>
    <n v="186744"/>
    <n v="33614"/>
  </r>
  <r>
    <x v="1"/>
    <s v="Yaoundé"/>
    <s v="Afrique Centrale"/>
    <x v="68"/>
    <x v="142"/>
    <x v="2"/>
    <n v="1"/>
    <n v="45000"/>
    <n v="43700"/>
    <n v="7866"/>
  </r>
  <r>
    <x v="0"/>
    <s v="Ouagadougou"/>
    <s v="Afrique de l'Ouest"/>
    <x v="118"/>
    <x v="112"/>
    <x v="0"/>
    <n v="5"/>
    <n v="18500"/>
    <n v="84232"/>
    <n v="10108"/>
  </r>
  <r>
    <x v="0"/>
    <s v="Yaoundé"/>
    <s v="Afrique Centrale"/>
    <x v="56"/>
    <x v="107"/>
    <x v="2"/>
    <n v="1"/>
    <n v="45000"/>
    <n v="42713"/>
    <n v="7688"/>
  </r>
  <r>
    <x v="2"/>
    <s v="Yaoundé"/>
    <s v="Afrique Centrale"/>
    <x v="217"/>
    <x v="107"/>
    <x v="2"/>
    <n v="6"/>
    <n v="45000"/>
    <n v="270400"/>
    <n v="48672"/>
  </r>
  <r>
    <x v="4"/>
    <s v="Accra"/>
    <s v="Afrique de l'Ouest"/>
    <x v="190"/>
    <x v="31"/>
    <x v="2"/>
    <n v="2"/>
    <n v="45000"/>
    <n v="97058"/>
    <n v="17470"/>
  </r>
  <r>
    <x v="3"/>
    <s v="Dakar"/>
    <s v="Afrique de l'Ouest"/>
    <x v="148"/>
    <x v="37"/>
    <x v="3"/>
    <n v="2"/>
    <n v="55000"/>
    <n v="101240"/>
    <n v="22273"/>
  </r>
  <r>
    <x v="4"/>
    <s v="Bamako"/>
    <s v="Afrique de l'Ouest"/>
    <x v="180"/>
    <x v="8"/>
    <x v="4"/>
    <n v="2"/>
    <n v="15000"/>
    <n v="29433"/>
    <n v="2943"/>
  </r>
  <r>
    <x v="2"/>
    <s v="Douala"/>
    <s v="Afrique Centrale"/>
    <x v="106"/>
    <x v="288"/>
    <x v="0"/>
    <n v="8"/>
    <n v="18500"/>
    <n v="160444"/>
    <n v="19253"/>
  </r>
  <r>
    <x v="4"/>
    <s v="Kinshasa"/>
    <s v="Afrique Centrale"/>
    <x v="128"/>
    <x v="123"/>
    <x v="2"/>
    <n v="1"/>
    <n v="45000"/>
    <n v="41342"/>
    <n v="7442"/>
  </r>
  <r>
    <x v="3"/>
    <s v="Kinshasa"/>
    <s v="Afrique Centrale"/>
    <x v="9"/>
    <x v="134"/>
    <x v="3"/>
    <n v="9"/>
    <n v="55000"/>
    <n v="484538"/>
    <n v="106598"/>
  </r>
  <r>
    <x v="0"/>
    <s v="Yaoundé"/>
    <s v="Afrique Centrale"/>
    <x v="71"/>
    <x v="123"/>
    <x v="2"/>
    <n v="1"/>
    <n v="45000"/>
    <n v="47379"/>
    <n v="8528"/>
  </r>
  <r>
    <x v="3"/>
    <s v="Abidjan"/>
    <s v="Afrique de l'Ouest"/>
    <x v="6"/>
    <x v="330"/>
    <x v="1"/>
    <n v="5"/>
    <n v="12500"/>
    <n v="63603"/>
    <n v="5088"/>
  </r>
  <r>
    <x v="4"/>
    <s v="Lagos"/>
    <s v="Afrique de l'Ouest"/>
    <x v="93"/>
    <x v="25"/>
    <x v="1"/>
    <n v="1"/>
    <n v="12500"/>
    <n v="12047"/>
    <n v="964"/>
  </r>
  <r>
    <x v="1"/>
    <s v="Bamako"/>
    <s v="Afrique de l'Ouest"/>
    <x v="114"/>
    <x v="283"/>
    <x v="4"/>
    <n v="5"/>
    <n v="15000"/>
    <n v="76303"/>
    <n v="7630"/>
  </r>
  <r>
    <x v="1"/>
    <s v="Accra"/>
    <s v="Afrique de l'Ouest"/>
    <x v="182"/>
    <x v="321"/>
    <x v="4"/>
    <n v="6"/>
    <n v="15000"/>
    <n v="94182"/>
    <n v="9418"/>
  </r>
  <r>
    <x v="0"/>
    <s v="Douala"/>
    <s v="Afrique Centrale"/>
    <x v="32"/>
    <x v="252"/>
    <x v="4"/>
    <n v="7"/>
    <n v="15000"/>
    <n v="98580"/>
    <n v="9858"/>
  </r>
  <r>
    <x v="0"/>
    <s v="Douala"/>
    <s v="Afrique Centrale"/>
    <x v="152"/>
    <x v="174"/>
    <x v="3"/>
    <n v="10"/>
    <n v="55000"/>
    <n v="508731"/>
    <n v="111921"/>
  </r>
  <r>
    <x v="4"/>
    <s v="Nairobi"/>
    <s v="Afrique de l'Est"/>
    <x v="145"/>
    <x v="170"/>
    <x v="4"/>
    <n v="6"/>
    <n v="15000"/>
    <n v="96529"/>
    <n v="9653"/>
  </r>
  <r>
    <x v="1"/>
    <s v="Nairobi"/>
    <s v="Afrique de l'Est"/>
    <x v="37"/>
    <x v="326"/>
    <x v="4"/>
    <n v="4"/>
    <n v="15000"/>
    <n v="59674"/>
    <n v="5967"/>
  </r>
  <r>
    <x v="1"/>
    <s v="Dakar"/>
    <s v="Afrique de l'Ouest"/>
    <x v="51"/>
    <x v="258"/>
    <x v="4"/>
    <n v="10"/>
    <n v="15000"/>
    <n v="150833"/>
    <n v="15083"/>
  </r>
  <r>
    <x v="0"/>
    <s v="Abidjan"/>
    <s v="Afrique de l'Ouest"/>
    <x v="146"/>
    <x v="239"/>
    <x v="2"/>
    <n v="10"/>
    <n v="45000"/>
    <n v="476646"/>
    <n v="85796"/>
  </r>
  <r>
    <x v="1"/>
    <s v="Abidjan"/>
    <s v="Afrique de l'Ouest"/>
    <x v="101"/>
    <x v="161"/>
    <x v="4"/>
    <n v="1"/>
    <n v="15000"/>
    <n v="16004"/>
    <n v="1600"/>
  </r>
  <r>
    <x v="3"/>
    <s v="Nairobi"/>
    <s v="Afrique de l'Est"/>
    <x v="115"/>
    <x v="68"/>
    <x v="3"/>
    <n v="1"/>
    <n v="55000"/>
    <n v="51443"/>
    <n v="11317"/>
  </r>
  <r>
    <x v="1"/>
    <s v="Bamako"/>
    <s v="Afrique de l'Ouest"/>
    <x v="5"/>
    <x v="279"/>
    <x v="3"/>
    <n v="4"/>
    <n v="55000"/>
    <n v="207985"/>
    <n v="45757"/>
  </r>
  <r>
    <x v="0"/>
    <s v="Yaoundé"/>
    <s v="Afrique Centrale"/>
    <x v="77"/>
    <x v="198"/>
    <x v="0"/>
    <n v="1"/>
    <n v="18500"/>
    <n v="19548"/>
    <n v="2346"/>
  </r>
  <r>
    <x v="0"/>
    <s v="Yaoundé"/>
    <s v="Afrique Centrale"/>
    <x v="205"/>
    <x v="52"/>
    <x v="4"/>
    <n v="5"/>
    <n v="15000"/>
    <n v="77799"/>
    <n v="7780"/>
  </r>
  <r>
    <x v="1"/>
    <s v="Douala"/>
    <s v="Afrique Centrale"/>
    <x v="26"/>
    <x v="258"/>
    <x v="1"/>
    <n v="10"/>
    <n v="12500"/>
    <n v="112808"/>
    <n v="9025"/>
  </r>
  <r>
    <x v="3"/>
    <s v="Addis-Abeba"/>
    <s v="Afrique de l'Est"/>
    <x v="127"/>
    <x v="25"/>
    <x v="3"/>
    <n v="10"/>
    <n v="55000"/>
    <n v="566011"/>
    <n v="124522"/>
  </r>
  <r>
    <x v="1"/>
    <s v="Addis-Abeba"/>
    <s v="Afrique de l'Est"/>
    <x v="178"/>
    <x v="288"/>
    <x v="4"/>
    <n v="7"/>
    <n v="15000"/>
    <n v="111423"/>
    <n v="11142"/>
  </r>
  <r>
    <x v="0"/>
    <s v="Addis-Abeba"/>
    <s v="Afrique de l'Est"/>
    <x v="163"/>
    <x v="337"/>
    <x v="4"/>
    <n v="8"/>
    <n v="15000"/>
    <n v="119045"/>
    <n v="11904"/>
  </r>
  <r>
    <x v="3"/>
    <s v="Yaoundé"/>
    <s v="Afrique Centrale"/>
    <x v="221"/>
    <x v="108"/>
    <x v="2"/>
    <n v="5"/>
    <n v="45000"/>
    <n v="233159"/>
    <n v="41969"/>
  </r>
  <r>
    <x v="1"/>
    <s v="Lagos"/>
    <s v="Afrique de l'Ouest"/>
    <x v="163"/>
    <x v="199"/>
    <x v="2"/>
    <n v="4"/>
    <n v="45000"/>
    <n v="179768"/>
    <n v="32358"/>
  </r>
  <r>
    <x v="1"/>
    <s v="Douala"/>
    <s v="Afrique Centrale"/>
    <x v="162"/>
    <x v="133"/>
    <x v="3"/>
    <n v="9"/>
    <n v="55000"/>
    <n v="507273"/>
    <n v="111600"/>
  </r>
  <r>
    <x v="0"/>
    <s v="Kampala"/>
    <s v="Afrique de l'Est"/>
    <x v="178"/>
    <x v="339"/>
    <x v="3"/>
    <n v="8"/>
    <n v="55000"/>
    <n v="473577"/>
    <n v="104187"/>
  </r>
  <r>
    <x v="1"/>
    <s v="Addis-Abeba"/>
    <s v="Afrique de l'Est"/>
    <x v="147"/>
    <x v="147"/>
    <x v="1"/>
    <n v="3"/>
    <n v="12500"/>
    <n v="35071"/>
    <n v="2806"/>
  </r>
  <r>
    <x v="1"/>
    <s v="Addis-Abeba"/>
    <s v="Afrique de l'Est"/>
    <x v="145"/>
    <x v="102"/>
    <x v="1"/>
    <n v="9"/>
    <n v="12500"/>
    <n v="111679"/>
    <n v="8934"/>
  </r>
  <r>
    <x v="3"/>
    <s v="Dar es Salaam"/>
    <s v="Afrique de l'Est"/>
    <x v="68"/>
    <x v="12"/>
    <x v="0"/>
    <n v="1"/>
    <n v="18500"/>
    <n v="17112"/>
    <n v="2053"/>
  </r>
  <r>
    <x v="3"/>
    <s v="Ouagadougou"/>
    <s v="Afrique de l'Ouest"/>
    <x v="194"/>
    <x v="12"/>
    <x v="0"/>
    <n v="5"/>
    <n v="18500"/>
    <n v="87012"/>
    <n v="10441"/>
  </r>
  <r>
    <x v="3"/>
    <s v="Lomé"/>
    <s v="Afrique de l'Ouest"/>
    <x v="153"/>
    <x v="227"/>
    <x v="3"/>
    <n v="7"/>
    <n v="55000"/>
    <n v="352679"/>
    <n v="77589"/>
  </r>
  <r>
    <x v="4"/>
    <s v="Accra"/>
    <s v="Afrique de l'Ouest"/>
    <x v="148"/>
    <x v="11"/>
    <x v="0"/>
    <n v="5"/>
    <n v="18500"/>
    <n v="99205"/>
    <n v="11905"/>
  </r>
  <r>
    <x v="1"/>
    <s v="Douala"/>
    <s v="Afrique Centrale"/>
    <x v="90"/>
    <x v="57"/>
    <x v="3"/>
    <n v="9"/>
    <n v="55000"/>
    <n v="508919"/>
    <n v="111962"/>
  </r>
  <r>
    <x v="0"/>
    <s v="Kampala"/>
    <s v="Afrique de l'Est"/>
    <x v="56"/>
    <x v="279"/>
    <x v="2"/>
    <n v="3"/>
    <n v="45000"/>
    <n v="145681"/>
    <n v="26223"/>
  </r>
  <r>
    <x v="2"/>
    <s v="Dar es Salaam"/>
    <s v="Afrique de l'Est"/>
    <x v="199"/>
    <x v="331"/>
    <x v="4"/>
    <n v="8"/>
    <n v="15000"/>
    <n v="113022"/>
    <n v="11302"/>
  </r>
  <r>
    <x v="3"/>
    <s v="Addis-Abeba"/>
    <s v="Afrique de l'Est"/>
    <x v="133"/>
    <x v="319"/>
    <x v="1"/>
    <n v="8"/>
    <n v="12500"/>
    <n v="100378"/>
    <n v="8030"/>
  </r>
  <r>
    <x v="0"/>
    <s v="Abidjan"/>
    <s v="Afrique de l'Ouest"/>
    <x v="135"/>
    <x v="344"/>
    <x v="3"/>
    <n v="9"/>
    <n v="55000"/>
    <n v="522658"/>
    <n v="114985"/>
  </r>
  <r>
    <x v="4"/>
    <s v="Abidjan"/>
    <s v="Afrique de l'Ouest"/>
    <x v="163"/>
    <x v="143"/>
    <x v="0"/>
    <n v="1"/>
    <n v="18500"/>
    <n v="18864"/>
    <n v="2264"/>
  </r>
  <r>
    <x v="3"/>
    <s v="Accra"/>
    <s v="Afrique de l'Ouest"/>
    <x v="149"/>
    <x v="339"/>
    <x v="2"/>
    <n v="7"/>
    <n v="45000"/>
    <n v="289735"/>
    <n v="52152"/>
  </r>
  <r>
    <x v="1"/>
    <s v="Kinshasa"/>
    <s v="Afrique Centrale"/>
    <x v="24"/>
    <x v="155"/>
    <x v="2"/>
    <n v="3"/>
    <n v="45000"/>
    <n v="137764"/>
    <n v="24798"/>
  </r>
  <r>
    <x v="3"/>
    <s v="Accra"/>
    <s v="Afrique de l'Ouest"/>
    <x v="159"/>
    <x v="279"/>
    <x v="1"/>
    <n v="4"/>
    <n v="12500"/>
    <n v="51554"/>
    <n v="4124"/>
  </r>
  <r>
    <x v="0"/>
    <s v="Douala"/>
    <s v="Afrique Centrale"/>
    <x v="100"/>
    <x v="3"/>
    <x v="3"/>
    <n v="2"/>
    <n v="55000"/>
    <n v="116704"/>
    <n v="25675"/>
  </r>
  <r>
    <x v="4"/>
    <s v="Yaoundé"/>
    <s v="Afrique Centrale"/>
    <x v="110"/>
    <x v="274"/>
    <x v="2"/>
    <n v="10"/>
    <n v="45000"/>
    <n v="474678"/>
    <n v="85442"/>
  </r>
  <r>
    <x v="2"/>
    <s v="Dakar"/>
    <s v="Afrique de l'Ouest"/>
    <x v="208"/>
    <x v="190"/>
    <x v="0"/>
    <n v="6"/>
    <n v="18500"/>
    <n v="103392"/>
    <n v="12407"/>
  </r>
  <r>
    <x v="2"/>
    <s v="Abidjan"/>
    <s v="Afrique de l'Ouest"/>
    <x v="32"/>
    <x v="204"/>
    <x v="2"/>
    <n v="10"/>
    <n v="45000"/>
    <n v="483025"/>
    <n v="86944"/>
  </r>
  <r>
    <x v="0"/>
    <s v="Kampala"/>
    <s v="Afrique de l'Est"/>
    <x v="110"/>
    <x v="80"/>
    <x v="2"/>
    <n v="4"/>
    <n v="45000"/>
    <n v="171885"/>
    <n v="30939"/>
  </r>
  <r>
    <x v="1"/>
    <s v="Ouagadougou"/>
    <s v="Afrique de l'Ouest"/>
    <x v="124"/>
    <x v="102"/>
    <x v="0"/>
    <n v="2"/>
    <n v="18500"/>
    <n v="37731"/>
    <n v="4528"/>
  </r>
  <r>
    <x v="1"/>
    <s v="Accra"/>
    <s v="Afrique de l'Ouest"/>
    <x v="58"/>
    <x v="333"/>
    <x v="2"/>
    <n v="8"/>
    <n v="45000"/>
    <n v="356774"/>
    <n v="64219"/>
  </r>
  <r>
    <x v="3"/>
    <s v="Abidjan"/>
    <s v="Afrique de l'Ouest"/>
    <x v="46"/>
    <x v="311"/>
    <x v="4"/>
    <n v="6"/>
    <n v="15000"/>
    <n v="91392"/>
    <n v="9139"/>
  </r>
  <r>
    <x v="0"/>
    <s v="Abidjan"/>
    <s v="Afrique de l'Ouest"/>
    <x v="102"/>
    <x v="48"/>
    <x v="1"/>
    <n v="10"/>
    <n v="12500"/>
    <n v="114663"/>
    <n v="9173"/>
  </r>
  <r>
    <x v="4"/>
    <s v="Kampala"/>
    <s v="Afrique de l'Est"/>
    <x v="50"/>
    <x v="7"/>
    <x v="3"/>
    <n v="4"/>
    <n v="55000"/>
    <n v="201814"/>
    <n v="44399"/>
  </r>
  <r>
    <x v="0"/>
    <s v="Bamako"/>
    <s v="Afrique de l'Ouest"/>
    <x v="73"/>
    <x v="267"/>
    <x v="4"/>
    <n v="1"/>
    <n v="15000"/>
    <n v="13944"/>
    <n v="1394"/>
  </r>
  <r>
    <x v="3"/>
    <s v="Yaoundé"/>
    <s v="Afrique Centrale"/>
    <x v="28"/>
    <x v="288"/>
    <x v="0"/>
    <n v="1"/>
    <n v="18500"/>
    <n v="18349"/>
    <n v="2202"/>
  </r>
  <r>
    <x v="3"/>
    <s v="Yaoundé"/>
    <s v="Afrique Centrale"/>
    <x v="1"/>
    <x v="181"/>
    <x v="0"/>
    <n v="8"/>
    <n v="18500"/>
    <n v="148807"/>
    <n v="17857"/>
  </r>
  <r>
    <x v="3"/>
    <s v="Kinshasa"/>
    <s v="Afrique Centrale"/>
    <x v="166"/>
    <x v="164"/>
    <x v="0"/>
    <n v="1"/>
    <n v="18500"/>
    <n v="19313"/>
    <n v="2318"/>
  </r>
  <r>
    <x v="3"/>
    <s v="Cotonou"/>
    <s v="Afrique de l'Ouest"/>
    <x v="185"/>
    <x v="119"/>
    <x v="0"/>
    <n v="3"/>
    <n v="18500"/>
    <n v="52977"/>
    <n v="6357"/>
  </r>
  <r>
    <x v="0"/>
    <s v="Nairobi"/>
    <s v="Afrique de l'Est"/>
    <x v="41"/>
    <x v="183"/>
    <x v="0"/>
    <n v="8"/>
    <n v="18500"/>
    <n v="152553"/>
    <n v="18306"/>
  </r>
  <r>
    <x v="0"/>
    <s v="Kampala"/>
    <s v="Afrique de l'Est"/>
    <x v="2"/>
    <x v="267"/>
    <x v="1"/>
    <n v="2"/>
    <n v="12500"/>
    <n v="27250"/>
    <n v="2180"/>
  </r>
  <r>
    <x v="2"/>
    <s v="Kinshasa"/>
    <s v="Afrique Centrale"/>
    <x v="107"/>
    <x v="232"/>
    <x v="3"/>
    <n v="9"/>
    <n v="55000"/>
    <n v="467799"/>
    <n v="102916"/>
  </r>
  <r>
    <x v="1"/>
    <s v="Kampala"/>
    <s v="Afrique de l'Est"/>
    <x v="209"/>
    <x v="73"/>
    <x v="3"/>
    <n v="10"/>
    <n v="55000"/>
    <n v="513776"/>
    <n v="113031"/>
  </r>
  <r>
    <x v="2"/>
    <s v="Douala"/>
    <s v="Afrique Centrale"/>
    <x v="180"/>
    <x v="294"/>
    <x v="2"/>
    <n v="8"/>
    <n v="45000"/>
    <n v="331452"/>
    <n v="59661"/>
  </r>
  <r>
    <x v="2"/>
    <s v="Bamako"/>
    <s v="Afrique de l'Ouest"/>
    <x v="157"/>
    <x v="14"/>
    <x v="1"/>
    <n v="7"/>
    <n v="12500"/>
    <n v="85930"/>
    <n v="6874"/>
  </r>
  <r>
    <x v="1"/>
    <s v="Ouagadougou"/>
    <s v="Afrique de l'Ouest"/>
    <x v="51"/>
    <x v="31"/>
    <x v="1"/>
    <n v="7"/>
    <n v="12500"/>
    <n v="90246"/>
    <n v="7220"/>
  </r>
  <r>
    <x v="4"/>
    <s v="Ouagadougou"/>
    <s v="Afrique de l'Ouest"/>
    <x v="99"/>
    <x v="34"/>
    <x v="4"/>
    <n v="1"/>
    <n v="15000"/>
    <n v="15770"/>
    <n v="1577"/>
  </r>
  <r>
    <x v="1"/>
    <s v="Abidjan"/>
    <s v="Afrique de l'Ouest"/>
    <x v="33"/>
    <x v="79"/>
    <x v="2"/>
    <n v="10"/>
    <n v="45000"/>
    <n v="431041"/>
    <n v="77587"/>
  </r>
  <r>
    <x v="0"/>
    <s v="Dakar"/>
    <s v="Afrique de l'Ouest"/>
    <x v="116"/>
    <x v="95"/>
    <x v="1"/>
    <n v="9"/>
    <n v="12500"/>
    <n v="117355"/>
    <n v="9388"/>
  </r>
  <r>
    <x v="0"/>
    <s v="Cotonou"/>
    <s v="Afrique de l'Ouest"/>
    <x v="203"/>
    <x v="31"/>
    <x v="3"/>
    <n v="5"/>
    <n v="55000"/>
    <n v="265258"/>
    <n v="58357"/>
  </r>
  <r>
    <x v="2"/>
    <s v="Accra"/>
    <s v="Afrique de l'Ouest"/>
    <x v="64"/>
    <x v="219"/>
    <x v="0"/>
    <n v="2"/>
    <n v="18500"/>
    <n v="38827"/>
    <n v="4659"/>
  </r>
  <r>
    <x v="2"/>
    <s v="Kinshasa"/>
    <s v="Afrique Centrale"/>
    <x v="0"/>
    <x v="140"/>
    <x v="3"/>
    <n v="7"/>
    <n v="55000"/>
    <n v="403180"/>
    <n v="88700"/>
  </r>
  <r>
    <x v="1"/>
    <s v="Addis-Abeba"/>
    <s v="Afrique de l'Est"/>
    <x v="82"/>
    <x v="84"/>
    <x v="1"/>
    <n v="3"/>
    <n v="12500"/>
    <n v="34377"/>
    <n v="2750"/>
  </r>
  <r>
    <x v="2"/>
    <s v="Bamako"/>
    <s v="Afrique de l'Ouest"/>
    <x v="210"/>
    <x v="308"/>
    <x v="2"/>
    <n v="3"/>
    <n v="45000"/>
    <n v="123857"/>
    <n v="22294"/>
  </r>
  <r>
    <x v="0"/>
    <s v="Dar es Salaam"/>
    <s v="Afrique de l'Est"/>
    <x v="149"/>
    <x v="344"/>
    <x v="4"/>
    <n v="2"/>
    <n v="15000"/>
    <n v="32379"/>
    <n v="3238"/>
  </r>
  <r>
    <x v="2"/>
    <s v="Douala"/>
    <s v="Afrique Centrale"/>
    <x v="82"/>
    <x v="205"/>
    <x v="3"/>
    <n v="6"/>
    <n v="55000"/>
    <n v="346361"/>
    <n v="76199"/>
  </r>
  <r>
    <x v="3"/>
    <s v="Kampala"/>
    <s v="Afrique de l'Est"/>
    <x v="143"/>
    <x v="107"/>
    <x v="2"/>
    <n v="10"/>
    <n v="45000"/>
    <n v="438553"/>
    <n v="78940"/>
  </r>
  <r>
    <x v="0"/>
    <s v="Yaoundé"/>
    <s v="Afrique Centrale"/>
    <x v="89"/>
    <x v="350"/>
    <x v="4"/>
    <n v="10"/>
    <n v="15000"/>
    <n v="153143"/>
    <n v="15314"/>
  </r>
  <r>
    <x v="1"/>
    <s v="Lagos"/>
    <s v="Afrique de l'Ouest"/>
    <x v="156"/>
    <x v="56"/>
    <x v="2"/>
    <n v="3"/>
    <n v="45000"/>
    <n v="139488"/>
    <n v="25108"/>
  </r>
  <r>
    <x v="0"/>
    <s v="Addis-Abeba"/>
    <s v="Afrique de l'Est"/>
    <x v="188"/>
    <x v="213"/>
    <x v="1"/>
    <n v="6"/>
    <n v="12500"/>
    <n v="78644"/>
    <n v="6292"/>
  </r>
  <r>
    <x v="3"/>
    <s v="Kinshasa"/>
    <s v="Afrique Centrale"/>
    <x v="123"/>
    <x v="64"/>
    <x v="3"/>
    <n v="4"/>
    <n v="55000"/>
    <n v="215614"/>
    <n v="47435"/>
  </r>
  <r>
    <x v="2"/>
    <s v="Addis-Abeba"/>
    <s v="Afrique de l'Est"/>
    <x v="184"/>
    <x v="238"/>
    <x v="1"/>
    <n v="4"/>
    <n v="12500"/>
    <n v="47058"/>
    <n v="3765"/>
  </r>
  <r>
    <x v="1"/>
    <s v="Lagos"/>
    <s v="Afrique de l'Ouest"/>
    <x v="192"/>
    <x v="60"/>
    <x v="2"/>
    <n v="8"/>
    <n v="45000"/>
    <n v="331179"/>
    <n v="59612"/>
  </r>
  <r>
    <x v="2"/>
    <s v="Douala"/>
    <s v="Afrique Centrale"/>
    <x v="37"/>
    <x v="199"/>
    <x v="2"/>
    <n v="2"/>
    <n v="45000"/>
    <n v="94329"/>
    <n v="16979"/>
  </r>
  <r>
    <x v="3"/>
    <s v="Addis-Abeba"/>
    <s v="Afrique de l'Est"/>
    <x v="38"/>
    <x v="206"/>
    <x v="2"/>
    <n v="1"/>
    <n v="45000"/>
    <n v="48981"/>
    <n v="8817"/>
  </r>
  <r>
    <x v="3"/>
    <s v="Kinshasa"/>
    <s v="Afrique Centrale"/>
    <x v="200"/>
    <x v="236"/>
    <x v="2"/>
    <n v="3"/>
    <n v="45000"/>
    <n v="123013"/>
    <n v="22142"/>
  </r>
  <r>
    <x v="3"/>
    <s v="Bamako"/>
    <s v="Afrique de l'Ouest"/>
    <x v="198"/>
    <x v="99"/>
    <x v="0"/>
    <n v="3"/>
    <n v="18500"/>
    <n v="55771"/>
    <n v="6693"/>
  </r>
  <r>
    <x v="1"/>
    <s v="Lomé"/>
    <s v="Afrique de l'Ouest"/>
    <x v="102"/>
    <x v="77"/>
    <x v="3"/>
    <n v="9"/>
    <n v="55000"/>
    <n v="519504"/>
    <n v="114291"/>
  </r>
  <r>
    <x v="1"/>
    <s v="Dakar"/>
    <s v="Afrique de l'Ouest"/>
    <x v="183"/>
    <x v="270"/>
    <x v="0"/>
    <n v="9"/>
    <n v="18500"/>
    <n v="182881"/>
    <n v="21946"/>
  </r>
  <r>
    <x v="3"/>
    <s v="Cotonou"/>
    <s v="Afrique de l'Ouest"/>
    <x v="161"/>
    <x v="118"/>
    <x v="2"/>
    <n v="9"/>
    <n v="45000"/>
    <n v="364978"/>
    <n v="65696"/>
  </r>
  <r>
    <x v="2"/>
    <s v="Kampala"/>
    <s v="Afrique de l'Est"/>
    <x v="137"/>
    <x v="292"/>
    <x v="1"/>
    <n v="2"/>
    <n v="12500"/>
    <n v="26862"/>
    <n v="2149"/>
  </r>
  <r>
    <x v="0"/>
    <s v="Nairobi"/>
    <s v="Afrique de l'Est"/>
    <x v="75"/>
    <x v="171"/>
    <x v="4"/>
    <n v="6"/>
    <n v="15000"/>
    <n v="87909"/>
    <n v="8791"/>
  </r>
  <r>
    <x v="4"/>
    <s v="Bamako"/>
    <s v="Afrique de l'Ouest"/>
    <x v="46"/>
    <x v="164"/>
    <x v="4"/>
    <n v="10"/>
    <n v="15000"/>
    <n v="148415"/>
    <n v="14842"/>
  </r>
  <r>
    <x v="4"/>
    <s v="Ouagadougou"/>
    <s v="Afrique de l'Ouest"/>
    <x v="40"/>
    <x v="173"/>
    <x v="3"/>
    <n v="3"/>
    <n v="55000"/>
    <n v="177089"/>
    <n v="38960"/>
  </r>
  <r>
    <x v="3"/>
    <s v="Accra"/>
    <s v="Afrique de l'Ouest"/>
    <x v="56"/>
    <x v="14"/>
    <x v="0"/>
    <n v="3"/>
    <n v="18500"/>
    <n v="54391"/>
    <n v="6527"/>
  </r>
  <r>
    <x v="3"/>
    <s v="Kampala"/>
    <s v="Afrique de l'Est"/>
    <x v="150"/>
    <x v="195"/>
    <x v="0"/>
    <n v="3"/>
    <n v="18500"/>
    <n v="53266"/>
    <n v="6392"/>
  </r>
  <r>
    <x v="0"/>
    <s v="Douala"/>
    <s v="Afrique Centrale"/>
    <x v="65"/>
    <x v="116"/>
    <x v="3"/>
    <n v="7"/>
    <n v="55000"/>
    <n v="377989"/>
    <n v="83158"/>
  </r>
  <r>
    <x v="3"/>
    <s v="Bamako"/>
    <s v="Afrique de l'Ouest"/>
    <x v="109"/>
    <x v="319"/>
    <x v="4"/>
    <n v="4"/>
    <n v="15000"/>
    <n v="56416"/>
    <n v="5642"/>
  </r>
  <r>
    <x v="1"/>
    <s v="Ouagadougou"/>
    <s v="Afrique de l'Ouest"/>
    <x v="16"/>
    <x v="329"/>
    <x v="4"/>
    <n v="3"/>
    <n v="15000"/>
    <n v="43908"/>
    <n v="4391"/>
  </r>
  <r>
    <x v="3"/>
    <s v="Lagos"/>
    <s v="Afrique de l'Ouest"/>
    <x v="105"/>
    <x v="351"/>
    <x v="2"/>
    <n v="2"/>
    <n v="45000"/>
    <n v="97286"/>
    <n v="17511"/>
  </r>
  <r>
    <x v="3"/>
    <s v="Bamako"/>
    <s v="Afrique de l'Ouest"/>
    <x v="215"/>
    <x v="238"/>
    <x v="3"/>
    <n v="9"/>
    <n v="55000"/>
    <n v="513352"/>
    <n v="112937"/>
  </r>
  <r>
    <x v="2"/>
    <s v="Douala"/>
    <s v="Afrique Centrale"/>
    <x v="166"/>
    <x v="272"/>
    <x v="3"/>
    <n v="2"/>
    <n v="55000"/>
    <n v="119941"/>
    <n v="26387"/>
  </r>
  <r>
    <x v="3"/>
    <s v="Abidjan"/>
    <s v="Afrique de l'Ouest"/>
    <x v="137"/>
    <x v="315"/>
    <x v="4"/>
    <n v="8"/>
    <n v="15000"/>
    <n v="112091"/>
    <n v="11209"/>
  </r>
  <r>
    <x v="2"/>
    <s v="Douala"/>
    <s v="Afrique Centrale"/>
    <x v="49"/>
    <x v="163"/>
    <x v="1"/>
    <n v="8"/>
    <n v="12500"/>
    <n v="92487"/>
    <n v="7399"/>
  </r>
  <r>
    <x v="0"/>
    <s v="Cotonou"/>
    <s v="Afrique de l'Ouest"/>
    <x v="204"/>
    <x v="296"/>
    <x v="0"/>
    <n v="7"/>
    <n v="18500"/>
    <n v="125535"/>
    <n v="15064"/>
  </r>
  <r>
    <x v="3"/>
    <s v="Abidjan"/>
    <s v="Afrique de l'Ouest"/>
    <x v="126"/>
    <x v="72"/>
    <x v="1"/>
    <n v="6"/>
    <n v="12500"/>
    <n v="71323"/>
    <n v="5706"/>
  </r>
  <r>
    <x v="1"/>
    <s v="Accra"/>
    <s v="Afrique de l'Ouest"/>
    <x v="25"/>
    <x v="235"/>
    <x v="3"/>
    <n v="2"/>
    <n v="55000"/>
    <n v="103907"/>
    <n v="22860"/>
  </r>
  <r>
    <x v="4"/>
    <s v="Kinshasa"/>
    <s v="Afrique Centrale"/>
    <x v="120"/>
    <x v="28"/>
    <x v="1"/>
    <n v="9"/>
    <n v="12500"/>
    <n v="115766"/>
    <n v="9261"/>
  </r>
  <r>
    <x v="3"/>
    <s v="Lagos"/>
    <s v="Afrique de l'Ouest"/>
    <x v="95"/>
    <x v="127"/>
    <x v="4"/>
    <n v="9"/>
    <n v="15000"/>
    <n v="140955"/>
    <n v="14096"/>
  </r>
  <r>
    <x v="4"/>
    <s v="Douala"/>
    <s v="Afrique Centrale"/>
    <x v="192"/>
    <x v="352"/>
    <x v="4"/>
    <n v="7"/>
    <n v="15000"/>
    <n v="105818"/>
    <n v="10582"/>
  </r>
  <r>
    <x v="1"/>
    <s v="Kampala"/>
    <s v="Afrique de l'Est"/>
    <x v="100"/>
    <x v="278"/>
    <x v="4"/>
    <n v="2"/>
    <n v="15000"/>
    <n v="27246"/>
    <n v="2725"/>
  </r>
  <r>
    <x v="1"/>
    <s v="Ouagadougou"/>
    <s v="Afrique de l'Ouest"/>
    <x v="170"/>
    <x v="329"/>
    <x v="2"/>
    <n v="4"/>
    <n v="45000"/>
    <n v="172482"/>
    <n v="31047"/>
  </r>
  <r>
    <x v="0"/>
    <s v="Lomé"/>
    <s v="Afrique de l'Ouest"/>
    <x v="135"/>
    <x v="346"/>
    <x v="2"/>
    <n v="2"/>
    <n v="45000"/>
    <n v="96658"/>
    <n v="17398"/>
  </r>
  <r>
    <x v="1"/>
    <s v="Yaoundé"/>
    <s v="Afrique Centrale"/>
    <x v="60"/>
    <x v="347"/>
    <x v="3"/>
    <n v="3"/>
    <n v="55000"/>
    <n v="148602"/>
    <n v="32692"/>
  </r>
  <r>
    <x v="2"/>
    <s v="Kampala"/>
    <s v="Afrique de l'Est"/>
    <x v="220"/>
    <x v="351"/>
    <x v="2"/>
    <n v="9"/>
    <n v="45000"/>
    <n v="406695"/>
    <n v="73205"/>
  </r>
  <r>
    <x v="3"/>
    <s v="Accra"/>
    <s v="Afrique de l'Ouest"/>
    <x v="93"/>
    <x v="131"/>
    <x v="2"/>
    <n v="3"/>
    <n v="45000"/>
    <n v="133369"/>
    <n v="24006"/>
  </r>
  <r>
    <x v="1"/>
    <s v="Nairobi"/>
    <s v="Afrique de l'Est"/>
    <x v="176"/>
    <x v="173"/>
    <x v="0"/>
    <n v="1"/>
    <n v="18500"/>
    <n v="17658"/>
    <n v="2119"/>
  </r>
  <r>
    <x v="1"/>
    <s v="Addis-Abeba"/>
    <s v="Afrique de l'Est"/>
    <x v="136"/>
    <x v="337"/>
    <x v="0"/>
    <n v="2"/>
    <n v="18500"/>
    <n v="33797"/>
    <n v="4056"/>
  </r>
  <r>
    <x v="1"/>
    <s v="Lagos"/>
    <s v="Afrique de l'Ouest"/>
    <x v="131"/>
    <x v="67"/>
    <x v="3"/>
    <n v="4"/>
    <n v="55000"/>
    <n v="205488"/>
    <n v="45207"/>
  </r>
  <r>
    <x v="4"/>
    <s v="Cotonou"/>
    <s v="Afrique de l'Ouest"/>
    <x v="172"/>
    <x v="150"/>
    <x v="1"/>
    <n v="3"/>
    <n v="12500"/>
    <n v="35083"/>
    <n v="2807"/>
  </r>
  <r>
    <x v="4"/>
    <s v="Dar es Salaam"/>
    <s v="Afrique de l'Est"/>
    <x v="179"/>
    <x v="164"/>
    <x v="2"/>
    <n v="5"/>
    <n v="45000"/>
    <n v="203735"/>
    <n v="36672"/>
  </r>
  <r>
    <x v="4"/>
    <s v="Lomé"/>
    <s v="Afrique de l'Ouest"/>
    <x v="142"/>
    <x v="245"/>
    <x v="1"/>
    <n v="8"/>
    <n v="12500"/>
    <n v="91350"/>
    <n v="7308"/>
  </r>
  <r>
    <x v="1"/>
    <s v="Cotonou"/>
    <s v="Afrique de l'Ouest"/>
    <x v="47"/>
    <x v="353"/>
    <x v="2"/>
    <n v="10"/>
    <n v="45000"/>
    <n v="447713"/>
    <n v="80588"/>
  </r>
  <r>
    <x v="3"/>
    <s v="Dar es Salaam"/>
    <s v="Afrique de l'Est"/>
    <x v="42"/>
    <x v="10"/>
    <x v="1"/>
    <n v="8"/>
    <n v="12500"/>
    <n v="107752"/>
    <n v="8620"/>
  </r>
  <r>
    <x v="3"/>
    <s v="Abidjan"/>
    <s v="Afrique de l'Ouest"/>
    <x v="7"/>
    <x v="316"/>
    <x v="4"/>
    <n v="3"/>
    <n v="15000"/>
    <n v="49037"/>
    <n v="4904"/>
  </r>
  <r>
    <x v="3"/>
    <s v="Douala"/>
    <s v="Afrique Centrale"/>
    <x v="171"/>
    <x v="306"/>
    <x v="1"/>
    <n v="3"/>
    <n v="12500"/>
    <n v="34887"/>
    <n v="2791"/>
  </r>
  <r>
    <x v="0"/>
    <s v="Douala"/>
    <s v="Afrique Centrale"/>
    <x v="161"/>
    <x v="191"/>
    <x v="4"/>
    <n v="8"/>
    <n v="15000"/>
    <n v="124917"/>
    <n v="12492"/>
  </r>
  <r>
    <x v="0"/>
    <s v="Abidjan"/>
    <s v="Afrique de l'Ouest"/>
    <x v="54"/>
    <x v="336"/>
    <x v="2"/>
    <n v="7"/>
    <n v="45000"/>
    <n v="342224"/>
    <n v="61600"/>
  </r>
  <r>
    <x v="2"/>
    <s v="Lagos"/>
    <s v="Afrique de l'Ouest"/>
    <x v="131"/>
    <x v="185"/>
    <x v="0"/>
    <n v="2"/>
    <n v="18500"/>
    <n v="36584"/>
    <n v="4390"/>
  </r>
  <r>
    <x v="4"/>
    <s v="Yaoundé"/>
    <s v="Afrique Centrale"/>
    <x v="83"/>
    <x v="160"/>
    <x v="3"/>
    <n v="5"/>
    <n v="55000"/>
    <n v="255838"/>
    <n v="56284"/>
  </r>
  <r>
    <x v="1"/>
    <s v="Accra"/>
    <s v="Afrique de l'Ouest"/>
    <x v="169"/>
    <x v="22"/>
    <x v="2"/>
    <n v="6"/>
    <n v="45000"/>
    <n v="287912"/>
    <n v="51824"/>
  </r>
  <r>
    <x v="3"/>
    <s v="Addis-Abeba"/>
    <s v="Afrique de l'Est"/>
    <x v="97"/>
    <x v="354"/>
    <x v="0"/>
    <n v="6"/>
    <n v="18500"/>
    <n v="107328"/>
    <n v="12879"/>
  </r>
  <r>
    <x v="4"/>
    <s v="Kampala"/>
    <s v="Afrique de l'Est"/>
    <x v="0"/>
    <x v="350"/>
    <x v="3"/>
    <n v="10"/>
    <n v="55000"/>
    <n v="539893"/>
    <n v="118776"/>
  </r>
  <r>
    <x v="4"/>
    <s v="Nairobi"/>
    <s v="Afrique de l'Est"/>
    <x v="193"/>
    <x v="217"/>
    <x v="2"/>
    <n v="9"/>
    <n v="45000"/>
    <n v="414640"/>
    <n v="74635"/>
  </r>
  <r>
    <x v="0"/>
    <s v="Kampala"/>
    <s v="Afrique de l'Est"/>
    <x v="95"/>
    <x v="351"/>
    <x v="2"/>
    <n v="2"/>
    <n v="45000"/>
    <n v="82613"/>
    <n v="14870"/>
  </r>
  <r>
    <x v="0"/>
    <s v="Douala"/>
    <s v="Afrique Centrale"/>
    <x v="10"/>
    <x v="321"/>
    <x v="1"/>
    <n v="7"/>
    <n v="12500"/>
    <n v="85381"/>
    <n v="6830"/>
  </r>
  <r>
    <x v="2"/>
    <s v="Ouagadougou"/>
    <s v="Afrique de l'Ouest"/>
    <x v="218"/>
    <x v="286"/>
    <x v="2"/>
    <n v="7"/>
    <n v="45000"/>
    <n v="344676"/>
    <n v="62042"/>
  </r>
  <r>
    <x v="1"/>
    <s v="Douala"/>
    <s v="Afrique Centrale"/>
    <x v="101"/>
    <x v="265"/>
    <x v="0"/>
    <n v="3"/>
    <n v="18500"/>
    <n v="50869"/>
    <n v="6104"/>
  </r>
  <r>
    <x v="4"/>
    <s v="Douala"/>
    <s v="Afrique Centrale"/>
    <x v="95"/>
    <x v="165"/>
    <x v="3"/>
    <n v="7"/>
    <n v="55000"/>
    <n v="405818"/>
    <n v="89280"/>
  </r>
  <r>
    <x v="2"/>
    <s v="Yaoundé"/>
    <s v="Afrique Centrale"/>
    <x v="216"/>
    <x v="198"/>
    <x v="2"/>
    <n v="5"/>
    <n v="45000"/>
    <n v="224588"/>
    <n v="40426"/>
  </r>
  <r>
    <x v="4"/>
    <s v="Dar es Salaam"/>
    <s v="Afrique de l'Est"/>
    <x v="120"/>
    <x v="270"/>
    <x v="0"/>
    <n v="3"/>
    <n v="18500"/>
    <n v="55207"/>
    <n v="6625"/>
  </r>
  <r>
    <x v="1"/>
    <s v="Lagos"/>
    <s v="Afrique de l'Ouest"/>
    <x v="88"/>
    <x v="60"/>
    <x v="0"/>
    <n v="4"/>
    <n v="18500"/>
    <n v="76630"/>
    <n v="9196"/>
  </r>
  <r>
    <x v="1"/>
    <s v="Ouagadougou"/>
    <s v="Afrique de l'Ouest"/>
    <x v="122"/>
    <x v="78"/>
    <x v="2"/>
    <n v="7"/>
    <n v="45000"/>
    <n v="287737"/>
    <n v="51793"/>
  </r>
  <r>
    <x v="2"/>
    <s v="Dakar"/>
    <s v="Afrique de l'Ouest"/>
    <x v="51"/>
    <x v="182"/>
    <x v="1"/>
    <n v="1"/>
    <n v="12500"/>
    <n v="13179"/>
    <n v="1054"/>
  </r>
  <r>
    <x v="0"/>
    <s v="Dakar"/>
    <s v="Afrique de l'Ouest"/>
    <x v="76"/>
    <x v="111"/>
    <x v="4"/>
    <n v="8"/>
    <n v="15000"/>
    <n v="116795"/>
    <n v="11680"/>
  </r>
  <r>
    <x v="4"/>
    <s v="Cotonou"/>
    <s v="Afrique de l'Ouest"/>
    <x v="32"/>
    <x v="181"/>
    <x v="2"/>
    <n v="9"/>
    <n v="45000"/>
    <n v="395082"/>
    <n v="71115"/>
  </r>
  <r>
    <x v="0"/>
    <s v="Abidjan"/>
    <s v="Afrique de l'Ouest"/>
    <x v="68"/>
    <x v="277"/>
    <x v="2"/>
    <n v="10"/>
    <n v="45000"/>
    <n v="477107"/>
    <n v="85879"/>
  </r>
  <r>
    <x v="0"/>
    <s v="Dakar"/>
    <s v="Afrique de l'Ouest"/>
    <x v="181"/>
    <x v="218"/>
    <x v="3"/>
    <n v="7"/>
    <n v="55000"/>
    <n v="383896"/>
    <n v="84457"/>
  </r>
  <r>
    <x v="4"/>
    <s v="Dar es Salaam"/>
    <s v="Afrique de l'Est"/>
    <x v="97"/>
    <x v="293"/>
    <x v="0"/>
    <n v="2"/>
    <n v="18500"/>
    <n v="35747"/>
    <n v="4290"/>
  </r>
  <r>
    <x v="2"/>
    <s v="Kinshasa"/>
    <s v="Afrique Centrale"/>
    <x v="52"/>
    <x v="180"/>
    <x v="0"/>
    <n v="2"/>
    <n v="18500"/>
    <n v="37078"/>
    <n v="4449"/>
  </r>
  <r>
    <x v="0"/>
    <s v="Dakar"/>
    <s v="Afrique de l'Ouest"/>
    <x v="121"/>
    <x v="287"/>
    <x v="0"/>
    <n v="3"/>
    <n v="18500"/>
    <n v="58685"/>
    <n v="7042"/>
  </r>
  <r>
    <x v="4"/>
    <s v="Addis-Abeba"/>
    <s v="Afrique de l'Est"/>
    <x v="44"/>
    <x v="288"/>
    <x v="0"/>
    <n v="6"/>
    <n v="18500"/>
    <n v="113986"/>
    <n v="13678"/>
  </r>
  <r>
    <x v="4"/>
    <s v="Lomé"/>
    <s v="Afrique de l'Ouest"/>
    <x v="67"/>
    <x v="18"/>
    <x v="4"/>
    <n v="4"/>
    <n v="15000"/>
    <n v="65323"/>
    <n v="6532"/>
  </r>
  <r>
    <x v="4"/>
    <s v="Accra"/>
    <s v="Afrique de l'Ouest"/>
    <x v="217"/>
    <x v="211"/>
    <x v="4"/>
    <n v="7"/>
    <n v="15000"/>
    <n v="111386"/>
    <n v="11139"/>
  </r>
  <r>
    <x v="3"/>
    <s v="Lomé"/>
    <s v="Afrique de l'Ouest"/>
    <x v="8"/>
    <x v="310"/>
    <x v="3"/>
    <n v="2"/>
    <n v="55000"/>
    <n v="109207"/>
    <n v="24026"/>
  </r>
  <r>
    <x v="0"/>
    <s v="Kinshasa"/>
    <s v="Afrique Centrale"/>
    <x v="16"/>
    <x v="330"/>
    <x v="3"/>
    <n v="2"/>
    <n v="55000"/>
    <n v="103838"/>
    <n v="22844"/>
  </r>
  <r>
    <x v="0"/>
    <s v="Ouagadougou"/>
    <s v="Afrique de l'Ouest"/>
    <x v="63"/>
    <x v="310"/>
    <x v="1"/>
    <n v="1"/>
    <n v="12500"/>
    <n v="13210"/>
    <n v="1057"/>
  </r>
  <r>
    <x v="2"/>
    <s v="Ouagadougou"/>
    <s v="Afrique de l'Ouest"/>
    <x v="39"/>
    <x v="277"/>
    <x v="0"/>
    <n v="7"/>
    <n v="18500"/>
    <n v="129366"/>
    <n v="15524"/>
  </r>
  <r>
    <x v="0"/>
    <s v="Cotonou"/>
    <s v="Afrique de l'Ouest"/>
    <x v="163"/>
    <x v="10"/>
    <x v="0"/>
    <n v="10"/>
    <n v="18500"/>
    <n v="190344"/>
    <n v="22841"/>
  </r>
  <r>
    <x v="3"/>
    <s v="Yaoundé"/>
    <s v="Afrique Centrale"/>
    <x v="30"/>
    <x v="19"/>
    <x v="3"/>
    <n v="2"/>
    <n v="55000"/>
    <n v="110613"/>
    <n v="24335"/>
  </r>
  <r>
    <x v="0"/>
    <s v="Kampala"/>
    <s v="Afrique de l'Est"/>
    <x v="19"/>
    <x v="30"/>
    <x v="3"/>
    <n v="4"/>
    <n v="55000"/>
    <n v="239742"/>
    <n v="52743"/>
  </r>
  <r>
    <x v="2"/>
    <s v="Yaoundé"/>
    <s v="Afrique Centrale"/>
    <x v="112"/>
    <x v="42"/>
    <x v="0"/>
    <n v="10"/>
    <n v="18500"/>
    <n v="192727"/>
    <n v="23127"/>
  </r>
  <r>
    <x v="1"/>
    <s v="Accra"/>
    <s v="Afrique de l'Ouest"/>
    <x v="12"/>
    <x v="276"/>
    <x v="3"/>
    <n v="4"/>
    <n v="55000"/>
    <n v="230310"/>
    <n v="50668"/>
  </r>
  <r>
    <x v="2"/>
    <s v="Ouagadougou"/>
    <s v="Afrique de l'Ouest"/>
    <x v="191"/>
    <x v="288"/>
    <x v="4"/>
    <n v="4"/>
    <n v="15000"/>
    <n v="65345"/>
    <n v="6534"/>
  </r>
  <r>
    <x v="2"/>
    <s v="Bamako"/>
    <s v="Afrique de l'Ouest"/>
    <x v="207"/>
    <x v="4"/>
    <x v="2"/>
    <n v="4"/>
    <n v="45000"/>
    <n v="170089"/>
    <n v="30616"/>
  </r>
  <r>
    <x v="1"/>
    <s v="Yaoundé"/>
    <s v="Afrique Centrale"/>
    <x v="136"/>
    <x v="83"/>
    <x v="1"/>
    <n v="10"/>
    <n v="12500"/>
    <n v="124800"/>
    <n v="9984"/>
  </r>
  <r>
    <x v="2"/>
    <s v="Yaoundé"/>
    <s v="Afrique Centrale"/>
    <x v="156"/>
    <x v="332"/>
    <x v="2"/>
    <n v="2"/>
    <n v="45000"/>
    <n v="88251"/>
    <n v="15885"/>
  </r>
  <r>
    <x v="2"/>
    <s v="Bamako"/>
    <s v="Afrique de l'Ouest"/>
    <x v="160"/>
    <x v="193"/>
    <x v="2"/>
    <n v="6"/>
    <n v="45000"/>
    <n v="291183"/>
    <n v="52413"/>
  </r>
  <r>
    <x v="3"/>
    <s v="Cotonou"/>
    <s v="Afrique de l'Ouest"/>
    <x v="51"/>
    <x v="89"/>
    <x v="2"/>
    <n v="6"/>
    <n v="45000"/>
    <n v="266215"/>
    <n v="47919"/>
  </r>
  <r>
    <x v="0"/>
    <s v="Kinshasa"/>
    <s v="Afrique Centrale"/>
    <x v="140"/>
    <x v="53"/>
    <x v="3"/>
    <n v="9"/>
    <n v="55000"/>
    <n v="515568"/>
    <n v="113425"/>
  </r>
  <r>
    <x v="3"/>
    <s v="Bamako"/>
    <s v="Afrique de l'Ouest"/>
    <x v="39"/>
    <x v="151"/>
    <x v="3"/>
    <n v="2"/>
    <n v="55000"/>
    <n v="99578"/>
    <n v="21907"/>
  </r>
  <r>
    <x v="0"/>
    <s v="Kinshasa"/>
    <s v="Afrique Centrale"/>
    <x v="101"/>
    <x v="98"/>
    <x v="1"/>
    <n v="9"/>
    <n v="12500"/>
    <n v="120616"/>
    <n v="9649"/>
  </r>
  <r>
    <x v="1"/>
    <s v="Bamako"/>
    <s v="Afrique de l'Ouest"/>
    <x v="111"/>
    <x v="206"/>
    <x v="4"/>
    <n v="10"/>
    <n v="15000"/>
    <n v="163058"/>
    <n v="16306"/>
  </r>
  <r>
    <x v="4"/>
    <s v="Accra"/>
    <s v="Afrique de l'Ouest"/>
    <x v="212"/>
    <x v="57"/>
    <x v="0"/>
    <n v="7"/>
    <n v="18500"/>
    <n v="118925"/>
    <n v="14271"/>
  </r>
  <r>
    <x v="3"/>
    <s v="Yaoundé"/>
    <s v="Afrique Centrale"/>
    <x v="181"/>
    <x v="100"/>
    <x v="3"/>
    <n v="4"/>
    <n v="55000"/>
    <n v="219580"/>
    <n v="48308"/>
  </r>
  <r>
    <x v="2"/>
    <s v="Ouagadougou"/>
    <s v="Afrique de l'Ouest"/>
    <x v="136"/>
    <x v="212"/>
    <x v="3"/>
    <n v="9"/>
    <n v="55000"/>
    <n v="473807"/>
    <n v="104238"/>
  </r>
  <r>
    <x v="0"/>
    <s v="Accra"/>
    <s v="Afrique de l'Ouest"/>
    <x v="177"/>
    <x v="355"/>
    <x v="3"/>
    <n v="10"/>
    <n v="55000"/>
    <n v="565289"/>
    <n v="124364"/>
  </r>
  <r>
    <x v="1"/>
    <s v="Lomé"/>
    <s v="Afrique de l'Ouest"/>
    <x v="128"/>
    <x v="120"/>
    <x v="3"/>
    <n v="8"/>
    <n v="55000"/>
    <n v="441839"/>
    <n v="97205"/>
  </r>
  <r>
    <x v="4"/>
    <s v="Bamako"/>
    <s v="Afrique de l'Ouest"/>
    <x v="0"/>
    <x v="306"/>
    <x v="0"/>
    <n v="9"/>
    <n v="18500"/>
    <n v="170363"/>
    <n v="20444"/>
  </r>
  <r>
    <x v="2"/>
    <s v="Accra"/>
    <s v="Afrique de l'Ouest"/>
    <x v="83"/>
    <x v="248"/>
    <x v="2"/>
    <n v="8"/>
    <n v="45000"/>
    <n v="395801"/>
    <n v="71244"/>
  </r>
  <r>
    <x v="4"/>
    <s v="Dar es Salaam"/>
    <s v="Afrique de l'Est"/>
    <x v="61"/>
    <x v="127"/>
    <x v="4"/>
    <n v="1"/>
    <n v="15000"/>
    <n v="13884"/>
    <n v="1388"/>
  </r>
  <r>
    <x v="2"/>
    <s v="Lagos"/>
    <s v="Afrique de l'Ouest"/>
    <x v="193"/>
    <x v="242"/>
    <x v="4"/>
    <n v="1"/>
    <n v="15000"/>
    <n v="16429"/>
    <n v="1643"/>
  </r>
  <r>
    <x v="1"/>
    <s v="Kampala"/>
    <s v="Afrique de l'Est"/>
    <x v="127"/>
    <x v="114"/>
    <x v="2"/>
    <n v="3"/>
    <n v="45000"/>
    <n v="128556"/>
    <n v="23140"/>
  </r>
  <r>
    <x v="3"/>
    <s v="Nairobi"/>
    <s v="Afrique de l'Est"/>
    <x v="207"/>
    <x v="283"/>
    <x v="0"/>
    <n v="5"/>
    <n v="18500"/>
    <n v="90631"/>
    <n v="10876"/>
  </r>
  <r>
    <x v="4"/>
    <s v="Douala"/>
    <s v="Afrique Centrale"/>
    <x v="128"/>
    <x v="210"/>
    <x v="2"/>
    <n v="8"/>
    <n v="45000"/>
    <n v="333295"/>
    <n v="59993"/>
  </r>
  <r>
    <x v="0"/>
    <s v="Lomé"/>
    <s v="Afrique de l'Ouest"/>
    <x v="112"/>
    <x v="344"/>
    <x v="3"/>
    <n v="5"/>
    <n v="55000"/>
    <n v="252320"/>
    <n v="55510"/>
  </r>
  <r>
    <x v="3"/>
    <s v="Accra"/>
    <s v="Afrique de l'Ouest"/>
    <x v="197"/>
    <x v="25"/>
    <x v="3"/>
    <n v="7"/>
    <n v="55000"/>
    <n v="396461"/>
    <n v="87221"/>
  </r>
  <r>
    <x v="3"/>
    <s v="Ouagadougou"/>
    <s v="Afrique de l'Ouest"/>
    <x v="70"/>
    <x v="346"/>
    <x v="3"/>
    <n v="8"/>
    <n v="55000"/>
    <n v="435439"/>
    <n v="95797"/>
  </r>
  <r>
    <x v="3"/>
    <s v="Yaoundé"/>
    <s v="Afrique Centrale"/>
    <x v="89"/>
    <x v="352"/>
    <x v="4"/>
    <n v="5"/>
    <n v="15000"/>
    <n v="72391"/>
    <n v="7239"/>
  </r>
  <r>
    <x v="1"/>
    <s v="Dar es Salaam"/>
    <s v="Afrique de l'Est"/>
    <x v="17"/>
    <x v="356"/>
    <x v="0"/>
    <n v="2"/>
    <n v="18500"/>
    <n v="34280"/>
    <n v="4114"/>
  </r>
  <r>
    <x v="0"/>
    <s v="Kinshasa"/>
    <s v="Afrique Centrale"/>
    <x v="47"/>
    <x v="87"/>
    <x v="2"/>
    <n v="5"/>
    <n v="45000"/>
    <n v="211745"/>
    <n v="38114"/>
  </r>
  <r>
    <x v="4"/>
    <s v="Dakar"/>
    <s v="Afrique de l'Ouest"/>
    <x v="177"/>
    <x v="4"/>
    <x v="1"/>
    <n v="5"/>
    <n v="12500"/>
    <n v="66127"/>
    <n v="5290"/>
  </r>
  <r>
    <x v="3"/>
    <s v="Kinshasa"/>
    <s v="Afrique Centrale"/>
    <x v="32"/>
    <x v="185"/>
    <x v="0"/>
    <n v="6"/>
    <n v="18500"/>
    <n v="113151"/>
    <n v="13578"/>
  </r>
  <r>
    <x v="1"/>
    <s v="Accra"/>
    <s v="Afrique de l'Ouest"/>
    <x v="89"/>
    <x v="250"/>
    <x v="1"/>
    <n v="7"/>
    <n v="12500"/>
    <n v="91291"/>
    <n v="7303"/>
  </r>
  <r>
    <x v="2"/>
    <s v="Yaoundé"/>
    <s v="Afrique Centrale"/>
    <x v="158"/>
    <x v="33"/>
    <x v="4"/>
    <n v="7"/>
    <n v="15000"/>
    <n v="108109"/>
    <n v="10811"/>
  </r>
  <r>
    <x v="0"/>
    <s v="Nairobi"/>
    <s v="Afrique de l'Est"/>
    <x v="19"/>
    <x v="119"/>
    <x v="4"/>
    <n v="2"/>
    <n v="15000"/>
    <n v="29515"/>
    <n v="2952"/>
  </r>
  <r>
    <x v="2"/>
    <s v="Accra"/>
    <s v="Afrique de l'Ouest"/>
    <x v="141"/>
    <x v="205"/>
    <x v="1"/>
    <n v="10"/>
    <n v="12500"/>
    <n v="124285"/>
    <n v="9943"/>
  </r>
  <r>
    <x v="4"/>
    <s v="Lagos"/>
    <s v="Afrique de l'Ouest"/>
    <x v="42"/>
    <x v="174"/>
    <x v="3"/>
    <n v="8"/>
    <n v="55000"/>
    <n v="422721"/>
    <n v="92999"/>
  </r>
  <r>
    <x v="3"/>
    <s v="Yaoundé"/>
    <s v="Afrique Centrale"/>
    <x v="122"/>
    <x v="97"/>
    <x v="3"/>
    <n v="5"/>
    <n v="55000"/>
    <n v="280895"/>
    <n v="61797"/>
  </r>
  <r>
    <x v="0"/>
    <s v="Yaoundé"/>
    <s v="Afrique Centrale"/>
    <x v="187"/>
    <x v="293"/>
    <x v="1"/>
    <n v="4"/>
    <n v="12500"/>
    <n v="50553"/>
    <n v="4044"/>
  </r>
  <r>
    <x v="1"/>
    <s v="Kampala"/>
    <s v="Afrique de l'Est"/>
    <x v="116"/>
    <x v="344"/>
    <x v="1"/>
    <n v="9"/>
    <n v="12500"/>
    <n v="121053"/>
    <n v="9684"/>
  </r>
  <r>
    <x v="2"/>
    <s v="Kinshasa"/>
    <s v="Afrique Centrale"/>
    <x v="54"/>
    <x v="245"/>
    <x v="0"/>
    <n v="5"/>
    <n v="18500"/>
    <n v="92617"/>
    <n v="11114"/>
  </r>
  <r>
    <x v="4"/>
    <s v="Abidjan"/>
    <s v="Afrique de l'Ouest"/>
    <x v="209"/>
    <x v="104"/>
    <x v="4"/>
    <n v="9"/>
    <n v="15000"/>
    <n v="144048"/>
    <n v="14405"/>
  </r>
  <r>
    <x v="3"/>
    <s v="Lomé"/>
    <s v="Afrique de l'Ouest"/>
    <x v="29"/>
    <x v="237"/>
    <x v="3"/>
    <n v="10"/>
    <n v="55000"/>
    <n v="566607"/>
    <n v="124654"/>
  </r>
  <r>
    <x v="1"/>
    <s v="Addis-Abeba"/>
    <s v="Afrique de l'Est"/>
    <x v="160"/>
    <x v="47"/>
    <x v="3"/>
    <n v="3"/>
    <n v="55000"/>
    <n v="171402"/>
    <n v="37708"/>
  </r>
  <r>
    <x v="0"/>
    <s v="Douala"/>
    <s v="Afrique Centrale"/>
    <x v="16"/>
    <x v="345"/>
    <x v="3"/>
    <n v="1"/>
    <n v="55000"/>
    <n v="57881"/>
    <n v="12734"/>
  </r>
  <r>
    <x v="4"/>
    <s v="Bamako"/>
    <s v="Afrique de l'Ouest"/>
    <x v="48"/>
    <x v="132"/>
    <x v="2"/>
    <n v="9"/>
    <n v="45000"/>
    <n v="443524"/>
    <n v="79834"/>
  </r>
  <r>
    <x v="2"/>
    <s v="Cotonou"/>
    <s v="Afrique de l'Ouest"/>
    <x v="22"/>
    <x v="65"/>
    <x v="3"/>
    <n v="10"/>
    <n v="55000"/>
    <n v="522900"/>
    <n v="115038"/>
  </r>
  <r>
    <x v="4"/>
    <s v="Nairobi"/>
    <s v="Afrique de l'Est"/>
    <x v="20"/>
    <x v="46"/>
    <x v="2"/>
    <n v="2"/>
    <n v="45000"/>
    <n v="94312"/>
    <n v="16976"/>
  </r>
  <r>
    <x v="0"/>
    <s v="Yaoundé"/>
    <s v="Afrique Centrale"/>
    <x v="193"/>
    <x v="21"/>
    <x v="0"/>
    <n v="5"/>
    <n v="18500"/>
    <n v="87277"/>
    <n v="10473"/>
  </r>
  <r>
    <x v="1"/>
    <s v="Addis-Abeba"/>
    <s v="Afrique de l'Est"/>
    <x v="117"/>
    <x v="212"/>
    <x v="1"/>
    <n v="9"/>
    <n v="12500"/>
    <n v="101557"/>
    <n v="8125"/>
  </r>
  <r>
    <x v="4"/>
    <s v="Dar es Salaam"/>
    <s v="Afrique de l'Est"/>
    <x v="68"/>
    <x v="52"/>
    <x v="2"/>
    <n v="2"/>
    <n v="45000"/>
    <n v="97563"/>
    <n v="17561"/>
  </r>
  <r>
    <x v="3"/>
    <s v="Dar es Salaam"/>
    <s v="Afrique de l'Est"/>
    <x v="18"/>
    <x v="348"/>
    <x v="3"/>
    <n v="7"/>
    <n v="55000"/>
    <n v="408384"/>
    <n v="89844"/>
  </r>
  <r>
    <x v="3"/>
    <s v="Ouagadougou"/>
    <s v="Afrique de l'Ouest"/>
    <x v="141"/>
    <x v="227"/>
    <x v="4"/>
    <n v="6"/>
    <n v="15000"/>
    <n v="81876"/>
    <n v="8188"/>
  </r>
  <r>
    <x v="4"/>
    <s v="Bamako"/>
    <s v="Afrique de l'Ouest"/>
    <x v="220"/>
    <x v="16"/>
    <x v="2"/>
    <n v="9"/>
    <n v="45000"/>
    <n v="382009"/>
    <n v="68762"/>
  </r>
  <r>
    <x v="1"/>
    <s v="Accra"/>
    <s v="Afrique de l'Ouest"/>
    <x v="149"/>
    <x v="333"/>
    <x v="3"/>
    <n v="1"/>
    <n v="55000"/>
    <n v="55685"/>
    <n v="12251"/>
  </r>
  <r>
    <x v="1"/>
    <s v="Kampala"/>
    <s v="Afrique de l'Est"/>
    <x v="25"/>
    <x v="172"/>
    <x v="4"/>
    <n v="8"/>
    <n v="15000"/>
    <n v="112273"/>
    <n v="11227"/>
  </r>
  <r>
    <x v="1"/>
    <s v="Lomé"/>
    <s v="Afrique de l'Ouest"/>
    <x v="42"/>
    <x v="172"/>
    <x v="3"/>
    <n v="5"/>
    <n v="55000"/>
    <n v="288578"/>
    <n v="63487"/>
  </r>
  <r>
    <x v="4"/>
    <s v="Lagos"/>
    <s v="Afrique de l'Ouest"/>
    <x v="108"/>
    <x v="278"/>
    <x v="4"/>
    <n v="6"/>
    <n v="15000"/>
    <n v="85993"/>
    <n v="8599"/>
  </r>
  <r>
    <x v="0"/>
    <s v="Kampala"/>
    <s v="Afrique de l'Est"/>
    <x v="196"/>
    <x v="16"/>
    <x v="1"/>
    <n v="2"/>
    <n v="12500"/>
    <n v="25367"/>
    <n v="2029"/>
  </r>
  <r>
    <x v="4"/>
    <s v="Yaoundé"/>
    <s v="Afrique Centrale"/>
    <x v="53"/>
    <x v="166"/>
    <x v="1"/>
    <n v="8"/>
    <n v="12500"/>
    <n v="103780"/>
    <n v="8302"/>
  </r>
  <r>
    <x v="2"/>
    <s v="Lagos"/>
    <s v="Afrique de l'Ouest"/>
    <x v="56"/>
    <x v="237"/>
    <x v="2"/>
    <n v="6"/>
    <n v="45000"/>
    <n v="256521"/>
    <n v="46174"/>
  </r>
  <r>
    <x v="2"/>
    <s v="Lagos"/>
    <s v="Afrique de l'Ouest"/>
    <x v="73"/>
    <x v="302"/>
    <x v="3"/>
    <n v="8"/>
    <n v="55000"/>
    <n v="415680"/>
    <n v="91450"/>
  </r>
  <r>
    <x v="2"/>
    <s v="Kinshasa"/>
    <s v="Afrique Centrale"/>
    <x v="112"/>
    <x v="65"/>
    <x v="3"/>
    <n v="7"/>
    <n v="55000"/>
    <n v="412072"/>
    <n v="90656"/>
  </r>
  <r>
    <x v="2"/>
    <s v="Lomé"/>
    <s v="Afrique de l'Ouest"/>
    <x v="193"/>
    <x v="8"/>
    <x v="4"/>
    <n v="9"/>
    <n v="15000"/>
    <n v="125829"/>
    <n v="12583"/>
  </r>
  <r>
    <x v="3"/>
    <s v="Yaoundé"/>
    <s v="Afrique Centrale"/>
    <x v="102"/>
    <x v="234"/>
    <x v="4"/>
    <n v="1"/>
    <n v="15000"/>
    <n v="14556"/>
    <n v="1456"/>
  </r>
  <r>
    <x v="4"/>
    <s v="Dar es Salaam"/>
    <s v="Afrique de l'Est"/>
    <x v="70"/>
    <x v="282"/>
    <x v="2"/>
    <n v="2"/>
    <n v="45000"/>
    <n v="87789"/>
    <n v="15802"/>
  </r>
  <r>
    <x v="1"/>
    <s v="Lagos"/>
    <s v="Afrique de l'Ouest"/>
    <x v="111"/>
    <x v="139"/>
    <x v="1"/>
    <n v="2"/>
    <n v="12500"/>
    <n v="23436"/>
    <n v="1875"/>
  </r>
  <r>
    <x v="3"/>
    <s v="Kampala"/>
    <s v="Afrique de l'Est"/>
    <x v="144"/>
    <x v="226"/>
    <x v="3"/>
    <n v="7"/>
    <n v="55000"/>
    <n v="417940"/>
    <n v="91947"/>
  </r>
  <r>
    <x v="3"/>
    <s v="Dakar"/>
    <s v="Afrique de l'Ouest"/>
    <x v="69"/>
    <x v="58"/>
    <x v="4"/>
    <n v="3"/>
    <n v="15000"/>
    <n v="41959"/>
    <n v="4196"/>
  </r>
  <r>
    <x v="2"/>
    <s v="Dakar"/>
    <s v="Afrique de l'Ouest"/>
    <x v="33"/>
    <x v="183"/>
    <x v="2"/>
    <n v="10"/>
    <n v="45000"/>
    <n v="477691"/>
    <n v="85984"/>
  </r>
  <r>
    <x v="0"/>
    <s v="Addis-Abeba"/>
    <s v="Afrique de l'Est"/>
    <x v="185"/>
    <x v="200"/>
    <x v="1"/>
    <n v="4"/>
    <n v="12500"/>
    <n v="46078"/>
    <n v="3686"/>
  </r>
  <r>
    <x v="1"/>
    <s v="Dar es Salaam"/>
    <s v="Afrique de l'Est"/>
    <x v="112"/>
    <x v="190"/>
    <x v="0"/>
    <n v="3"/>
    <n v="18500"/>
    <n v="50375"/>
    <n v="6045"/>
  </r>
  <r>
    <x v="4"/>
    <s v="Dar es Salaam"/>
    <s v="Afrique de l'Est"/>
    <x v="154"/>
    <x v="38"/>
    <x v="3"/>
    <n v="10"/>
    <n v="55000"/>
    <n v="532707"/>
    <n v="117196"/>
  </r>
  <r>
    <x v="2"/>
    <s v="Bamako"/>
    <s v="Afrique de l'Ouest"/>
    <x v="119"/>
    <x v="45"/>
    <x v="1"/>
    <n v="8"/>
    <n v="12500"/>
    <n v="99867"/>
    <n v="7989"/>
  </r>
  <r>
    <x v="4"/>
    <s v="Cotonou"/>
    <s v="Afrique de l'Ouest"/>
    <x v="58"/>
    <x v="155"/>
    <x v="1"/>
    <n v="7"/>
    <n v="12500"/>
    <n v="85856"/>
    <n v="6868"/>
  </r>
  <r>
    <x v="0"/>
    <s v="Nairobi"/>
    <s v="Afrique de l'Est"/>
    <x v="202"/>
    <x v="5"/>
    <x v="0"/>
    <n v="8"/>
    <n v="18500"/>
    <n v="157607"/>
    <n v="18913"/>
  </r>
  <r>
    <x v="3"/>
    <s v="Cotonou"/>
    <s v="Afrique de l'Ouest"/>
    <x v="140"/>
    <x v="336"/>
    <x v="1"/>
    <n v="5"/>
    <n v="12500"/>
    <n v="57378"/>
    <n v="4590"/>
  </r>
  <r>
    <x v="4"/>
    <s v="Douala"/>
    <s v="Afrique Centrale"/>
    <x v="201"/>
    <x v="73"/>
    <x v="4"/>
    <n v="10"/>
    <n v="15000"/>
    <n v="154890"/>
    <n v="15489"/>
  </r>
  <r>
    <x v="1"/>
    <s v="Dar es Salaam"/>
    <s v="Afrique de l'Est"/>
    <x v="187"/>
    <x v="97"/>
    <x v="1"/>
    <n v="9"/>
    <n v="12500"/>
    <n v="118517"/>
    <n v="9481"/>
  </r>
  <r>
    <x v="0"/>
    <s v="Addis-Abeba"/>
    <s v="Afrique de l'Est"/>
    <x v="196"/>
    <x v="155"/>
    <x v="2"/>
    <n v="2"/>
    <n v="45000"/>
    <n v="94328"/>
    <n v="16979"/>
  </r>
  <r>
    <x v="0"/>
    <s v="Abidjan"/>
    <s v="Afrique de l'Ouest"/>
    <x v="213"/>
    <x v="356"/>
    <x v="4"/>
    <n v="6"/>
    <n v="15000"/>
    <n v="86191"/>
    <n v="8619"/>
  </r>
  <r>
    <x v="3"/>
    <s v="Lomé"/>
    <s v="Afrique de l'Ouest"/>
    <x v="38"/>
    <x v="287"/>
    <x v="2"/>
    <n v="8"/>
    <n v="45000"/>
    <n v="339797"/>
    <n v="61163"/>
  </r>
  <r>
    <x v="1"/>
    <s v="Kinshasa"/>
    <s v="Afrique Centrale"/>
    <x v="206"/>
    <x v="153"/>
    <x v="1"/>
    <n v="3"/>
    <n v="12500"/>
    <n v="35548"/>
    <n v="2844"/>
  </r>
  <r>
    <x v="2"/>
    <s v="Addis-Abeba"/>
    <s v="Afrique de l'Est"/>
    <x v="172"/>
    <x v="309"/>
    <x v="0"/>
    <n v="9"/>
    <n v="18500"/>
    <n v="153368"/>
    <n v="18404"/>
  </r>
  <r>
    <x v="4"/>
    <s v="Cotonou"/>
    <s v="Afrique de l'Ouest"/>
    <x v="36"/>
    <x v="299"/>
    <x v="3"/>
    <n v="7"/>
    <n v="55000"/>
    <n v="402680"/>
    <n v="88590"/>
  </r>
  <r>
    <x v="4"/>
    <s v="Abidjan"/>
    <s v="Afrique de l'Ouest"/>
    <x v="171"/>
    <x v="254"/>
    <x v="2"/>
    <n v="4"/>
    <n v="45000"/>
    <n v="185101"/>
    <n v="33318"/>
  </r>
  <r>
    <x v="2"/>
    <s v="Kinshasa"/>
    <s v="Afrique Centrale"/>
    <x v="172"/>
    <x v="128"/>
    <x v="2"/>
    <n v="4"/>
    <n v="45000"/>
    <n v="195261"/>
    <n v="35147"/>
  </r>
  <r>
    <x v="2"/>
    <s v="Nairobi"/>
    <s v="Afrique de l'Est"/>
    <x v="214"/>
    <x v="196"/>
    <x v="3"/>
    <n v="10"/>
    <n v="55000"/>
    <n v="495512"/>
    <n v="109013"/>
  </r>
  <r>
    <x v="1"/>
    <s v="Lagos"/>
    <s v="Afrique de l'Ouest"/>
    <x v="84"/>
    <x v="196"/>
    <x v="2"/>
    <n v="7"/>
    <n v="45000"/>
    <n v="286060"/>
    <n v="51491"/>
  </r>
  <r>
    <x v="0"/>
    <s v="Accra"/>
    <s v="Afrique de l'Ouest"/>
    <x v="148"/>
    <x v="1"/>
    <x v="4"/>
    <n v="4"/>
    <n v="15000"/>
    <n v="62331"/>
    <n v="6233"/>
  </r>
  <r>
    <x v="0"/>
    <s v="Yaoundé"/>
    <s v="Afrique Centrale"/>
    <x v="115"/>
    <x v="235"/>
    <x v="0"/>
    <n v="8"/>
    <n v="18500"/>
    <n v="137913"/>
    <n v="16550"/>
  </r>
  <r>
    <x v="4"/>
    <s v="Yaoundé"/>
    <s v="Afrique Centrale"/>
    <x v="73"/>
    <x v="311"/>
    <x v="4"/>
    <n v="6"/>
    <n v="15000"/>
    <n v="82681"/>
    <n v="8268"/>
  </r>
  <r>
    <x v="3"/>
    <s v="Lagos"/>
    <s v="Afrique de l'Ouest"/>
    <x v="107"/>
    <x v="73"/>
    <x v="1"/>
    <n v="10"/>
    <n v="12500"/>
    <n v="123346"/>
    <n v="9868"/>
  </r>
  <r>
    <x v="2"/>
    <s v="Kampala"/>
    <s v="Afrique de l'Est"/>
    <x v="133"/>
    <x v="94"/>
    <x v="2"/>
    <n v="8"/>
    <n v="45000"/>
    <n v="388260"/>
    <n v="69887"/>
  </r>
  <r>
    <x v="3"/>
    <s v="Lagos"/>
    <s v="Afrique de l'Ouest"/>
    <x v="202"/>
    <x v="357"/>
    <x v="1"/>
    <n v="4"/>
    <n v="12500"/>
    <n v="46502"/>
    <n v="3720"/>
  </r>
  <r>
    <x v="2"/>
    <s v="Lomé"/>
    <s v="Afrique de l'Ouest"/>
    <x v="148"/>
    <x v="349"/>
    <x v="2"/>
    <n v="5"/>
    <n v="45000"/>
    <n v="231916"/>
    <n v="41745"/>
  </r>
  <r>
    <x v="1"/>
    <s v="Kinshasa"/>
    <s v="Afrique Centrale"/>
    <x v="101"/>
    <x v="146"/>
    <x v="3"/>
    <n v="2"/>
    <n v="55000"/>
    <n v="112028"/>
    <n v="24646"/>
  </r>
  <r>
    <x v="3"/>
    <s v="Ouagadougou"/>
    <s v="Afrique de l'Ouest"/>
    <x v="18"/>
    <x v="288"/>
    <x v="2"/>
    <n v="5"/>
    <n v="45000"/>
    <n v="237380"/>
    <n v="42728"/>
  </r>
  <r>
    <x v="1"/>
    <s v="Bamako"/>
    <s v="Afrique de l'Ouest"/>
    <x v="152"/>
    <x v="203"/>
    <x v="3"/>
    <n v="2"/>
    <n v="55000"/>
    <n v="117845"/>
    <n v="25926"/>
  </r>
  <r>
    <x v="2"/>
    <s v="Yaoundé"/>
    <s v="Afrique Centrale"/>
    <x v="37"/>
    <x v="22"/>
    <x v="2"/>
    <n v="2"/>
    <n v="45000"/>
    <n v="87928"/>
    <n v="15827"/>
  </r>
  <r>
    <x v="4"/>
    <s v="Dakar"/>
    <s v="Afrique de l'Ouest"/>
    <x v="125"/>
    <x v="256"/>
    <x v="1"/>
    <n v="9"/>
    <n v="12500"/>
    <n v="112995"/>
    <n v="9040"/>
  </r>
  <r>
    <x v="1"/>
    <s v="Lagos"/>
    <s v="Afrique de l'Ouest"/>
    <x v="24"/>
    <x v="172"/>
    <x v="3"/>
    <n v="7"/>
    <n v="55000"/>
    <n v="379535"/>
    <n v="83498"/>
  </r>
  <r>
    <x v="1"/>
    <s v="Yaoundé"/>
    <s v="Afrique Centrale"/>
    <x v="59"/>
    <x v="260"/>
    <x v="0"/>
    <n v="6"/>
    <n v="18500"/>
    <n v="112413"/>
    <n v="13490"/>
  </r>
  <r>
    <x v="3"/>
    <s v="Abidjan"/>
    <s v="Afrique de l'Ouest"/>
    <x v="84"/>
    <x v="103"/>
    <x v="2"/>
    <n v="2"/>
    <n v="45000"/>
    <n v="94430"/>
    <n v="16997"/>
  </r>
  <r>
    <x v="3"/>
    <s v="Addis-Abeba"/>
    <s v="Afrique de l'Est"/>
    <x v="161"/>
    <x v="309"/>
    <x v="1"/>
    <n v="8"/>
    <n v="12500"/>
    <n v="99812"/>
    <n v="7985"/>
  </r>
  <r>
    <x v="4"/>
    <s v="Kinshasa"/>
    <s v="Afrique Centrale"/>
    <x v="134"/>
    <x v="311"/>
    <x v="4"/>
    <n v="7"/>
    <n v="15000"/>
    <n v="111783"/>
    <n v="11178"/>
  </r>
  <r>
    <x v="1"/>
    <s v="Lagos"/>
    <s v="Afrique de l'Ouest"/>
    <x v="223"/>
    <x v="13"/>
    <x v="0"/>
    <n v="6"/>
    <n v="18500"/>
    <n v="103525"/>
    <n v="12423"/>
  </r>
  <r>
    <x v="4"/>
    <s v="Nairobi"/>
    <s v="Afrique de l'Est"/>
    <x v="151"/>
    <x v="127"/>
    <x v="0"/>
    <n v="5"/>
    <n v="18500"/>
    <n v="88313"/>
    <n v="10598"/>
  </r>
  <r>
    <x v="4"/>
    <s v="Nairobi"/>
    <s v="Afrique de l'Est"/>
    <x v="95"/>
    <x v="114"/>
    <x v="4"/>
    <n v="8"/>
    <n v="15000"/>
    <n v="114506"/>
    <n v="11451"/>
  </r>
  <r>
    <x v="4"/>
    <s v="Bamako"/>
    <s v="Afrique de l'Ouest"/>
    <x v="21"/>
    <x v="336"/>
    <x v="2"/>
    <n v="7"/>
    <n v="45000"/>
    <n v="325898"/>
    <n v="58662"/>
  </r>
  <r>
    <x v="0"/>
    <s v="Douala"/>
    <s v="Afrique Centrale"/>
    <x v="28"/>
    <x v="115"/>
    <x v="3"/>
    <n v="8"/>
    <n v="55000"/>
    <n v="423561"/>
    <n v="93183"/>
  </r>
  <r>
    <x v="3"/>
    <s v="Dakar"/>
    <s v="Afrique de l'Ouest"/>
    <x v="149"/>
    <x v="97"/>
    <x v="1"/>
    <n v="9"/>
    <n v="12500"/>
    <n v="113961"/>
    <n v="9117"/>
  </r>
  <r>
    <x v="1"/>
    <s v="Yaoundé"/>
    <s v="Afrique Centrale"/>
    <x v="94"/>
    <x v="134"/>
    <x v="2"/>
    <n v="4"/>
    <n v="45000"/>
    <n v="180804"/>
    <n v="32545"/>
  </r>
  <r>
    <x v="2"/>
    <s v="Ouagadougou"/>
    <s v="Afrique de l'Ouest"/>
    <x v="132"/>
    <x v="19"/>
    <x v="3"/>
    <n v="9"/>
    <n v="55000"/>
    <n v="467136"/>
    <n v="102770"/>
  </r>
  <r>
    <x v="3"/>
    <s v="Douala"/>
    <s v="Afrique Centrale"/>
    <x v="146"/>
    <x v="182"/>
    <x v="3"/>
    <n v="10"/>
    <n v="55000"/>
    <n v="566702"/>
    <n v="124674"/>
  </r>
  <r>
    <x v="3"/>
    <s v="Accra"/>
    <s v="Afrique de l'Ouest"/>
    <x v="51"/>
    <x v="250"/>
    <x v="4"/>
    <n v="9"/>
    <n v="15000"/>
    <n v="140450"/>
    <n v="14045"/>
  </r>
  <r>
    <x v="3"/>
    <s v="Accra"/>
    <s v="Afrique de l'Ouest"/>
    <x v="97"/>
    <x v="170"/>
    <x v="1"/>
    <n v="10"/>
    <n v="12500"/>
    <n v="120098"/>
    <n v="9608"/>
  </r>
  <r>
    <x v="1"/>
    <s v="Abidjan"/>
    <s v="Afrique de l'Ouest"/>
    <x v="46"/>
    <x v="255"/>
    <x v="4"/>
    <n v="7"/>
    <n v="15000"/>
    <n v="97479"/>
    <n v="9748"/>
  </r>
  <r>
    <x v="4"/>
    <s v="Nairobi"/>
    <s v="Afrique de l'Est"/>
    <x v="178"/>
    <x v="352"/>
    <x v="2"/>
    <n v="7"/>
    <n v="45000"/>
    <n v="289593"/>
    <n v="52127"/>
  </r>
  <r>
    <x v="3"/>
    <s v="Abidjan"/>
    <s v="Afrique de l'Ouest"/>
    <x v="129"/>
    <x v="288"/>
    <x v="2"/>
    <n v="6"/>
    <n v="45000"/>
    <n v="262848"/>
    <n v="47313"/>
  </r>
  <r>
    <x v="0"/>
    <s v="Nairobi"/>
    <s v="Afrique de l'Est"/>
    <x v="44"/>
    <x v="150"/>
    <x v="0"/>
    <n v="2"/>
    <n v="18500"/>
    <n v="33388"/>
    <n v="4007"/>
  </r>
  <r>
    <x v="1"/>
    <s v="Dar es Salaam"/>
    <s v="Afrique de l'Est"/>
    <x v="98"/>
    <x v="175"/>
    <x v="2"/>
    <n v="4"/>
    <n v="45000"/>
    <n v="163722"/>
    <n v="29470"/>
  </r>
  <r>
    <x v="3"/>
    <s v="Dar es Salaam"/>
    <s v="Afrique de l'Est"/>
    <x v="139"/>
    <x v="213"/>
    <x v="4"/>
    <n v="2"/>
    <n v="15000"/>
    <n v="28710"/>
    <n v="2871"/>
  </r>
  <r>
    <x v="3"/>
    <s v="Cotonou"/>
    <s v="Afrique de l'Ouest"/>
    <x v="58"/>
    <x v="10"/>
    <x v="0"/>
    <n v="2"/>
    <n v="18500"/>
    <n v="35991"/>
    <n v="4319"/>
  </r>
  <r>
    <x v="0"/>
    <s v="Bamako"/>
    <s v="Afrique de l'Ouest"/>
    <x v="180"/>
    <x v="172"/>
    <x v="4"/>
    <n v="1"/>
    <n v="15000"/>
    <n v="14674"/>
    <n v="1467"/>
  </r>
  <r>
    <x v="2"/>
    <s v="Abidjan"/>
    <s v="Afrique de l'Ouest"/>
    <x v="66"/>
    <x v="162"/>
    <x v="3"/>
    <n v="1"/>
    <n v="55000"/>
    <n v="59992"/>
    <n v="13198"/>
  </r>
  <r>
    <x v="1"/>
    <s v="Nairobi"/>
    <s v="Afrique de l'Est"/>
    <x v="95"/>
    <x v="157"/>
    <x v="1"/>
    <n v="9"/>
    <n v="12500"/>
    <n v="107818"/>
    <n v="8625"/>
  </r>
  <r>
    <x v="4"/>
    <s v="Douala"/>
    <s v="Afrique Centrale"/>
    <x v="153"/>
    <x v="106"/>
    <x v="2"/>
    <n v="2"/>
    <n v="45000"/>
    <n v="86960"/>
    <n v="15653"/>
  </r>
  <r>
    <x v="4"/>
    <s v="Bamako"/>
    <s v="Afrique de l'Ouest"/>
    <x v="109"/>
    <x v="288"/>
    <x v="4"/>
    <n v="6"/>
    <n v="15000"/>
    <n v="97591"/>
    <n v="9759"/>
  </r>
  <r>
    <x v="3"/>
    <s v="Bamako"/>
    <s v="Afrique de l'Ouest"/>
    <x v="163"/>
    <x v="174"/>
    <x v="2"/>
    <n v="3"/>
    <n v="45000"/>
    <n v="135105"/>
    <n v="24319"/>
  </r>
  <r>
    <x v="2"/>
    <s v="Dakar"/>
    <s v="Afrique de l'Ouest"/>
    <x v="109"/>
    <x v="144"/>
    <x v="1"/>
    <n v="10"/>
    <n v="12500"/>
    <n v="115586"/>
    <n v="9247"/>
  </r>
  <r>
    <x v="0"/>
    <s v="Addis-Abeba"/>
    <s v="Afrique de l'Est"/>
    <x v="71"/>
    <x v="76"/>
    <x v="0"/>
    <n v="5"/>
    <n v="18500"/>
    <n v="86428"/>
    <n v="10371"/>
  </r>
  <r>
    <x v="2"/>
    <s v="Dakar"/>
    <s v="Afrique de l'Ouest"/>
    <x v="143"/>
    <x v="175"/>
    <x v="3"/>
    <n v="8"/>
    <n v="55000"/>
    <n v="479649"/>
    <n v="105523"/>
  </r>
  <r>
    <x v="1"/>
    <s v="Kinshasa"/>
    <s v="Afrique Centrale"/>
    <x v="165"/>
    <x v="225"/>
    <x v="3"/>
    <n v="7"/>
    <n v="55000"/>
    <n v="422914"/>
    <n v="93041"/>
  </r>
  <r>
    <x v="4"/>
    <s v="Bamako"/>
    <s v="Afrique de l'Ouest"/>
    <x v="220"/>
    <x v="107"/>
    <x v="0"/>
    <n v="2"/>
    <n v="18500"/>
    <n v="33538"/>
    <n v="4025"/>
  </r>
  <r>
    <x v="4"/>
    <s v="Dakar"/>
    <s v="Afrique de l'Ouest"/>
    <x v="105"/>
    <x v="66"/>
    <x v="3"/>
    <n v="2"/>
    <n v="55000"/>
    <n v="112176"/>
    <n v="24679"/>
  </r>
  <r>
    <x v="3"/>
    <s v="Lagos"/>
    <s v="Afrique de l'Ouest"/>
    <x v="102"/>
    <x v="26"/>
    <x v="1"/>
    <n v="8"/>
    <n v="12500"/>
    <n v="92544"/>
    <n v="7404"/>
  </r>
  <r>
    <x v="1"/>
    <s v="Abidjan"/>
    <s v="Afrique de l'Ouest"/>
    <x v="82"/>
    <x v="115"/>
    <x v="2"/>
    <n v="1"/>
    <n v="45000"/>
    <n v="43502"/>
    <n v="7830"/>
  </r>
  <r>
    <x v="1"/>
    <s v="Yaoundé"/>
    <s v="Afrique Centrale"/>
    <x v="212"/>
    <x v="200"/>
    <x v="3"/>
    <n v="6"/>
    <n v="55000"/>
    <n v="313984"/>
    <n v="69076"/>
  </r>
  <r>
    <x v="2"/>
    <s v="Addis-Abeba"/>
    <s v="Afrique de l'Est"/>
    <x v="157"/>
    <x v="293"/>
    <x v="2"/>
    <n v="4"/>
    <n v="45000"/>
    <n v="181922"/>
    <n v="32746"/>
  </r>
  <r>
    <x v="0"/>
    <s v="Kampala"/>
    <s v="Afrique de l'Est"/>
    <x v="201"/>
    <x v="211"/>
    <x v="2"/>
    <n v="2"/>
    <n v="45000"/>
    <n v="89458"/>
    <n v="16102"/>
  </r>
  <r>
    <x v="1"/>
    <s v="Dar es Salaam"/>
    <s v="Afrique de l'Est"/>
    <x v="138"/>
    <x v="334"/>
    <x v="0"/>
    <n v="1"/>
    <n v="18500"/>
    <n v="18642"/>
    <n v="2237"/>
  </r>
  <r>
    <x v="1"/>
    <s v="Kampala"/>
    <s v="Afrique de l'Est"/>
    <x v="94"/>
    <x v="194"/>
    <x v="1"/>
    <n v="10"/>
    <n v="12500"/>
    <n v="117914"/>
    <n v="9433"/>
  </r>
  <r>
    <x v="4"/>
    <s v="Ouagadougou"/>
    <s v="Afrique de l'Ouest"/>
    <x v="170"/>
    <x v="52"/>
    <x v="0"/>
    <n v="9"/>
    <n v="18500"/>
    <n v="183098"/>
    <n v="21972"/>
  </r>
  <r>
    <x v="4"/>
    <s v="Dar es Salaam"/>
    <s v="Afrique de l'Est"/>
    <x v="142"/>
    <x v="130"/>
    <x v="3"/>
    <n v="10"/>
    <n v="55000"/>
    <n v="557880"/>
    <n v="122734"/>
  </r>
  <r>
    <x v="0"/>
    <s v="Douala"/>
    <s v="Afrique Centrale"/>
    <x v="82"/>
    <x v="190"/>
    <x v="2"/>
    <n v="8"/>
    <n v="45000"/>
    <n v="385269"/>
    <n v="69348"/>
  </r>
  <r>
    <x v="0"/>
    <s v="Addis-Abeba"/>
    <s v="Afrique de l'Est"/>
    <x v="163"/>
    <x v="23"/>
    <x v="0"/>
    <n v="6"/>
    <n v="18500"/>
    <n v="112057"/>
    <n v="13447"/>
  </r>
  <r>
    <x v="2"/>
    <s v="Nairobi"/>
    <s v="Afrique de l'Est"/>
    <x v="30"/>
    <x v="218"/>
    <x v="3"/>
    <n v="5"/>
    <n v="55000"/>
    <n v="288861"/>
    <n v="63549"/>
  </r>
  <r>
    <x v="4"/>
    <s v="Bamako"/>
    <s v="Afrique de l'Ouest"/>
    <x v="86"/>
    <x v="302"/>
    <x v="0"/>
    <n v="5"/>
    <n v="18500"/>
    <n v="91113"/>
    <n v="10934"/>
  </r>
  <r>
    <x v="0"/>
    <s v="Douala"/>
    <s v="Afrique Centrale"/>
    <x v="202"/>
    <x v="163"/>
    <x v="2"/>
    <n v="9"/>
    <n v="45000"/>
    <n v="433541"/>
    <n v="78037"/>
  </r>
  <r>
    <x v="0"/>
    <s v="Abidjan"/>
    <s v="Afrique de l'Ouest"/>
    <x v="138"/>
    <x v="194"/>
    <x v="2"/>
    <n v="3"/>
    <n v="45000"/>
    <n v="141077"/>
    <n v="25394"/>
  </r>
  <r>
    <x v="4"/>
    <s v="Addis-Abeba"/>
    <s v="Afrique de l'Est"/>
    <x v="223"/>
    <x v="273"/>
    <x v="0"/>
    <n v="8"/>
    <n v="18500"/>
    <n v="133225"/>
    <n v="15987"/>
  </r>
  <r>
    <x v="0"/>
    <s v="Douala"/>
    <s v="Afrique Centrale"/>
    <x v="167"/>
    <x v="247"/>
    <x v="1"/>
    <n v="3"/>
    <n v="12500"/>
    <n v="41010"/>
    <n v="3281"/>
  </r>
  <r>
    <x v="4"/>
    <s v="Lagos"/>
    <s v="Afrique de l'Ouest"/>
    <x v="173"/>
    <x v="229"/>
    <x v="0"/>
    <n v="1"/>
    <n v="18500"/>
    <n v="19114"/>
    <n v="2294"/>
  </r>
  <r>
    <x v="3"/>
    <s v="Lagos"/>
    <s v="Afrique de l'Ouest"/>
    <x v="29"/>
    <x v="82"/>
    <x v="4"/>
    <n v="1"/>
    <n v="15000"/>
    <n v="15176"/>
    <n v="1518"/>
  </r>
  <r>
    <x v="1"/>
    <s v="Ouagadougou"/>
    <s v="Afrique de l'Ouest"/>
    <x v="43"/>
    <x v="42"/>
    <x v="4"/>
    <n v="10"/>
    <n v="15000"/>
    <n v="139423"/>
    <n v="13942"/>
  </r>
  <r>
    <x v="4"/>
    <s v="Cotonou"/>
    <s v="Afrique de l'Ouest"/>
    <x v="48"/>
    <x v="313"/>
    <x v="0"/>
    <n v="7"/>
    <n v="18500"/>
    <n v="122532"/>
    <n v="14704"/>
  </r>
  <r>
    <x v="0"/>
    <s v="Kampala"/>
    <s v="Afrique de l'Est"/>
    <x v="219"/>
    <x v="128"/>
    <x v="0"/>
    <n v="8"/>
    <n v="18500"/>
    <n v="157765"/>
    <n v="18932"/>
  </r>
  <r>
    <x v="0"/>
    <s v="Kinshasa"/>
    <s v="Afrique Centrale"/>
    <x v="27"/>
    <x v="3"/>
    <x v="1"/>
    <n v="9"/>
    <n v="12500"/>
    <n v="119313"/>
    <n v="9545"/>
  </r>
  <r>
    <x v="1"/>
    <s v="Cotonou"/>
    <s v="Afrique de l'Ouest"/>
    <x v="177"/>
    <x v="151"/>
    <x v="4"/>
    <n v="5"/>
    <n v="15000"/>
    <n v="71770"/>
    <n v="7177"/>
  </r>
  <r>
    <x v="1"/>
    <s v="Addis-Abeba"/>
    <s v="Afrique de l'Est"/>
    <x v="108"/>
    <x v="52"/>
    <x v="0"/>
    <n v="10"/>
    <n v="18500"/>
    <n v="172771"/>
    <n v="20733"/>
  </r>
  <r>
    <x v="1"/>
    <s v="Lagos"/>
    <s v="Afrique de l'Ouest"/>
    <x v="220"/>
    <x v="111"/>
    <x v="4"/>
    <n v="7"/>
    <n v="15000"/>
    <n v="108912"/>
    <n v="10891"/>
  </r>
  <r>
    <x v="4"/>
    <s v="Yaoundé"/>
    <s v="Afrique Centrale"/>
    <x v="26"/>
    <x v="200"/>
    <x v="2"/>
    <n v="2"/>
    <n v="45000"/>
    <n v="83841"/>
    <n v="15091"/>
  </r>
  <r>
    <x v="2"/>
    <s v="Bamako"/>
    <s v="Afrique de l'Ouest"/>
    <x v="57"/>
    <x v="328"/>
    <x v="1"/>
    <n v="8"/>
    <n v="12500"/>
    <n v="93657"/>
    <n v="7493"/>
  </r>
  <r>
    <x v="2"/>
    <s v="Abidjan"/>
    <s v="Afrique de l'Ouest"/>
    <x v="117"/>
    <x v="152"/>
    <x v="0"/>
    <n v="3"/>
    <n v="18500"/>
    <n v="50925"/>
    <n v="6111"/>
  </r>
  <r>
    <x v="2"/>
    <s v="Addis-Abeba"/>
    <s v="Afrique de l'Est"/>
    <x v="98"/>
    <x v="354"/>
    <x v="0"/>
    <n v="9"/>
    <n v="18500"/>
    <n v="153278"/>
    <n v="18393"/>
  </r>
  <r>
    <x v="2"/>
    <s v="Nairobi"/>
    <s v="Afrique de l'Est"/>
    <x v="56"/>
    <x v="262"/>
    <x v="1"/>
    <n v="10"/>
    <n v="12500"/>
    <n v="127448"/>
    <n v="10196"/>
  </r>
  <r>
    <x v="4"/>
    <s v="Yaoundé"/>
    <s v="Afrique Centrale"/>
    <x v="171"/>
    <x v="252"/>
    <x v="4"/>
    <n v="1"/>
    <n v="15000"/>
    <n v="16499"/>
    <n v="1650"/>
  </r>
  <r>
    <x v="4"/>
    <s v="Cotonou"/>
    <s v="Afrique de l'Ouest"/>
    <x v="46"/>
    <x v="142"/>
    <x v="4"/>
    <n v="6"/>
    <n v="15000"/>
    <n v="82790"/>
    <n v="8279"/>
  </r>
  <r>
    <x v="4"/>
    <s v="Accra"/>
    <s v="Afrique de l'Ouest"/>
    <x v="145"/>
    <x v="242"/>
    <x v="0"/>
    <n v="9"/>
    <n v="18500"/>
    <n v="180879"/>
    <n v="21705"/>
  </r>
  <r>
    <x v="3"/>
    <s v="Lomé"/>
    <s v="Afrique de l'Ouest"/>
    <x v="85"/>
    <x v="134"/>
    <x v="4"/>
    <n v="3"/>
    <n v="15000"/>
    <n v="43394"/>
    <n v="4339"/>
  </r>
  <r>
    <x v="1"/>
    <s v="Lomé"/>
    <s v="Afrique de l'Ouest"/>
    <x v="104"/>
    <x v="358"/>
    <x v="2"/>
    <n v="5"/>
    <n v="45000"/>
    <n v="209828"/>
    <n v="37769"/>
  </r>
  <r>
    <x v="3"/>
    <s v="Kinshasa"/>
    <s v="Afrique Centrale"/>
    <x v="50"/>
    <x v="168"/>
    <x v="1"/>
    <n v="3"/>
    <n v="12500"/>
    <n v="39766"/>
    <n v="3181"/>
  </r>
  <r>
    <x v="3"/>
    <s v="Cotonou"/>
    <s v="Afrique de l'Ouest"/>
    <x v="33"/>
    <x v="48"/>
    <x v="2"/>
    <n v="10"/>
    <n v="45000"/>
    <n v="425177"/>
    <n v="76532"/>
  </r>
  <r>
    <x v="0"/>
    <s v="Bamako"/>
    <s v="Afrique de l'Ouest"/>
    <x v="160"/>
    <x v="152"/>
    <x v="4"/>
    <n v="7"/>
    <n v="15000"/>
    <n v="105493"/>
    <n v="10549"/>
  </r>
  <r>
    <x v="2"/>
    <s v="Lagos"/>
    <s v="Afrique de l'Ouest"/>
    <x v="24"/>
    <x v="154"/>
    <x v="3"/>
    <n v="2"/>
    <n v="55000"/>
    <n v="109340"/>
    <n v="24055"/>
  </r>
  <r>
    <x v="2"/>
    <s v="Accra"/>
    <s v="Afrique de l'Ouest"/>
    <x v="136"/>
    <x v="117"/>
    <x v="1"/>
    <n v="2"/>
    <n v="12500"/>
    <n v="23607"/>
    <n v="1889"/>
  </r>
  <r>
    <x v="3"/>
    <s v="Abidjan"/>
    <s v="Afrique de l'Ouest"/>
    <x v="52"/>
    <x v="245"/>
    <x v="4"/>
    <n v="7"/>
    <n v="15000"/>
    <n v="110971"/>
    <n v="11097"/>
  </r>
  <r>
    <x v="0"/>
    <s v="Bamako"/>
    <s v="Afrique de l'Ouest"/>
    <x v="19"/>
    <x v="186"/>
    <x v="3"/>
    <n v="7"/>
    <n v="55000"/>
    <n v="382965"/>
    <n v="84252"/>
  </r>
  <r>
    <x v="2"/>
    <s v="Douala"/>
    <s v="Afrique Centrale"/>
    <x v="8"/>
    <x v="218"/>
    <x v="4"/>
    <n v="3"/>
    <n v="15000"/>
    <n v="45590"/>
    <n v="4559"/>
  </r>
  <r>
    <x v="1"/>
    <s v="Lagos"/>
    <s v="Afrique de l'Ouest"/>
    <x v="88"/>
    <x v="93"/>
    <x v="0"/>
    <n v="1"/>
    <n v="18500"/>
    <n v="18702"/>
    <n v="2244"/>
  </r>
  <r>
    <x v="2"/>
    <s v="Abidjan"/>
    <s v="Afrique de l'Ouest"/>
    <x v="15"/>
    <x v="100"/>
    <x v="0"/>
    <n v="9"/>
    <n v="18500"/>
    <n v="162786"/>
    <n v="19534"/>
  </r>
  <r>
    <x v="0"/>
    <s v="Douala"/>
    <s v="Afrique Centrale"/>
    <x v="222"/>
    <x v="308"/>
    <x v="2"/>
    <n v="10"/>
    <n v="45000"/>
    <n v="421299"/>
    <n v="75834"/>
  </r>
  <r>
    <x v="2"/>
    <s v="Douala"/>
    <s v="Afrique Centrale"/>
    <x v="102"/>
    <x v="336"/>
    <x v="3"/>
    <n v="9"/>
    <n v="55000"/>
    <n v="457858"/>
    <n v="100729"/>
  </r>
  <r>
    <x v="4"/>
    <s v="Lagos"/>
    <s v="Afrique de l'Ouest"/>
    <x v="141"/>
    <x v="289"/>
    <x v="0"/>
    <n v="5"/>
    <n v="18500"/>
    <n v="91305"/>
    <n v="10957"/>
  </r>
  <r>
    <x v="3"/>
    <s v="Dakar"/>
    <s v="Afrique de l'Ouest"/>
    <x v="51"/>
    <x v="281"/>
    <x v="0"/>
    <n v="1"/>
    <n v="18500"/>
    <n v="17818"/>
    <n v="2138"/>
  </r>
  <r>
    <x v="4"/>
    <s v="Accra"/>
    <s v="Afrique de l'Ouest"/>
    <x v="163"/>
    <x v="329"/>
    <x v="3"/>
    <n v="1"/>
    <n v="55000"/>
    <n v="50305"/>
    <n v="11067"/>
  </r>
  <r>
    <x v="3"/>
    <s v="Lomé"/>
    <s v="Afrique de l'Ouest"/>
    <x v="73"/>
    <x v="160"/>
    <x v="2"/>
    <n v="1"/>
    <n v="45000"/>
    <n v="48143"/>
    <n v="8666"/>
  </r>
  <r>
    <x v="1"/>
    <s v="Accra"/>
    <s v="Afrique de l'Ouest"/>
    <x v="196"/>
    <x v="358"/>
    <x v="2"/>
    <n v="1"/>
    <n v="45000"/>
    <n v="49024"/>
    <n v="8824"/>
  </r>
  <r>
    <x v="0"/>
    <s v="Abidjan"/>
    <s v="Afrique de l'Ouest"/>
    <x v="87"/>
    <x v="223"/>
    <x v="4"/>
    <n v="2"/>
    <n v="15000"/>
    <n v="29000"/>
    <n v="2900"/>
  </r>
  <r>
    <x v="2"/>
    <s v="Kinshasa"/>
    <s v="Afrique Centrale"/>
    <x v="39"/>
    <x v="281"/>
    <x v="2"/>
    <n v="6"/>
    <n v="45000"/>
    <n v="291623"/>
    <n v="52492"/>
  </r>
  <r>
    <x v="1"/>
    <s v="Douala"/>
    <s v="Afrique Centrale"/>
    <x v="153"/>
    <x v="283"/>
    <x v="3"/>
    <n v="10"/>
    <n v="55000"/>
    <n v="596995"/>
    <n v="131339"/>
  </r>
  <r>
    <x v="4"/>
    <s v="Dar es Salaam"/>
    <s v="Afrique de l'Est"/>
    <x v="82"/>
    <x v="158"/>
    <x v="0"/>
    <n v="9"/>
    <n v="18500"/>
    <n v="177447"/>
    <n v="21294"/>
  </r>
  <r>
    <x v="3"/>
    <s v="Lomé"/>
    <s v="Afrique de l'Ouest"/>
    <x v="150"/>
    <x v="121"/>
    <x v="0"/>
    <n v="6"/>
    <n v="18500"/>
    <n v="109039"/>
    <n v="13085"/>
  </r>
  <r>
    <x v="3"/>
    <s v="Ouagadougou"/>
    <s v="Afrique de l'Ouest"/>
    <x v="215"/>
    <x v="276"/>
    <x v="1"/>
    <n v="10"/>
    <n v="12500"/>
    <n v="116382"/>
    <n v="9311"/>
  </r>
  <r>
    <x v="0"/>
    <s v="Nairobi"/>
    <s v="Afrique de l'Est"/>
    <x v="12"/>
    <x v="94"/>
    <x v="3"/>
    <n v="3"/>
    <n v="55000"/>
    <n v="159429"/>
    <n v="35074"/>
  </r>
  <r>
    <x v="0"/>
    <s v="Abidjan"/>
    <s v="Afrique de l'Ouest"/>
    <x v="22"/>
    <x v="126"/>
    <x v="4"/>
    <n v="6"/>
    <n v="15000"/>
    <n v="88382"/>
    <n v="8838"/>
  </r>
  <r>
    <x v="3"/>
    <s v="Accra"/>
    <s v="Afrique de l'Ouest"/>
    <x v="45"/>
    <x v="312"/>
    <x v="2"/>
    <n v="9"/>
    <n v="45000"/>
    <n v="396275"/>
    <n v="71330"/>
  </r>
  <r>
    <x v="0"/>
    <s v="Addis-Abeba"/>
    <s v="Afrique de l'Est"/>
    <x v="63"/>
    <x v="223"/>
    <x v="1"/>
    <n v="9"/>
    <n v="12500"/>
    <n v="101558"/>
    <n v="8125"/>
  </r>
  <r>
    <x v="2"/>
    <s v="Lagos"/>
    <s v="Afrique de l'Ouest"/>
    <x v="137"/>
    <x v="121"/>
    <x v="3"/>
    <n v="8"/>
    <n v="55000"/>
    <n v="408973"/>
    <n v="89974"/>
  </r>
  <r>
    <x v="0"/>
    <s v="Addis-Abeba"/>
    <s v="Afrique de l'Est"/>
    <x v="43"/>
    <x v="62"/>
    <x v="3"/>
    <n v="4"/>
    <n v="55000"/>
    <n v="210009"/>
    <n v="46202"/>
  </r>
  <r>
    <x v="4"/>
    <s v="Nairobi"/>
    <s v="Afrique de l'Est"/>
    <x v="91"/>
    <x v="165"/>
    <x v="1"/>
    <n v="3"/>
    <n v="12500"/>
    <n v="36299"/>
    <n v="2904"/>
  </r>
  <r>
    <x v="0"/>
    <s v="Accra"/>
    <s v="Afrique de l'Ouest"/>
    <x v="209"/>
    <x v="283"/>
    <x v="1"/>
    <n v="5"/>
    <n v="12500"/>
    <n v="63152"/>
    <n v="5052"/>
  </r>
  <r>
    <x v="1"/>
    <s v="Yaoundé"/>
    <s v="Afrique Centrale"/>
    <x v="202"/>
    <x v="228"/>
    <x v="2"/>
    <n v="1"/>
    <n v="45000"/>
    <n v="48556"/>
    <n v="8740"/>
  </r>
  <r>
    <x v="2"/>
    <s v="Lomé"/>
    <s v="Afrique de l'Ouest"/>
    <x v="214"/>
    <x v="256"/>
    <x v="0"/>
    <n v="8"/>
    <n v="18500"/>
    <n v="137734"/>
    <n v="16528"/>
  </r>
  <r>
    <x v="3"/>
    <s v="Dar es Salaam"/>
    <s v="Afrique de l'Est"/>
    <x v="203"/>
    <x v="230"/>
    <x v="2"/>
    <n v="8"/>
    <n v="45000"/>
    <n v="366127"/>
    <n v="65903"/>
  </r>
  <r>
    <x v="2"/>
    <s v="Dar es Salaam"/>
    <s v="Afrique de l'Est"/>
    <x v="224"/>
    <x v="218"/>
    <x v="4"/>
    <n v="7"/>
    <n v="15000"/>
    <n v="104903"/>
    <n v="10490"/>
  </r>
  <r>
    <x v="1"/>
    <s v="Abidjan"/>
    <s v="Afrique de l'Ouest"/>
    <x v="199"/>
    <x v="251"/>
    <x v="4"/>
    <n v="6"/>
    <n v="15000"/>
    <n v="87340"/>
    <n v="8734"/>
  </r>
  <r>
    <x v="4"/>
    <s v="Dar es Salaam"/>
    <s v="Afrique de l'Est"/>
    <x v="41"/>
    <x v="354"/>
    <x v="3"/>
    <n v="4"/>
    <n v="55000"/>
    <n v="231021"/>
    <n v="50825"/>
  </r>
  <r>
    <x v="1"/>
    <s v="Accra"/>
    <s v="Afrique de l'Ouest"/>
    <x v="158"/>
    <x v="346"/>
    <x v="4"/>
    <n v="3"/>
    <n v="15000"/>
    <n v="46299"/>
    <n v="4630"/>
  </r>
  <r>
    <x v="0"/>
    <s v="Ouagadougou"/>
    <s v="Afrique de l'Ouest"/>
    <x v="124"/>
    <x v="20"/>
    <x v="0"/>
    <n v="1"/>
    <n v="18500"/>
    <n v="16959"/>
    <n v="2035"/>
  </r>
  <r>
    <x v="4"/>
    <s v="Abidjan"/>
    <s v="Afrique de l'Ouest"/>
    <x v="162"/>
    <x v="7"/>
    <x v="4"/>
    <n v="6"/>
    <n v="15000"/>
    <n v="81791"/>
    <n v="8179"/>
  </r>
  <r>
    <x v="4"/>
    <s v="Cotonou"/>
    <s v="Afrique de l'Ouest"/>
    <x v="90"/>
    <x v="33"/>
    <x v="1"/>
    <n v="6"/>
    <n v="12500"/>
    <n v="76954"/>
    <n v="6156"/>
  </r>
  <r>
    <x v="1"/>
    <s v="Accra"/>
    <s v="Afrique de l'Ouest"/>
    <x v="43"/>
    <x v="283"/>
    <x v="4"/>
    <n v="8"/>
    <n v="15000"/>
    <n v="109217"/>
    <n v="10922"/>
  </r>
  <r>
    <x v="3"/>
    <s v="Addis-Abeba"/>
    <s v="Afrique de l'Est"/>
    <x v="172"/>
    <x v="174"/>
    <x v="2"/>
    <n v="8"/>
    <n v="45000"/>
    <n v="393328"/>
    <n v="70799"/>
  </r>
  <r>
    <x v="1"/>
    <s v="Ouagadougou"/>
    <s v="Afrique de l'Ouest"/>
    <x v="49"/>
    <x v="228"/>
    <x v="2"/>
    <n v="4"/>
    <n v="45000"/>
    <n v="167012"/>
    <n v="30062"/>
  </r>
  <r>
    <x v="2"/>
    <s v="Yaoundé"/>
    <s v="Afrique Centrale"/>
    <x v="34"/>
    <x v="199"/>
    <x v="3"/>
    <n v="5"/>
    <n v="55000"/>
    <n v="258528"/>
    <n v="56876"/>
  </r>
  <r>
    <x v="2"/>
    <s v="Cotonou"/>
    <s v="Afrique de l'Ouest"/>
    <x v="213"/>
    <x v="173"/>
    <x v="4"/>
    <n v="1"/>
    <n v="15000"/>
    <n v="15868"/>
    <n v="1587"/>
  </r>
  <r>
    <x v="2"/>
    <s v="Bamako"/>
    <s v="Afrique de l'Ouest"/>
    <x v="69"/>
    <x v="76"/>
    <x v="1"/>
    <n v="6"/>
    <n v="12500"/>
    <n v="76852"/>
    <n v="6148"/>
  </r>
  <r>
    <x v="0"/>
    <s v="Addis-Abeba"/>
    <s v="Afrique de l'Est"/>
    <x v="216"/>
    <x v="88"/>
    <x v="0"/>
    <n v="10"/>
    <n v="18500"/>
    <n v="177582"/>
    <n v="21310"/>
  </r>
  <r>
    <x v="2"/>
    <s v="Lomé"/>
    <s v="Afrique de l'Ouest"/>
    <x v="2"/>
    <x v="140"/>
    <x v="2"/>
    <n v="6"/>
    <n v="45000"/>
    <n v="289026"/>
    <n v="52025"/>
  </r>
  <r>
    <x v="1"/>
    <s v="Abidjan"/>
    <s v="Afrique de l'Ouest"/>
    <x v="170"/>
    <x v="227"/>
    <x v="4"/>
    <n v="6"/>
    <n v="15000"/>
    <n v="96419"/>
    <n v="9642"/>
  </r>
  <r>
    <x v="4"/>
    <s v="Dar es Salaam"/>
    <s v="Afrique de l'Est"/>
    <x v="32"/>
    <x v="333"/>
    <x v="1"/>
    <n v="4"/>
    <n v="12500"/>
    <n v="46752"/>
    <n v="3740"/>
  </r>
  <r>
    <x v="2"/>
    <s v="Lagos"/>
    <s v="Afrique de l'Ouest"/>
    <x v="212"/>
    <x v="255"/>
    <x v="1"/>
    <n v="1"/>
    <n v="12500"/>
    <n v="13704"/>
    <n v="1096"/>
  </r>
  <r>
    <x v="2"/>
    <s v="Abidjan"/>
    <s v="Afrique de l'Ouest"/>
    <x v="32"/>
    <x v="49"/>
    <x v="3"/>
    <n v="6"/>
    <n v="55000"/>
    <n v="308675"/>
    <n v="67908"/>
  </r>
  <r>
    <x v="3"/>
    <s v="Lagos"/>
    <s v="Afrique de l'Ouest"/>
    <x v="87"/>
    <x v="8"/>
    <x v="2"/>
    <n v="10"/>
    <n v="45000"/>
    <n v="440049"/>
    <n v="79209"/>
  </r>
  <r>
    <x v="2"/>
    <s v="Douala"/>
    <s v="Afrique Centrale"/>
    <x v="103"/>
    <x v="160"/>
    <x v="2"/>
    <n v="1"/>
    <n v="45000"/>
    <n v="44720"/>
    <n v="8050"/>
  </r>
  <r>
    <x v="2"/>
    <s v="Kinshasa"/>
    <s v="Afrique Centrale"/>
    <x v="97"/>
    <x v="169"/>
    <x v="3"/>
    <n v="2"/>
    <n v="55000"/>
    <n v="117608"/>
    <n v="25874"/>
  </r>
  <r>
    <x v="2"/>
    <s v="Cotonou"/>
    <s v="Afrique de l'Ouest"/>
    <x v="43"/>
    <x v="201"/>
    <x v="0"/>
    <n v="6"/>
    <n v="18500"/>
    <n v="119045"/>
    <n v="14285"/>
  </r>
  <r>
    <x v="1"/>
    <s v="Lomé"/>
    <s v="Afrique de l'Ouest"/>
    <x v="36"/>
    <x v="353"/>
    <x v="4"/>
    <n v="3"/>
    <n v="15000"/>
    <n v="47824"/>
    <n v="4782"/>
  </r>
  <r>
    <x v="3"/>
    <s v="Kampala"/>
    <s v="Afrique de l'Est"/>
    <x v="133"/>
    <x v="340"/>
    <x v="0"/>
    <n v="5"/>
    <n v="18500"/>
    <n v="85833"/>
    <n v="10300"/>
  </r>
  <r>
    <x v="0"/>
    <s v="Abidjan"/>
    <s v="Afrique de l'Ouest"/>
    <x v="83"/>
    <x v="146"/>
    <x v="0"/>
    <n v="6"/>
    <n v="18500"/>
    <n v="111787"/>
    <n v="13414"/>
  </r>
  <r>
    <x v="0"/>
    <s v="Kinshasa"/>
    <s v="Afrique Centrale"/>
    <x v="94"/>
    <x v="257"/>
    <x v="1"/>
    <n v="3"/>
    <n v="12500"/>
    <n v="40952"/>
    <n v="3276"/>
  </r>
  <r>
    <x v="3"/>
    <s v="Kinshasa"/>
    <s v="Afrique Centrale"/>
    <x v="30"/>
    <x v="146"/>
    <x v="1"/>
    <n v="2"/>
    <n v="12500"/>
    <n v="26135"/>
    <n v="2091"/>
  </r>
  <r>
    <x v="0"/>
    <s v="Cotonou"/>
    <s v="Afrique de l'Ouest"/>
    <x v="108"/>
    <x v="86"/>
    <x v="3"/>
    <n v="5"/>
    <n v="55000"/>
    <n v="279637"/>
    <n v="61520"/>
  </r>
  <r>
    <x v="4"/>
    <s v="Bamako"/>
    <s v="Afrique de l'Ouest"/>
    <x v="151"/>
    <x v="156"/>
    <x v="3"/>
    <n v="6"/>
    <n v="55000"/>
    <n v="342488"/>
    <n v="75347"/>
  </r>
  <r>
    <x v="1"/>
    <s v="Bamako"/>
    <s v="Afrique de l'Ouest"/>
    <x v="189"/>
    <x v="49"/>
    <x v="2"/>
    <n v="3"/>
    <n v="45000"/>
    <n v="130323"/>
    <n v="23458"/>
  </r>
  <r>
    <x v="1"/>
    <s v="Kinshasa"/>
    <s v="Afrique Centrale"/>
    <x v="135"/>
    <x v="221"/>
    <x v="3"/>
    <n v="9"/>
    <n v="55000"/>
    <n v="457158"/>
    <n v="100575"/>
  </r>
  <r>
    <x v="3"/>
    <s v="Accra"/>
    <s v="Afrique de l'Ouest"/>
    <x v="85"/>
    <x v="175"/>
    <x v="3"/>
    <n v="8"/>
    <n v="55000"/>
    <n v="427810"/>
    <n v="94118"/>
  </r>
  <r>
    <x v="1"/>
    <s v="Lagos"/>
    <s v="Afrique de l'Ouest"/>
    <x v="214"/>
    <x v="357"/>
    <x v="3"/>
    <n v="1"/>
    <n v="55000"/>
    <n v="49589"/>
    <n v="10910"/>
  </r>
  <r>
    <x v="4"/>
    <s v="Dar es Salaam"/>
    <s v="Afrique de l'Est"/>
    <x v="173"/>
    <x v="42"/>
    <x v="1"/>
    <n v="4"/>
    <n v="12500"/>
    <n v="52631"/>
    <n v="4210"/>
  </r>
  <r>
    <x v="0"/>
    <s v="Accra"/>
    <s v="Afrique de l'Ouest"/>
    <x v="22"/>
    <x v="257"/>
    <x v="4"/>
    <n v="4"/>
    <n v="15000"/>
    <n v="55857"/>
    <n v="5586"/>
  </r>
  <r>
    <x v="0"/>
    <s v="Abidjan"/>
    <s v="Afrique de l'Ouest"/>
    <x v="54"/>
    <x v="304"/>
    <x v="0"/>
    <n v="5"/>
    <n v="18500"/>
    <n v="84071"/>
    <n v="10089"/>
  </r>
  <r>
    <x v="0"/>
    <s v="Accra"/>
    <s v="Afrique de l'Ouest"/>
    <x v="33"/>
    <x v="341"/>
    <x v="0"/>
    <n v="1"/>
    <n v="18500"/>
    <n v="18595"/>
    <n v="2231"/>
  </r>
  <r>
    <x v="3"/>
    <s v="Dar es Salaam"/>
    <s v="Afrique de l'Est"/>
    <x v="99"/>
    <x v="16"/>
    <x v="3"/>
    <n v="5"/>
    <n v="55000"/>
    <n v="255457"/>
    <n v="56201"/>
  </r>
  <r>
    <x v="4"/>
    <s v="Ouagadougou"/>
    <s v="Afrique de l'Ouest"/>
    <x v="85"/>
    <x v="286"/>
    <x v="3"/>
    <n v="5"/>
    <n v="55000"/>
    <n v="293554"/>
    <n v="64582"/>
  </r>
  <r>
    <x v="2"/>
    <s v="Nairobi"/>
    <s v="Afrique de l'Est"/>
    <x v="195"/>
    <x v="212"/>
    <x v="2"/>
    <n v="4"/>
    <n v="45000"/>
    <n v="171690"/>
    <n v="30904"/>
  </r>
  <r>
    <x v="2"/>
    <s v="Douala"/>
    <s v="Afrique Centrale"/>
    <x v="168"/>
    <x v="4"/>
    <x v="1"/>
    <n v="2"/>
    <n v="12500"/>
    <n v="25874"/>
    <n v="2070"/>
  </r>
  <r>
    <x v="4"/>
    <s v="Yaoundé"/>
    <s v="Afrique Centrale"/>
    <x v="37"/>
    <x v="154"/>
    <x v="0"/>
    <n v="4"/>
    <n v="18500"/>
    <n v="75151"/>
    <n v="9018"/>
  </r>
  <r>
    <x v="4"/>
    <s v="Cotonou"/>
    <s v="Afrique de l'Ouest"/>
    <x v="61"/>
    <x v="124"/>
    <x v="3"/>
    <n v="7"/>
    <n v="55000"/>
    <n v="387936"/>
    <n v="85346"/>
  </r>
  <r>
    <x v="2"/>
    <s v="Yaoundé"/>
    <s v="Afrique Centrale"/>
    <x v="131"/>
    <x v="231"/>
    <x v="3"/>
    <n v="3"/>
    <n v="55000"/>
    <n v="174031"/>
    <n v="38287"/>
  </r>
  <r>
    <x v="0"/>
    <s v="Accra"/>
    <s v="Afrique de l'Ouest"/>
    <x v="207"/>
    <x v="189"/>
    <x v="1"/>
    <n v="3"/>
    <n v="12500"/>
    <n v="34569"/>
    <n v="2766"/>
  </r>
  <r>
    <x v="4"/>
    <s v="Addis-Abeba"/>
    <s v="Afrique de l'Est"/>
    <x v="25"/>
    <x v="149"/>
    <x v="1"/>
    <n v="9"/>
    <n v="12500"/>
    <n v="104963"/>
    <n v="8397"/>
  </r>
  <r>
    <x v="4"/>
    <s v="Kinshasa"/>
    <s v="Afrique Centrale"/>
    <x v="203"/>
    <x v="211"/>
    <x v="4"/>
    <n v="3"/>
    <n v="15000"/>
    <n v="45908"/>
    <n v="4591"/>
  </r>
  <r>
    <x v="0"/>
    <s v="Cotonou"/>
    <s v="Afrique de l'Ouest"/>
    <x v="163"/>
    <x v="296"/>
    <x v="1"/>
    <n v="1"/>
    <n v="12500"/>
    <n v="13566"/>
    <n v="1085"/>
  </r>
  <r>
    <x v="2"/>
    <s v="Bamako"/>
    <s v="Afrique de l'Ouest"/>
    <x v="4"/>
    <x v="169"/>
    <x v="4"/>
    <n v="9"/>
    <n v="15000"/>
    <n v="133522"/>
    <n v="13352"/>
  </r>
  <r>
    <x v="1"/>
    <s v="Kampala"/>
    <s v="Afrique de l'Est"/>
    <x v="111"/>
    <x v="27"/>
    <x v="2"/>
    <n v="5"/>
    <n v="45000"/>
    <n v="231974"/>
    <n v="41755"/>
  </r>
  <r>
    <x v="1"/>
    <s v="Dar es Salaam"/>
    <s v="Afrique de l'Est"/>
    <x v="79"/>
    <x v="61"/>
    <x v="2"/>
    <n v="3"/>
    <n v="45000"/>
    <n v="139411"/>
    <n v="25094"/>
  </r>
  <r>
    <x v="3"/>
    <s v="Kampala"/>
    <s v="Afrique de l'Est"/>
    <x v="90"/>
    <x v="31"/>
    <x v="0"/>
    <n v="3"/>
    <n v="18500"/>
    <n v="50109"/>
    <n v="6013"/>
  </r>
  <r>
    <x v="2"/>
    <s v="Addis-Abeba"/>
    <s v="Afrique de l'Est"/>
    <x v="210"/>
    <x v="25"/>
    <x v="4"/>
    <n v="5"/>
    <n v="15000"/>
    <n v="80945"/>
    <n v="8094"/>
  </r>
  <r>
    <x v="4"/>
    <s v="Accra"/>
    <s v="Afrique de l'Ouest"/>
    <x v="154"/>
    <x v="12"/>
    <x v="4"/>
    <n v="7"/>
    <n v="15000"/>
    <n v="113605"/>
    <n v="11360"/>
  </r>
  <r>
    <x v="3"/>
    <s v="Yaoundé"/>
    <s v="Afrique Centrale"/>
    <x v="198"/>
    <x v="205"/>
    <x v="4"/>
    <n v="10"/>
    <n v="15000"/>
    <n v="140673"/>
    <n v="14067"/>
  </r>
  <r>
    <x v="1"/>
    <s v="Ouagadougou"/>
    <s v="Afrique de l'Ouest"/>
    <x v="221"/>
    <x v="29"/>
    <x v="4"/>
    <n v="2"/>
    <n v="15000"/>
    <n v="30064"/>
    <n v="3006"/>
  </r>
  <r>
    <x v="3"/>
    <s v="Lomé"/>
    <s v="Afrique de l'Ouest"/>
    <x v="219"/>
    <x v="213"/>
    <x v="4"/>
    <n v="2"/>
    <n v="15000"/>
    <n v="29861"/>
    <n v="2986"/>
  </r>
  <r>
    <x v="0"/>
    <s v="Lagos"/>
    <s v="Afrique de l'Ouest"/>
    <x v="126"/>
    <x v="258"/>
    <x v="0"/>
    <n v="6"/>
    <n v="18500"/>
    <n v="121685"/>
    <n v="14602"/>
  </r>
  <r>
    <x v="1"/>
    <s v="Kampala"/>
    <s v="Afrique de l'Est"/>
    <x v="123"/>
    <x v="300"/>
    <x v="3"/>
    <n v="4"/>
    <n v="55000"/>
    <n v="205739"/>
    <n v="45263"/>
  </r>
  <r>
    <x v="3"/>
    <s v="Nairobi"/>
    <s v="Afrique de l'Est"/>
    <x v="4"/>
    <x v="131"/>
    <x v="3"/>
    <n v="5"/>
    <n v="55000"/>
    <n v="253181"/>
    <n v="55700"/>
  </r>
  <r>
    <x v="2"/>
    <s v="Kinshasa"/>
    <s v="Afrique Centrale"/>
    <x v="54"/>
    <x v="15"/>
    <x v="1"/>
    <n v="8"/>
    <n v="12500"/>
    <n v="91697"/>
    <n v="7336"/>
  </r>
  <r>
    <x v="3"/>
    <s v="Addis-Abeba"/>
    <s v="Afrique de l'Est"/>
    <x v="71"/>
    <x v="318"/>
    <x v="2"/>
    <n v="7"/>
    <n v="45000"/>
    <n v="292656"/>
    <n v="52678"/>
  </r>
  <r>
    <x v="0"/>
    <s v="Abidjan"/>
    <s v="Afrique de l'Ouest"/>
    <x v="171"/>
    <x v="105"/>
    <x v="2"/>
    <n v="8"/>
    <n v="45000"/>
    <n v="366838"/>
    <n v="66031"/>
  </r>
  <r>
    <x v="4"/>
    <s v="Kinshasa"/>
    <s v="Afrique Centrale"/>
    <x v="146"/>
    <x v="352"/>
    <x v="0"/>
    <n v="8"/>
    <n v="18500"/>
    <n v="140087"/>
    <n v="16810"/>
  </r>
  <r>
    <x v="4"/>
    <s v="Cotonou"/>
    <s v="Afrique de l'Ouest"/>
    <x v="80"/>
    <x v="38"/>
    <x v="0"/>
    <n v="7"/>
    <n v="18500"/>
    <n v="131363"/>
    <n v="15764"/>
  </r>
  <r>
    <x v="1"/>
    <s v="Cotonou"/>
    <s v="Afrique de l'Ouest"/>
    <x v="98"/>
    <x v="295"/>
    <x v="1"/>
    <n v="3"/>
    <n v="12500"/>
    <n v="33967"/>
    <n v="2717"/>
  </r>
  <r>
    <x v="4"/>
    <s v="Accra"/>
    <s v="Afrique de l'Ouest"/>
    <x v="221"/>
    <x v="11"/>
    <x v="4"/>
    <n v="3"/>
    <n v="15000"/>
    <n v="42951"/>
    <n v="4295"/>
  </r>
  <r>
    <x v="1"/>
    <s v="Nairobi"/>
    <s v="Afrique de l'Est"/>
    <x v="102"/>
    <x v="111"/>
    <x v="1"/>
    <n v="5"/>
    <n v="12500"/>
    <n v="58080"/>
    <n v="4646"/>
  </r>
  <r>
    <x v="2"/>
    <s v="Lagos"/>
    <s v="Afrique de l'Ouest"/>
    <x v="179"/>
    <x v="135"/>
    <x v="2"/>
    <n v="5"/>
    <n v="45000"/>
    <n v="228443"/>
    <n v="41120"/>
  </r>
  <r>
    <x v="2"/>
    <s v="Ouagadougou"/>
    <s v="Afrique de l'Ouest"/>
    <x v="91"/>
    <x v="299"/>
    <x v="4"/>
    <n v="5"/>
    <n v="15000"/>
    <n v="67585"/>
    <n v="6758"/>
  </r>
  <r>
    <x v="3"/>
    <s v="Yaoundé"/>
    <s v="Afrique Centrale"/>
    <x v="80"/>
    <x v="36"/>
    <x v="0"/>
    <n v="6"/>
    <n v="18500"/>
    <n v="116485"/>
    <n v="13978"/>
  </r>
  <r>
    <x v="4"/>
    <s v="Accra"/>
    <s v="Afrique de l'Ouest"/>
    <x v="187"/>
    <x v="48"/>
    <x v="3"/>
    <n v="6"/>
    <n v="55000"/>
    <n v="355045"/>
    <n v="78110"/>
  </r>
  <r>
    <x v="1"/>
    <s v="Accra"/>
    <s v="Afrique de l'Ouest"/>
    <x v="53"/>
    <x v="293"/>
    <x v="4"/>
    <n v="3"/>
    <n v="15000"/>
    <n v="45324"/>
    <n v="4532"/>
  </r>
  <r>
    <x v="1"/>
    <s v="Kampala"/>
    <s v="Afrique de l'Est"/>
    <x v="66"/>
    <x v="218"/>
    <x v="0"/>
    <n v="4"/>
    <n v="18500"/>
    <n v="67579"/>
    <n v="8109"/>
  </r>
  <r>
    <x v="0"/>
    <s v="Douala"/>
    <s v="Afrique Centrale"/>
    <x v="18"/>
    <x v="260"/>
    <x v="3"/>
    <n v="5"/>
    <n v="55000"/>
    <n v="290750"/>
    <n v="63965"/>
  </r>
  <r>
    <x v="0"/>
    <s v="Douala"/>
    <s v="Afrique Centrale"/>
    <x v="58"/>
    <x v="238"/>
    <x v="3"/>
    <n v="6"/>
    <n v="55000"/>
    <n v="322815"/>
    <n v="71019"/>
  </r>
  <r>
    <x v="0"/>
    <s v="Accra"/>
    <s v="Afrique de l'Ouest"/>
    <x v="189"/>
    <x v="177"/>
    <x v="4"/>
    <n v="2"/>
    <n v="15000"/>
    <n v="27079"/>
    <n v="2708"/>
  </r>
  <r>
    <x v="2"/>
    <s v="Lomé"/>
    <s v="Afrique de l'Ouest"/>
    <x v="197"/>
    <x v="175"/>
    <x v="3"/>
    <n v="3"/>
    <n v="55000"/>
    <n v="167357"/>
    <n v="36819"/>
  </r>
  <r>
    <x v="2"/>
    <s v="Kampala"/>
    <s v="Afrique de l'Est"/>
    <x v="161"/>
    <x v="10"/>
    <x v="4"/>
    <n v="10"/>
    <n v="15000"/>
    <n v="162614"/>
    <n v="16261"/>
  </r>
  <r>
    <x v="4"/>
    <s v="Ouagadougou"/>
    <s v="Afrique de l'Ouest"/>
    <x v="58"/>
    <x v="169"/>
    <x v="2"/>
    <n v="4"/>
    <n v="45000"/>
    <n v="172705"/>
    <n v="31087"/>
  </r>
  <r>
    <x v="0"/>
    <s v="Bamako"/>
    <s v="Afrique de l'Ouest"/>
    <x v="107"/>
    <x v="345"/>
    <x v="3"/>
    <n v="3"/>
    <n v="55000"/>
    <n v="162335"/>
    <n v="35714"/>
  </r>
  <r>
    <x v="2"/>
    <s v="Nairobi"/>
    <s v="Afrique de l'Est"/>
    <x v="7"/>
    <x v="353"/>
    <x v="4"/>
    <n v="2"/>
    <n v="15000"/>
    <n v="29585"/>
    <n v="2958"/>
  </r>
  <r>
    <x v="3"/>
    <s v="Nairobi"/>
    <s v="Afrique de l'Est"/>
    <x v="28"/>
    <x v="109"/>
    <x v="4"/>
    <n v="10"/>
    <n v="15000"/>
    <n v="163646"/>
    <n v="16365"/>
  </r>
  <r>
    <x v="1"/>
    <s v="Lomé"/>
    <s v="Afrique de l'Ouest"/>
    <x v="78"/>
    <x v="280"/>
    <x v="2"/>
    <n v="8"/>
    <n v="45000"/>
    <n v="378753"/>
    <n v="68176"/>
  </r>
  <r>
    <x v="4"/>
    <s v="Cotonou"/>
    <s v="Afrique de l'Ouest"/>
    <x v="111"/>
    <x v="229"/>
    <x v="0"/>
    <n v="6"/>
    <n v="18500"/>
    <n v="106818"/>
    <n v="12818"/>
  </r>
  <r>
    <x v="3"/>
    <s v="Cotonou"/>
    <s v="Afrique de l'Ouest"/>
    <x v="55"/>
    <x v="78"/>
    <x v="0"/>
    <n v="7"/>
    <n v="18500"/>
    <n v="117528"/>
    <n v="14103"/>
  </r>
  <r>
    <x v="2"/>
    <s v="Kinshasa"/>
    <s v="Afrique Centrale"/>
    <x v="127"/>
    <x v="120"/>
    <x v="0"/>
    <n v="6"/>
    <n v="18500"/>
    <n v="111333"/>
    <n v="13360"/>
  </r>
  <r>
    <x v="4"/>
    <s v="Lomé"/>
    <s v="Afrique de l'Ouest"/>
    <x v="158"/>
    <x v="139"/>
    <x v="4"/>
    <n v="7"/>
    <n v="15000"/>
    <n v="97260"/>
    <n v="9726"/>
  </r>
  <r>
    <x v="1"/>
    <s v="Dakar"/>
    <s v="Afrique de l'Ouest"/>
    <x v="85"/>
    <x v="238"/>
    <x v="2"/>
    <n v="2"/>
    <n v="45000"/>
    <n v="97730"/>
    <n v="17591"/>
  </r>
  <r>
    <x v="2"/>
    <s v="Lagos"/>
    <s v="Afrique de l'Ouest"/>
    <x v="96"/>
    <x v="221"/>
    <x v="1"/>
    <n v="2"/>
    <n v="12500"/>
    <n v="24684"/>
    <n v="1975"/>
  </r>
  <r>
    <x v="3"/>
    <s v="Nairobi"/>
    <s v="Afrique de l'Est"/>
    <x v="187"/>
    <x v="83"/>
    <x v="1"/>
    <n v="5"/>
    <n v="12500"/>
    <n v="66507"/>
    <n v="5321"/>
  </r>
  <r>
    <x v="4"/>
    <s v="Douala"/>
    <s v="Afrique Centrale"/>
    <x v="41"/>
    <x v="70"/>
    <x v="2"/>
    <n v="4"/>
    <n v="45000"/>
    <n v="169355"/>
    <n v="30484"/>
  </r>
  <r>
    <x v="1"/>
    <s v="Douala"/>
    <s v="Afrique Centrale"/>
    <x v="18"/>
    <x v="98"/>
    <x v="2"/>
    <n v="7"/>
    <n v="45000"/>
    <n v="324736"/>
    <n v="58452"/>
  </r>
  <r>
    <x v="2"/>
    <s v="Ouagadougou"/>
    <s v="Afrique de l'Ouest"/>
    <x v="166"/>
    <x v="61"/>
    <x v="2"/>
    <n v="9"/>
    <n v="45000"/>
    <n v="377409"/>
    <n v="67934"/>
  </r>
  <r>
    <x v="1"/>
    <s v="Addis-Abeba"/>
    <s v="Afrique de l'Est"/>
    <x v="85"/>
    <x v="347"/>
    <x v="3"/>
    <n v="8"/>
    <n v="55000"/>
    <n v="413770"/>
    <n v="91029"/>
  </r>
  <r>
    <x v="3"/>
    <s v="Douala"/>
    <s v="Afrique Centrale"/>
    <x v="143"/>
    <x v="93"/>
    <x v="4"/>
    <n v="6"/>
    <n v="15000"/>
    <n v="92090"/>
    <n v="9209"/>
  </r>
  <r>
    <x v="4"/>
    <s v="Kinshasa"/>
    <s v="Afrique Centrale"/>
    <x v="136"/>
    <x v="205"/>
    <x v="1"/>
    <n v="7"/>
    <n v="12500"/>
    <n v="82228"/>
    <n v="6578"/>
  </r>
  <r>
    <x v="3"/>
    <s v="Yaoundé"/>
    <s v="Afrique Centrale"/>
    <x v="48"/>
    <x v="100"/>
    <x v="0"/>
    <n v="4"/>
    <n v="18500"/>
    <n v="70300"/>
    <n v="8436"/>
  </r>
  <r>
    <x v="3"/>
    <s v="Cotonou"/>
    <s v="Afrique de l'Ouest"/>
    <x v="80"/>
    <x v="300"/>
    <x v="4"/>
    <n v="9"/>
    <n v="15000"/>
    <n v="148474"/>
    <n v="14847"/>
  </r>
  <r>
    <x v="3"/>
    <s v="Bamako"/>
    <s v="Afrique de l'Ouest"/>
    <x v="96"/>
    <x v="51"/>
    <x v="3"/>
    <n v="10"/>
    <n v="55000"/>
    <n v="565729"/>
    <n v="124460"/>
  </r>
  <r>
    <x v="1"/>
    <s v="Yaoundé"/>
    <s v="Afrique Centrale"/>
    <x v="5"/>
    <x v="242"/>
    <x v="1"/>
    <n v="10"/>
    <n v="12500"/>
    <n v="113819"/>
    <n v="9106"/>
  </r>
  <r>
    <x v="3"/>
    <s v="Douala"/>
    <s v="Afrique Centrale"/>
    <x v="38"/>
    <x v="117"/>
    <x v="3"/>
    <n v="2"/>
    <n v="55000"/>
    <n v="109023"/>
    <n v="23985"/>
  </r>
  <r>
    <x v="1"/>
    <s v="Dakar"/>
    <s v="Afrique de l'Ouest"/>
    <x v="208"/>
    <x v="177"/>
    <x v="3"/>
    <n v="3"/>
    <n v="55000"/>
    <n v="149347"/>
    <n v="32856"/>
  </r>
  <r>
    <x v="0"/>
    <s v="Yaoundé"/>
    <s v="Afrique Centrale"/>
    <x v="223"/>
    <x v="8"/>
    <x v="3"/>
    <n v="1"/>
    <n v="55000"/>
    <n v="51275"/>
    <n v="11280"/>
  </r>
  <r>
    <x v="0"/>
    <s v="Lomé"/>
    <s v="Afrique de l'Ouest"/>
    <x v="174"/>
    <x v="249"/>
    <x v="1"/>
    <n v="10"/>
    <n v="12500"/>
    <n v="113205"/>
    <n v="9056"/>
  </r>
  <r>
    <x v="2"/>
    <s v="Accra"/>
    <s v="Afrique de l'Ouest"/>
    <x v="123"/>
    <x v="214"/>
    <x v="0"/>
    <n v="6"/>
    <n v="18500"/>
    <n v="106213"/>
    <n v="12746"/>
  </r>
  <r>
    <x v="1"/>
    <s v="Kampala"/>
    <s v="Afrique de l'Est"/>
    <x v="218"/>
    <x v="150"/>
    <x v="1"/>
    <n v="7"/>
    <n v="12500"/>
    <n v="88067"/>
    <n v="7045"/>
  </r>
  <r>
    <x v="2"/>
    <s v="Addis-Abeba"/>
    <s v="Afrique de l'Est"/>
    <x v="192"/>
    <x v="14"/>
    <x v="4"/>
    <n v="1"/>
    <n v="15000"/>
    <n v="15486"/>
    <n v="1549"/>
  </r>
  <r>
    <x v="0"/>
    <s v="Lagos"/>
    <s v="Afrique de l'Ouest"/>
    <x v="187"/>
    <x v="116"/>
    <x v="1"/>
    <n v="6"/>
    <n v="12500"/>
    <n v="79472"/>
    <n v="6358"/>
  </r>
  <r>
    <x v="4"/>
    <s v="Accra"/>
    <s v="Afrique de l'Ouest"/>
    <x v="36"/>
    <x v="210"/>
    <x v="1"/>
    <n v="5"/>
    <n v="12500"/>
    <n v="57806"/>
    <n v="4624"/>
  </r>
  <r>
    <x v="3"/>
    <s v="Dakar"/>
    <s v="Afrique de l'Ouest"/>
    <x v="119"/>
    <x v="186"/>
    <x v="3"/>
    <n v="4"/>
    <n v="55000"/>
    <n v="238868"/>
    <n v="52551"/>
  </r>
  <r>
    <x v="3"/>
    <s v="Abidjan"/>
    <s v="Afrique de l'Ouest"/>
    <x v="100"/>
    <x v="187"/>
    <x v="3"/>
    <n v="7"/>
    <n v="55000"/>
    <n v="361859"/>
    <n v="79609"/>
  </r>
  <r>
    <x v="1"/>
    <s v="Kampala"/>
    <s v="Afrique de l'Est"/>
    <x v="15"/>
    <x v="204"/>
    <x v="3"/>
    <n v="7"/>
    <n v="55000"/>
    <n v="356758"/>
    <n v="78487"/>
  </r>
  <r>
    <x v="1"/>
    <s v="Douala"/>
    <s v="Afrique Centrale"/>
    <x v="110"/>
    <x v="348"/>
    <x v="2"/>
    <n v="9"/>
    <n v="45000"/>
    <n v="400449"/>
    <n v="72081"/>
  </r>
  <r>
    <x v="0"/>
    <s v="Cotonou"/>
    <s v="Afrique de l'Ouest"/>
    <x v="33"/>
    <x v="191"/>
    <x v="3"/>
    <n v="7"/>
    <n v="55000"/>
    <n v="363486"/>
    <n v="79967"/>
  </r>
  <r>
    <x v="0"/>
    <s v="Kampala"/>
    <s v="Afrique de l'Est"/>
    <x v="208"/>
    <x v="255"/>
    <x v="1"/>
    <n v="6"/>
    <n v="12500"/>
    <n v="74684"/>
    <n v="5975"/>
  </r>
  <r>
    <x v="3"/>
    <s v="Bamako"/>
    <s v="Afrique de l'Ouest"/>
    <x v="13"/>
    <x v="173"/>
    <x v="0"/>
    <n v="4"/>
    <n v="18500"/>
    <n v="67077"/>
    <n v="8049"/>
  </r>
  <r>
    <x v="2"/>
    <s v="Douala"/>
    <s v="Afrique Centrale"/>
    <x v="154"/>
    <x v="68"/>
    <x v="1"/>
    <n v="8"/>
    <n v="12500"/>
    <n v="95765"/>
    <n v="7661"/>
  </r>
  <r>
    <x v="0"/>
    <s v="Kinshasa"/>
    <s v="Afrique Centrale"/>
    <x v="76"/>
    <x v="180"/>
    <x v="1"/>
    <n v="2"/>
    <n v="12500"/>
    <n v="25393"/>
    <n v="2031"/>
  </r>
  <r>
    <x v="0"/>
    <s v="Kinshasa"/>
    <s v="Afrique Centrale"/>
    <x v="44"/>
    <x v="32"/>
    <x v="4"/>
    <n v="1"/>
    <n v="15000"/>
    <n v="14692"/>
    <n v="1469"/>
  </r>
  <r>
    <x v="4"/>
    <s v="Douala"/>
    <s v="Afrique Centrale"/>
    <x v="200"/>
    <x v="270"/>
    <x v="1"/>
    <n v="10"/>
    <n v="12500"/>
    <n v="132627"/>
    <n v="10610"/>
  </r>
  <r>
    <x v="3"/>
    <s v="Dar es Salaam"/>
    <s v="Afrique de l'Est"/>
    <x v="90"/>
    <x v="274"/>
    <x v="2"/>
    <n v="1"/>
    <n v="45000"/>
    <n v="48808"/>
    <n v="8785"/>
  </r>
  <r>
    <x v="1"/>
    <s v="Ouagadougou"/>
    <s v="Afrique de l'Ouest"/>
    <x v="66"/>
    <x v="123"/>
    <x v="4"/>
    <n v="7"/>
    <n v="15000"/>
    <n v="101911"/>
    <n v="10191"/>
  </r>
  <r>
    <x v="3"/>
    <s v="Ouagadougou"/>
    <s v="Afrique de l'Ouest"/>
    <x v="84"/>
    <x v="111"/>
    <x v="2"/>
    <n v="1"/>
    <n v="45000"/>
    <n v="49306"/>
    <n v="8875"/>
  </r>
  <r>
    <x v="3"/>
    <s v="Cotonou"/>
    <s v="Afrique de l'Ouest"/>
    <x v="109"/>
    <x v="103"/>
    <x v="0"/>
    <n v="7"/>
    <n v="18500"/>
    <n v="121327"/>
    <n v="14559"/>
  </r>
  <r>
    <x v="2"/>
    <s v="Dakar"/>
    <s v="Afrique de l'Ouest"/>
    <x v="210"/>
    <x v="257"/>
    <x v="3"/>
    <n v="9"/>
    <n v="55000"/>
    <n v="464793"/>
    <n v="102254"/>
  </r>
  <r>
    <x v="0"/>
    <s v="Bamako"/>
    <s v="Afrique de l'Ouest"/>
    <x v="152"/>
    <x v="187"/>
    <x v="3"/>
    <n v="9"/>
    <n v="55000"/>
    <n v="497719"/>
    <n v="109498"/>
  </r>
  <r>
    <x v="3"/>
    <s v="Abidjan"/>
    <s v="Afrique de l'Ouest"/>
    <x v="82"/>
    <x v="254"/>
    <x v="0"/>
    <n v="1"/>
    <n v="18500"/>
    <n v="17858"/>
    <n v="2143"/>
  </r>
  <r>
    <x v="3"/>
    <s v="Abidjan"/>
    <s v="Afrique de l'Ouest"/>
    <x v="77"/>
    <x v="206"/>
    <x v="1"/>
    <n v="6"/>
    <n v="12500"/>
    <n v="68796"/>
    <n v="5504"/>
  </r>
  <r>
    <x v="4"/>
    <s v="Douala"/>
    <s v="Afrique Centrale"/>
    <x v="144"/>
    <x v="263"/>
    <x v="2"/>
    <n v="3"/>
    <n v="45000"/>
    <n v="141458"/>
    <n v="25462"/>
  </r>
  <r>
    <x v="0"/>
    <s v="Addis-Abeba"/>
    <s v="Afrique de l'Est"/>
    <x v="192"/>
    <x v="356"/>
    <x v="2"/>
    <n v="4"/>
    <n v="45000"/>
    <n v="172665"/>
    <n v="31080"/>
  </r>
  <r>
    <x v="4"/>
    <s v="Dakar"/>
    <s v="Afrique de l'Ouest"/>
    <x v="162"/>
    <x v="302"/>
    <x v="3"/>
    <n v="10"/>
    <n v="55000"/>
    <n v="576117"/>
    <n v="126746"/>
  </r>
  <r>
    <x v="3"/>
    <s v="Kampala"/>
    <s v="Afrique de l'Est"/>
    <x v="201"/>
    <x v="118"/>
    <x v="1"/>
    <n v="6"/>
    <n v="12500"/>
    <n v="72695"/>
    <n v="5816"/>
  </r>
  <r>
    <x v="3"/>
    <s v="Bamako"/>
    <s v="Afrique de l'Ouest"/>
    <x v="25"/>
    <x v="354"/>
    <x v="0"/>
    <n v="5"/>
    <n v="18500"/>
    <n v="94417"/>
    <n v="11330"/>
  </r>
  <r>
    <x v="4"/>
    <s v="Bamako"/>
    <s v="Afrique de l'Ouest"/>
    <x v="207"/>
    <x v="153"/>
    <x v="4"/>
    <n v="6"/>
    <n v="15000"/>
    <n v="93166"/>
    <n v="9317"/>
  </r>
  <r>
    <x v="3"/>
    <s v="Dakar"/>
    <s v="Afrique de l'Ouest"/>
    <x v="181"/>
    <x v="172"/>
    <x v="0"/>
    <n v="5"/>
    <n v="18500"/>
    <n v="87069"/>
    <n v="10448"/>
  </r>
  <r>
    <x v="4"/>
    <s v="Addis-Abeba"/>
    <s v="Afrique de l'Est"/>
    <x v="174"/>
    <x v="302"/>
    <x v="4"/>
    <n v="7"/>
    <n v="15000"/>
    <n v="101893"/>
    <n v="10189"/>
  </r>
  <r>
    <x v="1"/>
    <s v="Bamako"/>
    <s v="Afrique de l'Ouest"/>
    <x v="103"/>
    <x v="232"/>
    <x v="3"/>
    <n v="1"/>
    <n v="55000"/>
    <n v="52832"/>
    <n v="11623"/>
  </r>
  <r>
    <x v="1"/>
    <s v="Nairobi"/>
    <s v="Afrique de l'Est"/>
    <x v="50"/>
    <x v="181"/>
    <x v="4"/>
    <n v="2"/>
    <n v="15000"/>
    <n v="29375"/>
    <n v="2938"/>
  </r>
  <r>
    <x v="1"/>
    <s v="Dakar"/>
    <s v="Afrique de l'Ouest"/>
    <x v="208"/>
    <x v="83"/>
    <x v="3"/>
    <n v="2"/>
    <n v="55000"/>
    <n v="109786"/>
    <n v="24153"/>
  </r>
  <r>
    <x v="4"/>
    <s v="Lagos"/>
    <s v="Afrique de l'Ouest"/>
    <x v="187"/>
    <x v="188"/>
    <x v="1"/>
    <n v="2"/>
    <n v="12500"/>
    <n v="25412"/>
    <n v="2033"/>
  </r>
  <r>
    <x v="4"/>
    <s v="Nairobi"/>
    <s v="Afrique de l'Est"/>
    <x v="108"/>
    <x v="4"/>
    <x v="4"/>
    <n v="1"/>
    <n v="15000"/>
    <n v="13636"/>
    <n v="1364"/>
  </r>
  <r>
    <x v="4"/>
    <s v="Cotonou"/>
    <s v="Afrique de l'Ouest"/>
    <x v="92"/>
    <x v="124"/>
    <x v="0"/>
    <n v="2"/>
    <n v="18500"/>
    <n v="36579"/>
    <n v="4389"/>
  </r>
  <r>
    <x v="0"/>
    <s v="Yaoundé"/>
    <s v="Afrique Centrale"/>
    <x v="100"/>
    <x v="35"/>
    <x v="2"/>
    <n v="2"/>
    <n v="45000"/>
    <n v="85330"/>
    <n v="15359"/>
  </r>
  <r>
    <x v="2"/>
    <s v="Cotonou"/>
    <s v="Afrique de l'Ouest"/>
    <x v="204"/>
    <x v="296"/>
    <x v="4"/>
    <n v="3"/>
    <n v="15000"/>
    <n v="42293"/>
    <n v="4229"/>
  </r>
  <r>
    <x v="0"/>
    <s v="Kinshasa"/>
    <s v="Afrique Centrale"/>
    <x v="166"/>
    <x v="218"/>
    <x v="3"/>
    <n v="5"/>
    <n v="55000"/>
    <n v="301924"/>
    <n v="66423"/>
  </r>
  <r>
    <x v="1"/>
    <s v="Yaoundé"/>
    <s v="Afrique Centrale"/>
    <x v="25"/>
    <x v="209"/>
    <x v="0"/>
    <n v="1"/>
    <n v="18500"/>
    <n v="17613"/>
    <n v="2114"/>
  </r>
  <r>
    <x v="1"/>
    <s v="Addis-Abeba"/>
    <s v="Afrique de l'Est"/>
    <x v="211"/>
    <x v="359"/>
    <x v="1"/>
    <n v="1"/>
    <n v="12500"/>
    <n v="11803"/>
    <n v="944"/>
  </r>
  <r>
    <x v="1"/>
    <s v="Dar es Salaam"/>
    <s v="Afrique de l'Est"/>
    <x v="176"/>
    <x v="215"/>
    <x v="2"/>
    <n v="7"/>
    <n v="45000"/>
    <n v="326992"/>
    <n v="58859"/>
  </r>
  <r>
    <x v="2"/>
    <s v="Bamako"/>
    <s v="Afrique de l'Ouest"/>
    <x v="18"/>
    <x v="61"/>
    <x v="4"/>
    <n v="2"/>
    <n v="15000"/>
    <n v="28471"/>
    <n v="2847"/>
  </r>
  <r>
    <x v="1"/>
    <s v="Dar es Salaam"/>
    <s v="Afrique de l'Est"/>
    <x v="168"/>
    <x v="332"/>
    <x v="3"/>
    <n v="9"/>
    <n v="55000"/>
    <n v="513520"/>
    <n v="112974"/>
  </r>
  <r>
    <x v="4"/>
    <s v="Addis-Abeba"/>
    <s v="Afrique de l'Est"/>
    <x v="103"/>
    <x v="219"/>
    <x v="3"/>
    <n v="9"/>
    <n v="55000"/>
    <n v="460246"/>
    <n v="101254"/>
  </r>
  <r>
    <x v="4"/>
    <s v="Abidjan"/>
    <s v="Afrique de l'Ouest"/>
    <x v="184"/>
    <x v="91"/>
    <x v="4"/>
    <n v="7"/>
    <n v="15000"/>
    <n v="111857"/>
    <n v="11186"/>
  </r>
  <r>
    <x v="4"/>
    <s v="Lagos"/>
    <s v="Afrique de l'Ouest"/>
    <x v="8"/>
    <x v="187"/>
    <x v="3"/>
    <n v="7"/>
    <n v="55000"/>
    <n v="364923"/>
    <n v="80283"/>
  </r>
  <r>
    <x v="2"/>
    <s v="Lomé"/>
    <s v="Afrique de l'Ouest"/>
    <x v="216"/>
    <x v="271"/>
    <x v="3"/>
    <n v="3"/>
    <n v="55000"/>
    <n v="149712"/>
    <n v="32937"/>
  </r>
  <r>
    <x v="1"/>
    <s v="Accra"/>
    <s v="Afrique de l'Ouest"/>
    <x v="159"/>
    <x v="147"/>
    <x v="3"/>
    <n v="6"/>
    <n v="55000"/>
    <n v="320571"/>
    <n v="70526"/>
  </r>
  <r>
    <x v="1"/>
    <s v="Yaoundé"/>
    <s v="Afrique Centrale"/>
    <x v="203"/>
    <x v="21"/>
    <x v="2"/>
    <n v="6"/>
    <n v="45000"/>
    <n v="262527"/>
    <n v="47255"/>
  </r>
  <r>
    <x v="1"/>
    <s v="Bamako"/>
    <s v="Afrique de l'Ouest"/>
    <x v="52"/>
    <x v="102"/>
    <x v="4"/>
    <n v="9"/>
    <n v="15000"/>
    <n v="144301"/>
    <n v="14430"/>
  </r>
  <r>
    <x v="0"/>
    <s v="Yaoundé"/>
    <s v="Afrique Centrale"/>
    <x v="106"/>
    <x v="207"/>
    <x v="4"/>
    <n v="7"/>
    <n v="15000"/>
    <n v="110653"/>
    <n v="11065"/>
  </r>
  <r>
    <x v="3"/>
    <s v="Accra"/>
    <s v="Afrique de l'Ouest"/>
    <x v="174"/>
    <x v="177"/>
    <x v="4"/>
    <n v="5"/>
    <n v="15000"/>
    <n v="78845"/>
    <n v="7884"/>
  </r>
  <r>
    <x v="4"/>
    <s v="Lomé"/>
    <s v="Afrique de l'Ouest"/>
    <x v="51"/>
    <x v="65"/>
    <x v="3"/>
    <n v="3"/>
    <n v="55000"/>
    <n v="163220"/>
    <n v="35908"/>
  </r>
  <r>
    <x v="1"/>
    <s v="Yaoundé"/>
    <s v="Afrique Centrale"/>
    <x v="180"/>
    <x v="317"/>
    <x v="2"/>
    <n v="5"/>
    <n v="45000"/>
    <n v="240827"/>
    <n v="43349"/>
  </r>
  <r>
    <x v="4"/>
    <s v="Nairobi"/>
    <s v="Afrique de l'Est"/>
    <x v="147"/>
    <x v="316"/>
    <x v="3"/>
    <n v="8"/>
    <n v="55000"/>
    <n v="404648"/>
    <n v="89023"/>
  </r>
  <r>
    <x v="0"/>
    <s v="Douala"/>
    <s v="Afrique Centrale"/>
    <x v="39"/>
    <x v="324"/>
    <x v="2"/>
    <n v="9"/>
    <n v="45000"/>
    <n v="373355"/>
    <n v="67204"/>
  </r>
  <r>
    <x v="1"/>
    <s v="Addis-Abeba"/>
    <s v="Afrique de l'Est"/>
    <x v="26"/>
    <x v="143"/>
    <x v="4"/>
    <n v="7"/>
    <n v="15000"/>
    <n v="108770"/>
    <n v="10877"/>
  </r>
  <r>
    <x v="0"/>
    <s v="Abidjan"/>
    <s v="Afrique de l'Ouest"/>
    <x v="15"/>
    <x v="170"/>
    <x v="2"/>
    <n v="8"/>
    <n v="45000"/>
    <n v="357540"/>
    <n v="64357"/>
  </r>
  <r>
    <x v="3"/>
    <s v="Addis-Abeba"/>
    <s v="Afrique de l'Est"/>
    <x v="74"/>
    <x v="235"/>
    <x v="0"/>
    <n v="10"/>
    <n v="18500"/>
    <n v="168639"/>
    <n v="20237"/>
  </r>
  <r>
    <x v="1"/>
    <s v="Kinshasa"/>
    <s v="Afrique Centrale"/>
    <x v="70"/>
    <x v="273"/>
    <x v="4"/>
    <n v="1"/>
    <n v="15000"/>
    <n v="13964"/>
    <n v="1396"/>
  </r>
  <r>
    <x v="1"/>
    <s v="Dar es Salaam"/>
    <s v="Afrique de l'Est"/>
    <x v="46"/>
    <x v="112"/>
    <x v="0"/>
    <n v="6"/>
    <n v="18500"/>
    <n v="109933"/>
    <n v="13192"/>
  </r>
  <r>
    <x v="1"/>
    <s v="Kampala"/>
    <s v="Afrique de l'Est"/>
    <x v="62"/>
    <x v="316"/>
    <x v="2"/>
    <n v="7"/>
    <n v="45000"/>
    <n v="291519"/>
    <n v="52473"/>
  </r>
  <r>
    <x v="1"/>
    <s v="Douala"/>
    <s v="Afrique Centrale"/>
    <x v="118"/>
    <x v="311"/>
    <x v="1"/>
    <n v="6"/>
    <n v="12500"/>
    <n v="70017"/>
    <n v="5601"/>
  </r>
  <r>
    <x v="1"/>
    <s v="Kinshasa"/>
    <s v="Afrique Centrale"/>
    <x v="118"/>
    <x v="111"/>
    <x v="0"/>
    <n v="2"/>
    <n v="18500"/>
    <n v="34887"/>
    <n v="4186"/>
  </r>
  <r>
    <x v="2"/>
    <s v="Ouagadougou"/>
    <s v="Afrique de l'Ouest"/>
    <x v="104"/>
    <x v="250"/>
    <x v="4"/>
    <n v="2"/>
    <n v="15000"/>
    <n v="29597"/>
    <n v="2960"/>
  </r>
  <r>
    <x v="3"/>
    <s v="Lomé"/>
    <s v="Afrique de l'Ouest"/>
    <x v="182"/>
    <x v="185"/>
    <x v="1"/>
    <n v="10"/>
    <n v="12500"/>
    <n v="119382"/>
    <n v="9551"/>
  </r>
  <r>
    <x v="1"/>
    <s v="Yaoundé"/>
    <s v="Afrique Centrale"/>
    <x v="80"/>
    <x v="168"/>
    <x v="1"/>
    <n v="7"/>
    <n v="12500"/>
    <n v="80792"/>
    <n v="6463"/>
  </r>
  <r>
    <x v="1"/>
    <s v="Bamako"/>
    <s v="Afrique de l'Ouest"/>
    <x v="133"/>
    <x v="360"/>
    <x v="2"/>
    <n v="7"/>
    <n v="45000"/>
    <n v="286889"/>
    <n v="51640"/>
  </r>
  <r>
    <x v="0"/>
    <s v="Dar es Salaam"/>
    <s v="Afrique de l'Est"/>
    <x v="86"/>
    <x v="230"/>
    <x v="0"/>
    <n v="3"/>
    <n v="18500"/>
    <n v="50561"/>
    <n v="6067"/>
  </r>
  <r>
    <x v="2"/>
    <s v="Kinshasa"/>
    <s v="Afrique Centrale"/>
    <x v="170"/>
    <x v="142"/>
    <x v="2"/>
    <n v="6"/>
    <n v="45000"/>
    <n v="257027"/>
    <n v="46265"/>
  </r>
  <r>
    <x v="1"/>
    <s v="Douala"/>
    <s v="Afrique Centrale"/>
    <x v="197"/>
    <x v="14"/>
    <x v="2"/>
    <n v="6"/>
    <n v="45000"/>
    <n v="273875"/>
    <n v="49298"/>
  </r>
  <r>
    <x v="4"/>
    <s v="Douala"/>
    <s v="Afrique Centrale"/>
    <x v="194"/>
    <x v="22"/>
    <x v="1"/>
    <n v="9"/>
    <n v="12500"/>
    <n v="111191"/>
    <n v="8895"/>
  </r>
  <r>
    <x v="4"/>
    <s v="Yaoundé"/>
    <s v="Afrique Centrale"/>
    <x v="180"/>
    <x v="203"/>
    <x v="1"/>
    <n v="9"/>
    <n v="12500"/>
    <n v="120880"/>
    <n v="9670"/>
  </r>
  <r>
    <x v="2"/>
    <s v="Yaoundé"/>
    <s v="Afrique Centrale"/>
    <x v="133"/>
    <x v="15"/>
    <x v="2"/>
    <n v="7"/>
    <n v="45000"/>
    <n v="322913"/>
    <n v="58124"/>
  </r>
  <r>
    <x v="4"/>
    <s v="Dar es Salaam"/>
    <s v="Afrique de l'Est"/>
    <x v="190"/>
    <x v="106"/>
    <x v="2"/>
    <n v="3"/>
    <n v="45000"/>
    <n v="144633"/>
    <n v="26034"/>
  </r>
  <r>
    <x v="0"/>
    <s v="Dar es Salaam"/>
    <s v="Afrique de l'Est"/>
    <x v="218"/>
    <x v="37"/>
    <x v="1"/>
    <n v="6"/>
    <n v="12500"/>
    <n v="80969"/>
    <n v="6478"/>
  </r>
  <r>
    <x v="2"/>
    <s v="Bamako"/>
    <s v="Afrique de l'Ouest"/>
    <x v="222"/>
    <x v="299"/>
    <x v="1"/>
    <n v="10"/>
    <n v="12500"/>
    <n v="114041"/>
    <n v="9123"/>
  </r>
  <r>
    <x v="2"/>
    <s v="Yaoundé"/>
    <s v="Afrique Centrale"/>
    <x v="80"/>
    <x v="292"/>
    <x v="4"/>
    <n v="7"/>
    <n v="15000"/>
    <n v="100602"/>
    <n v="10060"/>
  </r>
  <r>
    <x v="1"/>
    <s v="Accra"/>
    <s v="Afrique de l'Ouest"/>
    <x v="24"/>
    <x v="262"/>
    <x v="4"/>
    <n v="2"/>
    <n v="15000"/>
    <n v="31306"/>
    <n v="3131"/>
  </r>
  <r>
    <x v="1"/>
    <s v="Dakar"/>
    <s v="Afrique de l'Ouest"/>
    <x v="20"/>
    <x v="108"/>
    <x v="0"/>
    <n v="7"/>
    <n v="18500"/>
    <n v="123061"/>
    <n v="14767"/>
  </r>
  <r>
    <x v="1"/>
    <s v="Kinshasa"/>
    <s v="Afrique Centrale"/>
    <x v="12"/>
    <x v="247"/>
    <x v="3"/>
    <n v="8"/>
    <n v="55000"/>
    <n v="456928"/>
    <n v="100524"/>
  </r>
  <r>
    <x v="3"/>
    <s v="Dakar"/>
    <s v="Afrique de l'Ouest"/>
    <x v="81"/>
    <x v="86"/>
    <x v="4"/>
    <n v="1"/>
    <n v="15000"/>
    <n v="15053"/>
    <n v="1505"/>
  </r>
  <r>
    <x v="3"/>
    <s v="Accra"/>
    <s v="Afrique de l'Ouest"/>
    <x v="205"/>
    <x v="206"/>
    <x v="3"/>
    <n v="3"/>
    <n v="55000"/>
    <n v="152832"/>
    <n v="33623"/>
  </r>
  <r>
    <x v="1"/>
    <s v="Kampala"/>
    <s v="Afrique de l'Est"/>
    <x v="145"/>
    <x v="126"/>
    <x v="4"/>
    <n v="10"/>
    <n v="15000"/>
    <n v="145443"/>
    <n v="14544"/>
  </r>
  <r>
    <x v="3"/>
    <s v="Lomé"/>
    <s v="Afrique de l'Ouest"/>
    <x v="63"/>
    <x v="74"/>
    <x v="1"/>
    <n v="4"/>
    <n v="12500"/>
    <n v="45340"/>
    <n v="3627"/>
  </r>
  <r>
    <x v="0"/>
    <s v="Abidjan"/>
    <s v="Afrique de l'Ouest"/>
    <x v="48"/>
    <x v="89"/>
    <x v="3"/>
    <n v="9"/>
    <n v="55000"/>
    <n v="497408"/>
    <n v="109430"/>
  </r>
  <r>
    <x v="0"/>
    <s v="Dakar"/>
    <s v="Afrique de l'Ouest"/>
    <x v="77"/>
    <x v="252"/>
    <x v="0"/>
    <n v="7"/>
    <n v="18500"/>
    <n v="117509"/>
    <n v="14101"/>
  </r>
  <r>
    <x v="2"/>
    <s v="Addis-Abeba"/>
    <s v="Afrique de l'Est"/>
    <x v="163"/>
    <x v="340"/>
    <x v="1"/>
    <n v="5"/>
    <n v="12500"/>
    <n v="60092"/>
    <n v="4807"/>
  </r>
  <r>
    <x v="3"/>
    <s v="Accra"/>
    <s v="Afrique de l'Ouest"/>
    <x v="148"/>
    <x v="44"/>
    <x v="3"/>
    <n v="3"/>
    <n v="55000"/>
    <n v="176715"/>
    <n v="38877"/>
  </r>
  <r>
    <x v="2"/>
    <s v="Dakar"/>
    <s v="Afrique de l'Ouest"/>
    <x v="13"/>
    <x v="15"/>
    <x v="2"/>
    <n v="8"/>
    <n v="45000"/>
    <n v="363588"/>
    <n v="65446"/>
  </r>
  <r>
    <x v="0"/>
    <s v="Addis-Abeba"/>
    <s v="Afrique de l'Est"/>
    <x v="2"/>
    <x v="243"/>
    <x v="0"/>
    <n v="7"/>
    <n v="18500"/>
    <n v="138066"/>
    <n v="16568"/>
  </r>
  <r>
    <x v="2"/>
    <s v="Cotonou"/>
    <s v="Afrique de l'Ouest"/>
    <x v="62"/>
    <x v="79"/>
    <x v="1"/>
    <n v="7"/>
    <n v="12500"/>
    <n v="84897"/>
    <n v="6792"/>
  </r>
  <r>
    <x v="0"/>
    <s v="Kinshasa"/>
    <s v="Afrique Centrale"/>
    <x v="194"/>
    <x v="139"/>
    <x v="2"/>
    <n v="8"/>
    <n v="45000"/>
    <n v="331528"/>
    <n v="59675"/>
  </r>
  <r>
    <x v="1"/>
    <s v="Abidjan"/>
    <s v="Afrique de l'Ouest"/>
    <x v="12"/>
    <x v="188"/>
    <x v="0"/>
    <n v="5"/>
    <n v="18500"/>
    <n v="97102"/>
    <n v="11652"/>
  </r>
  <r>
    <x v="4"/>
    <s v="Nairobi"/>
    <s v="Afrique de l'Est"/>
    <x v="190"/>
    <x v="62"/>
    <x v="1"/>
    <n v="3"/>
    <n v="12500"/>
    <n v="34520"/>
    <n v="2762"/>
  </r>
  <r>
    <x v="2"/>
    <s v="Bamako"/>
    <s v="Afrique de l'Ouest"/>
    <x v="39"/>
    <x v="360"/>
    <x v="3"/>
    <n v="9"/>
    <n v="55000"/>
    <n v="478248"/>
    <n v="105215"/>
  </r>
  <r>
    <x v="0"/>
    <s v="Cotonou"/>
    <s v="Afrique de l'Ouest"/>
    <x v="153"/>
    <x v="310"/>
    <x v="0"/>
    <n v="5"/>
    <n v="18500"/>
    <n v="84028"/>
    <n v="10083"/>
  </r>
  <r>
    <x v="2"/>
    <s v="Accra"/>
    <s v="Afrique de l'Ouest"/>
    <x v="127"/>
    <x v="286"/>
    <x v="3"/>
    <n v="10"/>
    <n v="55000"/>
    <n v="578359"/>
    <n v="127239"/>
  </r>
  <r>
    <x v="2"/>
    <s v="Lomé"/>
    <s v="Afrique de l'Ouest"/>
    <x v="105"/>
    <x v="141"/>
    <x v="4"/>
    <n v="1"/>
    <n v="15000"/>
    <n v="15473"/>
    <n v="1547"/>
  </r>
  <r>
    <x v="4"/>
    <s v="Lomé"/>
    <s v="Afrique de l'Ouest"/>
    <x v="147"/>
    <x v="169"/>
    <x v="2"/>
    <n v="4"/>
    <n v="45000"/>
    <n v="192172"/>
    <n v="34591"/>
  </r>
  <r>
    <x v="4"/>
    <s v="Bamako"/>
    <s v="Afrique de l'Ouest"/>
    <x v="11"/>
    <x v="5"/>
    <x v="2"/>
    <n v="2"/>
    <n v="45000"/>
    <n v="95637"/>
    <n v="17215"/>
  </r>
  <r>
    <x v="1"/>
    <s v="Ouagadougou"/>
    <s v="Afrique de l'Ouest"/>
    <x v="127"/>
    <x v="98"/>
    <x v="0"/>
    <n v="2"/>
    <n v="18500"/>
    <n v="36137"/>
    <n v="4336"/>
  </r>
  <r>
    <x v="2"/>
    <s v="Dar es Salaam"/>
    <s v="Afrique de l'Est"/>
    <x v="206"/>
    <x v="95"/>
    <x v="2"/>
    <n v="9"/>
    <n v="45000"/>
    <n v="397927"/>
    <n v="71627"/>
  </r>
  <r>
    <x v="3"/>
    <s v="Abidjan"/>
    <s v="Afrique de l'Ouest"/>
    <x v="210"/>
    <x v="301"/>
    <x v="3"/>
    <n v="7"/>
    <n v="55000"/>
    <n v="347086"/>
    <n v="76359"/>
  </r>
  <r>
    <x v="3"/>
    <s v="Yaoundé"/>
    <s v="Afrique Centrale"/>
    <x v="199"/>
    <x v="116"/>
    <x v="3"/>
    <n v="3"/>
    <n v="55000"/>
    <n v="164472"/>
    <n v="36184"/>
  </r>
  <r>
    <x v="2"/>
    <s v="Dakar"/>
    <s v="Afrique de l'Ouest"/>
    <x v="108"/>
    <x v="22"/>
    <x v="4"/>
    <n v="9"/>
    <n v="15000"/>
    <n v="144290"/>
    <n v="14429"/>
  </r>
  <r>
    <x v="4"/>
    <s v="Kampala"/>
    <s v="Afrique de l'Est"/>
    <x v="56"/>
    <x v="36"/>
    <x v="4"/>
    <n v="8"/>
    <n v="15000"/>
    <n v="108975"/>
    <n v="10898"/>
  </r>
  <r>
    <x v="2"/>
    <s v="Kampala"/>
    <s v="Afrique de l'Est"/>
    <x v="2"/>
    <x v="303"/>
    <x v="0"/>
    <n v="10"/>
    <n v="18500"/>
    <n v="194318"/>
    <n v="23318"/>
  </r>
  <r>
    <x v="2"/>
    <s v="Yaoundé"/>
    <s v="Afrique Centrale"/>
    <x v="82"/>
    <x v="31"/>
    <x v="1"/>
    <n v="7"/>
    <n v="12500"/>
    <n v="85895"/>
    <n v="6872"/>
  </r>
  <r>
    <x v="4"/>
    <s v="Yaoundé"/>
    <s v="Afrique Centrale"/>
    <x v="57"/>
    <x v="169"/>
    <x v="0"/>
    <n v="3"/>
    <n v="18500"/>
    <n v="50784"/>
    <n v="6094"/>
  </r>
  <r>
    <x v="2"/>
    <s v="Lomé"/>
    <s v="Afrique de l'Ouest"/>
    <x v="29"/>
    <x v="74"/>
    <x v="0"/>
    <n v="4"/>
    <n v="18500"/>
    <n v="75658"/>
    <n v="9079"/>
  </r>
  <r>
    <x v="3"/>
    <s v="Kinshasa"/>
    <s v="Afrique Centrale"/>
    <x v="192"/>
    <x v="312"/>
    <x v="1"/>
    <n v="7"/>
    <n v="12500"/>
    <n v="94290"/>
    <n v="7543"/>
  </r>
  <r>
    <x v="1"/>
    <s v="Kinshasa"/>
    <s v="Afrique Centrale"/>
    <x v="45"/>
    <x v="147"/>
    <x v="4"/>
    <n v="10"/>
    <n v="15000"/>
    <n v="141720"/>
    <n v="14172"/>
  </r>
  <r>
    <x v="0"/>
    <s v="Cotonou"/>
    <s v="Afrique de l'Ouest"/>
    <x v="185"/>
    <x v="160"/>
    <x v="2"/>
    <n v="4"/>
    <n v="45000"/>
    <n v="169903"/>
    <n v="30583"/>
  </r>
  <r>
    <x v="1"/>
    <s v="Bamako"/>
    <s v="Afrique de l'Ouest"/>
    <x v="42"/>
    <x v="344"/>
    <x v="3"/>
    <n v="9"/>
    <n v="55000"/>
    <n v="495655"/>
    <n v="109044"/>
  </r>
  <r>
    <x v="1"/>
    <s v="Douala"/>
    <s v="Afrique Centrale"/>
    <x v="223"/>
    <x v="145"/>
    <x v="2"/>
    <n v="8"/>
    <n v="45000"/>
    <n v="386872"/>
    <n v="69637"/>
  </r>
  <r>
    <x v="1"/>
    <s v="Ouagadougou"/>
    <s v="Afrique de l'Ouest"/>
    <x v="162"/>
    <x v="264"/>
    <x v="2"/>
    <n v="7"/>
    <n v="45000"/>
    <n v="343076"/>
    <n v="61754"/>
  </r>
  <r>
    <x v="1"/>
    <s v="Accra"/>
    <s v="Afrique de l'Ouest"/>
    <x v="29"/>
    <x v="248"/>
    <x v="1"/>
    <n v="3"/>
    <n v="12500"/>
    <n v="38776"/>
    <n v="3102"/>
  </r>
  <r>
    <x v="4"/>
    <s v="Accra"/>
    <s v="Afrique de l'Ouest"/>
    <x v="115"/>
    <x v="12"/>
    <x v="2"/>
    <n v="7"/>
    <n v="45000"/>
    <n v="338447"/>
    <n v="60920"/>
  </r>
  <r>
    <x v="3"/>
    <s v="Kinshasa"/>
    <s v="Afrique Centrale"/>
    <x v="220"/>
    <x v="301"/>
    <x v="2"/>
    <n v="6"/>
    <n v="45000"/>
    <n v="264993"/>
    <n v="47699"/>
  </r>
  <r>
    <x v="0"/>
    <s v="Lomé"/>
    <s v="Afrique de l'Ouest"/>
    <x v="40"/>
    <x v="133"/>
    <x v="3"/>
    <n v="2"/>
    <n v="55000"/>
    <n v="102670"/>
    <n v="22587"/>
  </r>
  <r>
    <x v="2"/>
    <s v="Lagos"/>
    <s v="Afrique de l'Ouest"/>
    <x v="112"/>
    <x v="115"/>
    <x v="2"/>
    <n v="10"/>
    <n v="45000"/>
    <n v="433813"/>
    <n v="78086"/>
  </r>
  <r>
    <x v="0"/>
    <s v="Addis-Abeba"/>
    <s v="Afrique de l'Est"/>
    <x v="156"/>
    <x v="2"/>
    <x v="3"/>
    <n v="2"/>
    <n v="55000"/>
    <n v="113092"/>
    <n v="24880"/>
  </r>
  <r>
    <x v="0"/>
    <s v="Kampala"/>
    <s v="Afrique de l'Est"/>
    <x v="189"/>
    <x v="263"/>
    <x v="2"/>
    <n v="6"/>
    <n v="45000"/>
    <n v="289944"/>
    <n v="52190"/>
  </r>
  <r>
    <x v="0"/>
    <s v="Kinshasa"/>
    <s v="Afrique Centrale"/>
    <x v="81"/>
    <x v="220"/>
    <x v="0"/>
    <n v="9"/>
    <n v="18500"/>
    <n v="154650"/>
    <n v="18558"/>
  </r>
  <r>
    <x v="2"/>
    <s v="Kampala"/>
    <s v="Afrique de l'Est"/>
    <x v="92"/>
    <x v="272"/>
    <x v="0"/>
    <n v="4"/>
    <n v="18500"/>
    <n v="74512"/>
    <n v="8941"/>
  </r>
  <r>
    <x v="0"/>
    <s v="Douala"/>
    <s v="Afrique Centrale"/>
    <x v="63"/>
    <x v="55"/>
    <x v="4"/>
    <n v="8"/>
    <n v="15000"/>
    <n v="112092"/>
    <n v="11209"/>
  </r>
  <r>
    <x v="3"/>
    <s v="Yaoundé"/>
    <s v="Afrique Centrale"/>
    <x v="152"/>
    <x v="95"/>
    <x v="0"/>
    <n v="5"/>
    <n v="18500"/>
    <n v="93411"/>
    <n v="11209"/>
  </r>
  <r>
    <x v="0"/>
    <s v="Dar es Salaam"/>
    <s v="Afrique de l'Est"/>
    <x v="197"/>
    <x v="166"/>
    <x v="1"/>
    <n v="1"/>
    <n v="12500"/>
    <n v="11507"/>
    <n v="921"/>
  </r>
  <r>
    <x v="4"/>
    <s v="Lagos"/>
    <s v="Afrique de l'Ouest"/>
    <x v="174"/>
    <x v="176"/>
    <x v="3"/>
    <n v="5"/>
    <n v="55000"/>
    <n v="264524"/>
    <n v="58195"/>
  </r>
  <r>
    <x v="1"/>
    <s v="Lomé"/>
    <s v="Afrique de l'Ouest"/>
    <x v="221"/>
    <x v="63"/>
    <x v="0"/>
    <n v="9"/>
    <n v="18500"/>
    <n v="176731"/>
    <n v="21208"/>
  </r>
  <r>
    <x v="1"/>
    <s v="Dar es Salaam"/>
    <s v="Afrique de l'Est"/>
    <x v="207"/>
    <x v="278"/>
    <x v="4"/>
    <n v="8"/>
    <n v="15000"/>
    <n v="123821"/>
    <n v="12382"/>
  </r>
  <r>
    <x v="2"/>
    <s v="Abidjan"/>
    <s v="Afrique de l'Ouest"/>
    <x v="90"/>
    <x v="135"/>
    <x v="2"/>
    <n v="9"/>
    <n v="45000"/>
    <n v="437634"/>
    <n v="78774"/>
  </r>
  <r>
    <x v="3"/>
    <s v="Abidjan"/>
    <s v="Afrique de l'Ouest"/>
    <x v="3"/>
    <x v="99"/>
    <x v="0"/>
    <n v="10"/>
    <n v="18500"/>
    <n v="201200"/>
    <n v="24144"/>
  </r>
  <r>
    <x v="3"/>
    <s v="Kinshasa"/>
    <s v="Afrique Centrale"/>
    <x v="158"/>
    <x v="274"/>
    <x v="2"/>
    <n v="1"/>
    <n v="45000"/>
    <n v="47472"/>
    <n v="8545"/>
  </r>
  <r>
    <x v="2"/>
    <s v="Addis-Abeba"/>
    <s v="Afrique de l'Est"/>
    <x v="88"/>
    <x v="199"/>
    <x v="0"/>
    <n v="6"/>
    <n v="18500"/>
    <n v="109066"/>
    <n v="13088"/>
  </r>
  <r>
    <x v="1"/>
    <s v="Nairobi"/>
    <s v="Afrique de l'Est"/>
    <x v="125"/>
    <x v="216"/>
    <x v="2"/>
    <n v="6"/>
    <n v="45000"/>
    <n v="267118"/>
    <n v="48081"/>
  </r>
  <r>
    <x v="1"/>
    <s v="Abidjan"/>
    <s v="Afrique de l'Ouest"/>
    <x v="15"/>
    <x v="8"/>
    <x v="1"/>
    <n v="6"/>
    <n v="12500"/>
    <n v="77295"/>
    <n v="6184"/>
  </r>
  <r>
    <x v="1"/>
    <s v="Addis-Abeba"/>
    <s v="Afrique de l'Est"/>
    <x v="130"/>
    <x v="173"/>
    <x v="2"/>
    <n v="2"/>
    <n v="45000"/>
    <n v="82284"/>
    <n v="14811"/>
  </r>
  <r>
    <x v="2"/>
    <s v="Cotonou"/>
    <s v="Afrique de l'Ouest"/>
    <x v="222"/>
    <x v="300"/>
    <x v="2"/>
    <n v="1"/>
    <n v="45000"/>
    <n v="40737"/>
    <n v="7333"/>
  </r>
  <r>
    <x v="3"/>
    <s v="Kampala"/>
    <s v="Afrique de l'Est"/>
    <x v="102"/>
    <x v="134"/>
    <x v="3"/>
    <n v="3"/>
    <n v="55000"/>
    <n v="162441"/>
    <n v="35737"/>
  </r>
  <r>
    <x v="0"/>
    <s v="Dar es Salaam"/>
    <s v="Afrique de l'Est"/>
    <x v="87"/>
    <x v="353"/>
    <x v="0"/>
    <n v="7"/>
    <n v="18500"/>
    <n v="136901"/>
    <n v="16428"/>
  </r>
  <r>
    <x v="2"/>
    <s v="Addis-Abeba"/>
    <s v="Afrique de l'Est"/>
    <x v="180"/>
    <x v="178"/>
    <x v="1"/>
    <n v="7"/>
    <n v="12500"/>
    <n v="87860"/>
    <n v="7029"/>
  </r>
  <r>
    <x v="1"/>
    <s v="Kampala"/>
    <s v="Afrique de l'Est"/>
    <x v="109"/>
    <x v="110"/>
    <x v="3"/>
    <n v="3"/>
    <n v="55000"/>
    <n v="173876"/>
    <n v="38253"/>
  </r>
  <r>
    <x v="3"/>
    <s v="Douala"/>
    <s v="Afrique Centrale"/>
    <x v="5"/>
    <x v="293"/>
    <x v="4"/>
    <n v="1"/>
    <n v="15000"/>
    <n v="16337"/>
    <n v="1634"/>
  </r>
  <r>
    <x v="4"/>
    <s v="Accra"/>
    <s v="Afrique de l'Ouest"/>
    <x v="93"/>
    <x v="163"/>
    <x v="0"/>
    <n v="5"/>
    <n v="18500"/>
    <n v="89463"/>
    <n v="10736"/>
  </r>
  <r>
    <x v="3"/>
    <s v="Dakar"/>
    <s v="Afrique de l'Ouest"/>
    <x v="36"/>
    <x v="341"/>
    <x v="3"/>
    <n v="7"/>
    <n v="55000"/>
    <n v="412489"/>
    <n v="90748"/>
  </r>
  <r>
    <x v="0"/>
    <s v="Addis-Abeba"/>
    <s v="Afrique de l'Est"/>
    <x v="176"/>
    <x v="299"/>
    <x v="3"/>
    <n v="4"/>
    <n v="55000"/>
    <n v="198940"/>
    <n v="43767"/>
  </r>
  <r>
    <x v="1"/>
    <s v="Bamako"/>
    <s v="Afrique de l'Ouest"/>
    <x v="215"/>
    <x v="140"/>
    <x v="2"/>
    <n v="7"/>
    <n v="45000"/>
    <n v="334124"/>
    <n v="60142"/>
  </r>
  <r>
    <x v="3"/>
    <s v="Lomé"/>
    <s v="Afrique de l'Ouest"/>
    <x v="82"/>
    <x v="71"/>
    <x v="4"/>
    <n v="4"/>
    <n v="15000"/>
    <n v="60213"/>
    <n v="6021"/>
  </r>
  <r>
    <x v="0"/>
    <s v="Kinshasa"/>
    <s v="Afrique Centrale"/>
    <x v="144"/>
    <x v="107"/>
    <x v="3"/>
    <n v="10"/>
    <n v="55000"/>
    <n v="594000"/>
    <n v="130680"/>
  </r>
  <r>
    <x v="1"/>
    <s v="Abidjan"/>
    <s v="Afrique de l'Ouest"/>
    <x v="51"/>
    <x v="2"/>
    <x v="0"/>
    <n v="5"/>
    <n v="18500"/>
    <n v="95533"/>
    <n v="11464"/>
  </r>
  <r>
    <x v="2"/>
    <s v="Yaoundé"/>
    <s v="Afrique Centrale"/>
    <x v="214"/>
    <x v="173"/>
    <x v="0"/>
    <n v="2"/>
    <n v="18500"/>
    <n v="34410"/>
    <n v="4129"/>
  </r>
  <r>
    <x v="4"/>
    <s v="Dakar"/>
    <s v="Afrique de l'Ouest"/>
    <x v="181"/>
    <x v="23"/>
    <x v="1"/>
    <n v="3"/>
    <n v="12500"/>
    <n v="36791"/>
    <n v="2943"/>
  </r>
  <r>
    <x v="1"/>
    <s v="Kinshasa"/>
    <s v="Afrique Centrale"/>
    <x v="52"/>
    <x v="133"/>
    <x v="4"/>
    <n v="6"/>
    <n v="15000"/>
    <n v="97177"/>
    <n v="9718"/>
  </r>
  <r>
    <x v="0"/>
    <s v="Lomé"/>
    <s v="Afrique de l'Ouest"/>
    <x v="131"/>
    <x v="331"/>
    <x v="4"/>
    <n v="2"/>
    <n v="15000"/>
    <n v="30397"/>
    <n v="3040"/>
  </r>
  <r>
    <x v="3"/>
    <s v="Yaoundé"/>
    <s v="Afrique Centrale"/>
    <x v="131"/>
    <x v="71"/>
    <x v="3"/>
    <n v="9"/>
    <n v="55000"/>
    <n v="534613"/>
    <n v="117615"/>
  </r>
  <r>
    <x v="1"/>
    <s v="Nairobi"/>
    <s v="Afrique de l'Est"/>
    <x v="30"/>
    <x v="106"/>
    <x v="0"/>
    <n v="1"/>
    <n v="18500"/>
    <n v="18819"/>
    <n v="2258"/>
  </r>
  <r>
    <x v="4"/>
    <s v="Lomé"/>
    <s v="Afrique de l'Ouest"/>
    <x v="143"/>
    <x v="214"/>
    <x v="3"/>
    <n v="8"/>
    <n v="55000"/>
    <n v="437691"/>
    <n v="96292"/>
  </r>
  <r>
    <x v="1"/>
    <s v="Lagos"/>
    <s v="Afrique de l'Ouest"/>
    <x v="16"/>
    <x v="133"/>
    <x v="2"/>
    <n v="2"/>
    <n v="45000"/>
    <n v="89572"/>
    <n v="16123"/>
  </r>
  <r>
    <x v="4"/>
    <s v="Addis-Abeba"/>
    <s v="Afrique de l'Est"/>
    <x v="155"/>
    <x v="237"/>
    <x v="1"/>
    <n v="2"/>
    <n v="12500"/>
    <n v="24368"/>
    <n v="1949"/>
  </r>
  <r>
    <x v="1"/>
    <s v="Dakar"/>
    <s v="Afrique de l'Ouest"/>
    <x v="92"/>
    <x v="55"/>
    <x v="3"/>
    <n v="9"/>
    <n v="55000"/>
    <n v="540514"/>
    <n v="118913"/>
  </r>
  <r>
    <x v="2"/>
    <s v="Bamako"/>
    <s v="Afrique de l'Ouest"/>
    <x v="1"/>
    <x v="207"/>
    <x v="1"/>
    <n v="1"/>
    <n v="12500"/>
    <n v="13688"/>
    <n v="1095"/>
  </r>
  <r>
    <x v="3"/>
    <s v="Cotonou"/>
    <s v="Afrique de l'Ouest"/>
    <x v="196"/>
    <x v="15"/>
    <x v="2"/>
    <n v="10"/>
    <n v="45000"/>
    <n v="439234"/>
    <n v="79062"/>
  </r>
  <r>
    <x v="0"/>
    <s v="Abidjan"/>
    <s v="Afrique de l'Ouest"/>
    <x v="174"/>
    <x v="42"/>
    <x v="2"/>
    <n v="2"/>
    <n v="45000"/>
    <n v="87439"/>
    <n v="15739"/>
  </r>
  <r>
    <x v="1"/>
    <s v="Ouagadougou"/>
    <s v="Afrique de l'Ouest"/>
    <x v="153"/>
    <x v="146"/>
    <x v="3"/>
    <n v="9"/>
    <n v="55000"/>
    <n v="522827"/>
    <n v="115022"/>
  </r>
  <r>
    <x v="1"/>
    <s v="Nairobi"/>
    <s v="Afrique de l'Est"/>
    <x v="115"/>
    <x v="4"/>
    <x v="2"/>
    <n v="3"/>
    <n v="45000"/>
    <n v="124353"/>
    <n v="22384"/>
  </r>
  <r>
    <x v="4"/>
    <s v="Douala"/>
    <s v="Afrique Centrale"/>
    <x v="91"/>
    <x v="235"/>
    <x v="2"/>
    <n v="5"/>
    <n v="45000"/>
    <n v="218887"/>
    <n v="39400"/>
  </r>
  <r>
    <x v="0"/>
    <s v="Ouagadougou"/>
    <s v="Afrique de l'Ouest"/>
    <x v="172"/>
    <x v="324"/>
    <x v="3"/>
    <n v="10"/>
    <n v="55000"/>
    <n v="538934"/>
    <n v="118565"/>
  </r>
  <r>
    <x v="2"/>
    <s v="Douala"/>
    <s v="Afrique Centrale"/>
    <x v="68"/>
    <x v="220"/>
    <x v="4"/>
    <n v="7"/>
    <n v="15000"/>
    <n v="95919"/>
    <n v="9592"/>
  </r>
  <r>
    <x v="2"/>
    <s v="Nairobi"/>
    <s v="Afrique de l'Est"/>
    <x v="54"/>
    <x v="96"/>
    <x v="4"/>
    <n v="3"/>
    <n v="15000"/>
    <n v="41949"/>
    <n v="4195"/>
  </r>
  <r>
    <x v="4"/>
    <s v="Douala"/>
    <s v="Afrique Centrale"/>
    <x v="25"/>
    <x v="316"/>
    <x v="3"/>
    <n v="2"/>
    <n v="55000"/>
    <n v="102165"/>
    <n v="22476"/>
  </r>
  <r>
    <x v="2"/>
    <s v="Kinshasa"/>
    <s v="Afrique Centrale"/>
    <x v="145"/>
    <x v="35"/>
    <x v="0"/>
    <n v="1"/>
    <n v="18500"/>
    <n v="17567"/>
    <n v="2108"/>
  </r>
  <r>
    <x v="2"/>
    <s v="Douala"/>
    <s v="Afrique Centrale"/>
    <x v="56"/>
    <x v="342"/>
    <x v="4"/>
    <n v="6"/>
    <n v="15000"/>
    <n v="88170"/>
    <n v="8817"/>
  </r>
  <r>
    <x v="3"/>
    <s v="Dakar"/>
    <s v="Afrique de l'Ouest"/>
    <x v="62"/>
    <x v="53"/>
    <x v="1"/>
    <n v="6"/>
    <n v="12500"/>
    <n v="76308"/>
    <n v="6105"/>
  </r>
  <r>
    <x v="3"/>
    <s v="Addis-Abeba"/>
    <s v="Afrique de l'Est"/>
    <x v="199"/>
    <x v="350"/>
    <x v="3"/>
    <n v="3"/>
    <n v="55000"/>
    <n v="174565"/>
    <n v="38404"/>
  </r>
  <r>
    <x v="4"/>
    <s v="Bamako"/>
    <s v="Afrique de l'Ouest"/>
    <x v="144"/>
    <x v="103"/>
    <x v="1"/>
    <n v="10"/>
    <n v="12500"/>
    <n v="137096"/>
    <n v="10968"/>
  </r>
  <r>
    <x v="1"/>
    <s v="Yaoundé"/>
    <s v="Afrique Centrale"/>
    <x v="22"/>
    <x v="4"/>
    <x v="4"/>
    <n v="5"/>
    <n v="15000"/>
    <n v="80023"/>
    <n v="8002"/>
  </r>
  <r>
    <x v="4"/>
    <s v="Cotonou"/>
    <s v="Afrique de l'Ouest"/>
    <x v="181"/>
    <x v="16"/>
    <x v="2"/>
    <n v="1"/>
    <n v="45000"/>
    <n v="42421"/>
    <n v="7636"/>
  </r>
  <r>
    <x v="0"/>
    <s v="Kampala"/>
    <s v="Afrique de l'Est"/>
    <x v="57"/>
    <x v="174"/>
    <x v="1"/>
    <n v="2"/>
    <n v="12500"/>
    <n v="25694"/>
    <n v="2056"/>
  </r>
  <r>
    <x v="1"/>
    <s v="Addis-Abeba"/>
    <s v="Afrique de l'Est"/>
    <x v="72"/>
    <x v="98"/>
    <x v="1"/>
    <n v="6"/>
    <n v="12500"/>
    <n v="79003"/>
    <n v="6320"/>
  </r>
  <r>
    <x v="0"/>
    <s v="Yaoundé"/>
    <s v="Afrique Centrale"/>
    <x v="167"/>
    <x v="210"/>
    <x v="2"/>
    <n v="6"/>
    <n v="45000"/>
    <n v="261642"/>
    <n v="47096"/>
  </r>
  <r>
    <x v="4"/>
    <s v="Dakar"/>
    <s v="Afrique de l'Ouest"/>
    <x v="151"/>
    <x v="43"/>
    <x v="2"/>
    <n v="8"/>
    <n v="45000"/>
    <n v="372824"/>
    <n v="67108"/>
  </r>
  <r>
    <x v="3"/>
    <s v="Dakar"/>
    <s v="Afrique de l'Ouest"/>
    <x v="166"/>
    <x v="206"/>
    <x v="0"/>
    <n v="3"/>
    <n v="18500"/>
    <n v="50348"/>
    <n v="6042"/>
  </r>
  <r>
    <x v="0"/>
    <s v="Cotonou"/>
    <s v="Afrique de l'Ouest"/>
    <x v="183"/>
    <x v="180"/>
    <x v="3"/>
    <n v="5"/>
    <n v="55000"/>
    <n v="267838"/>
    <n v="58924"/>
  </r>
  <r>
    <x v="3"/>
    <s v="Dar es Salaam"/>
    <s v="Afrique de l'Est"/>
    <x v="25"/>
    <x v="225"/>
    <x v="1"/>
    <n v="7"/>
    <n v="12500"/>
    <n v="82158"/>
    <n v="6573"/>
  </r>
  <r>
    <x v="3"/>
    <s v="Ouagadougou"/>
    <s v="Afrique de l'Ouest"/>
    <x v="66"/>
    <x v="139"/>
    <x v="0"/>
    <n v="3"/>
    <n v="18500"/>
    <n v="60965"/>
    <n v="7316"/>
  </r>
  <r>
    <x v="2"/>
    <s v="Dakar"/>
    <s v="Afrique de l'Ouest"/>
    <x v="99"/>
    <x v="296"/>
    <x v="0"/>
    <n v="5"/>
    <n v="18500"/>
    <n v="93575"/>
    <n v="11229"/>
  </r>
  <r>
    <x v="4"/>
    <s v="Yaoundé"/>
    <s v="Afrique Centrale"/>
    <x v="210"/>
    <x v="96"/>
    <x v="2"/>
    <n v="5"/>
    <n v="45000"/>
    <n v="238179"/>
    <n v="42872"/>
  </r>
  <r>
    <x v="2"/>
    <s v="Addis-Abeba"/>
    <s v="Afrique de l'Est"/>
    <x v="96"/>
    <x v="86"/>
    <x v="1"/>
    <n v="8"/>
    <n v="12500"/>
    <n v="103093"/>
    <n v="8247"/>
  </r>
  <r>
    <x v="1"/>
    <s v="Addis-Abeba"/>
    <s v="Afrique de l'Est"/>
    <x v="201"/>
    <x v="233"/>
    <x v="3"/>
    <n v="3"/>
    <n v="55000"/>
    <n v="174444"/>
    <n v="38378"/>
  </r>
  <r>
    <x v="4"/>
    <s v="Bamako"/>
    <s v="Afrique de l'Ouest"/>
    <x v="127"/>
    <x v="175"/>
    <x v="3"/>
    <n v="5"/>
    <n v="55000"/>
    <n v="276138"/>
    <n v="60750"/>
  </r>
  <r>
    <x v="3"/>
    <s v="Abidjan"/>
    <s v="Afrique de l'Ouest"/>
    <x v="187"/>
    <x v="231"/>
    <x v="3"/>
    <n v="2"/>
    <n v="55000"/>
    <n v="113250"/>
    <n v="24915"/>
  </r>
  <r>
    <x v="0"/>
    <s v="Accra"/>
    <s v="Afrique de l'Ouest"/>
    <x v="108"/>
    <x v="317"/>
    <x v="1"/>
    <n v="5"/>
    <n v="12500"/>
    <n v="59867"/>
    <n v="4789"/>
  </r>
  <r>
    <x v="1"/>
    <s v="Bamako"/>
    <s v="Afrique de l'Ouest"/>
    <x v="51"/>
    <x v="297"/>
    <x v="4"/>
    <n v="3"/>
    <n v="15000"/>
    <n v="44906"/>
    <n v="4491"/>
  </r>
  <r>
    <x v="2"/>
    <s v="Addis-Abeba"/>
    <s v="Afrique de l'Est"/>
    <x v="65"/>
    <x v="205"/>
    <x v="2"/>
    <n v="6"/>
    <n v="45000"/>
    <n v="256293"/>
    <n v="46133"/>
  </r>
  <r>
    <x v="2"/>
    <s v="Nairobi"/>
    <s v="Afrique de l'Est"/>
    <x v="46"/>
    <x v="317"/>
    <x v="3"/>
    <n v="10"/>
    <n v="55000"/>
    <n v="576677"/>
    <n v="126869"/>
  </r>
  <r>
    <x v="3"/>
    <s v="Kinshasa"/>
    <s v="Afrique Centrale"/>
    <x v="27"/>
    <x v="221"/>
    <x v="3"/>
    <n v="1"/>
    <n v="55000"/>
    <n v="50566"/>
    <n v="11125"/>
  </r>
  <r>
    <x v="0"/>
    <s v="Yaoundé"/>
    <s v="Afrique Centrale"/>
    <x v="121"/>
    <x v="145"/>
    <x v="2"/>
    <n v="4"/>
    <n v="45000"/>
    <n v="184966"/>
    <n v="33294"/>
  </r>
  <r>
    <x v="1"/>
    <s v="Ouagadougou"/>
    <s v="Afrique de l'Ouest"/>
    <x v="16"/>
    <x v="308"/>
    <x v="2"/>
    <n v="1"/>
    <n v="45000"/>
    <n v="46596"/>
    <n v="8387"/>
  </r>
  <r>
    <x v="4"/>
    <s v="Cotonou"/>
    <s v="Afrique de l'Ouest"/>
    <x v="0"/>
    <x v="284"/>
    <x v="2"/>
    <n v="2"/>
    <n v="45000"/>
    <n v="87401"/>
    <n v="15732"/>
  </r>
  <r>
    <x v="1"/>
    <s v="Kinshasa"/>
    <s v="Afrique Centrale"/>
    <x v="29"/>
    <x v="163"/>
    <x v="3"/>
    <n v="7"/>
    <n v="55000"/>
    <n v="373490"/>
    <n v="82168"/>
  </r>
  <r>
    <x v="4"/>
    <s v="Dar es Salaam"/>
    <s v="Afrique de l'Est"/>
    <x v="29"/>
    <x v="46"/>
    <x v="1"/>
    <n v="3"/>
    <n v="12500"/>
    <n v="40580"/>
    <n v="3246"/>
  </r>
  <r>
    <x v="2"/>
    <s v="Dakar"/>
    <s v="Afrique de l'Ouest"/>
    <x v="108"/>
    <x v="97"/>
    <x v="4"/>
    <n v="4"/>
    <n v="15000"/>
    <n v="54086"/>
    <n v="5409"/>
  </r>
  <r>
    <x v="1"/>
    <s v="Yaoundé"/>
    <s v="Afrique Centrale"/>
    <x v="63"/>
    <x v="139"/>
    <x v="3"/>
    <n v="10"/>
    <n v="55000"/>
    <n v="518445"/>
    <n v="114058"/>
  </r>
  <r>
    <x v="4"/>
    <s v="Yaoundé"/>
    <s v="Afrique Centrale"/>
    <x v="185"/>
    <x v="359"/>
    <x v="0"/>
    <n v="2"/>
    <n v="18500"/>
    <n v="36511"/>
    <n v="4381"/>
  </r>
  <r>
    <x v="3"/>
    <s v="Abidjan"/>
    <s v="Afrique de l'Ouest"/>
    <x v="103"/>
    <x v="69"/>
    <x v="3"/>
    <n v="3"/>
    <n v="55000"/>
    <n v="164732"/>
    <n v="36241"/>
  </r>
  <r>
    <x v="3"/>
    <s v="Ouagadougou"/>
    <s v="Afrique de l'Ouest"/>
    <x v="0"/>
    <x v="155"/>
    <x v="3"/>
    <n v="3"/>
    <n v="55000"/>
    <n v="154321"/>
    <n v="33951"/>
  </r>
  <r>
    <x v="0"/>
    <s v="Kampala"/>
    <s v="Afrique de l'Est"/>
    <x v="174"/>
    <x v="163"/>
    <x v="3"/>
    <n v="10"/>
    <n v="55000"/>
    <n v="588258"/>
    <n v="129417"/>
  </r>
  <r>
    <x v="4"/>
    <s v="Douala"/>
    <s v="Afrique Centrale"/>
    <x v="32"/>
    <x v="34"/>
    <x v="2"/>
    <n v="6"/>
    <n v="45000"/>
    <n v="280465"/>
    <n v="50484"/>
  </r>
  <r>
    <x v="0"/>
    <s v="Dakar"/>
    <s v="Afrique de l'Ouest"/>
    <x v="76"/>
    <x v="278"/>
    <x v="3"/>
    <n v="6"/>
    <n v="55000"/>
    <n v="343221"/>
    <n v="75509"/>
  </r>
  <r>
    <x v="4"/>
    <s v="Ouagadougou"/>
    <s v="Afrique de l'Ouest"/>
    <x v="135"/>
    <x v="214"/>
    <x v="0"/>
    <n v="3"/>
    <n v="18500"/>
    <n v="53442"/>
    <n v="6413"/>
  </r>
  <r>
    <x v="4"/>
    <s v="Dar es Salaam"/>
    <s v="Afrique de l'Est"/>
    <x v="212"/>
    <x v="134"/>
    <x v="2"/>
    <n v="7"/>
    <n v="45000"/>
    <n v="286855"/>
    <n v="51634"/>
  </r>
  <r>
    <x v="0"/>
    <s v="Ouagadougou"/>
    <s v="Afrique de l'Ouest"/>
    <x v="72"/>
    <x v="343"/>
    <x v="0"/>
    <n v="4"/>
    <n v="18500"/>
    <n v="76417"/>
    <n v="9170"/>
  </r>
  <r>
    <x v="0"/>
    <s v="Lagos"/>
    <s v="Afrique de l'Ouest"/>
    <x v="162"/>
    <x v="252"/>
    <x v="2"/>
    <n v="3"/>
    <n v="45000"/>
    <n v="148307"/>
    <n v="26695"/>
  </r>
  <r>
    <x v="1"/>
    <s v="Ouagadougou"/>
    <s v="Afrique de l'Ouest"/>
    <x v="195"/>
    <x v="290"/>
    <x v="1"/>
    <n v="3"/>
    <n v="12500"/>
    <n v="35522"/>
    <n v="2842"/>
  </r>
  <r>
    <x v="2"/>
    <s v="Douala"/>
    <s v="Afrique Centrale"/>
    <x v="137"/>
    <x v="300"/>
    <x v="2"/>
    <n v="5"/>
    <n v="45000"/>
    <n v="243731"/>
    <n v="43872"/>
  </r>
  <r>
    <x v="0"/>
    <s v="Accra"/>
    <s v="Afrique de l'Ouest"/>
    <x v="114"/>
    <x v="19"/>
    <x v="2"/>
    <n v="4"/>
    <n v="45000"/>
    <n v="175303"/>
    <n v="31555"/>
  </r>
  <r>
    <x v="3"/>
    <s v="Nairobi"/>
    <s v="Afrique de l'Est"/>
    <x v="195"/>
    <x v="144"/>
    <x v="2"/>
    <n v="6"/>
    <n v="45000"/>
    <n v="249675"/>
    <n v="44942"/>
  </r>
  <r>
    <x v="4"/>
    <s v="Bamako"/>
    <s v="Afrique de l'Ouest"/>
    <x v="198"/>
    <x v="208"/>
    <x v="3"/>
    <n v="9"/>
    <n v="55000"/>
    <n v="531352"/>
    <n v="116897"/>
  </r>
  <r>
    <x v="4"/>
    <s v="Addis-Abeba"/>
    <s v="Afrique de l'Est"/>
    <x v="152"/>
    <x v="260"/>
    <x v="0"/>
    <n v="2"/>
    <n v="18500"/>
    <n v="34017"/>
    <n v="4082"/>
  </r>
  <r>
    <x v="2"/>
    <s v="Cotonou"/>
    <s v="Afrique de l'Ouest"/>
    <x v="159"/>
    <x v="82"/>
    <x v="4"/>
    <n v="5"/>
    <n v="15000"/>
    <n v="74750"/>
    <n v="7475"/>
  </r>
  <r>
    <x v="1"/>
    <s v="Dar es Salaam"/>
    <s v="Afrique de l'Est"/>
    <x v="217"/>
    <x v="98"/>
    <x v="4"/>
    <n v="5"/>
    <n v="15000"/>
    <n v="78002"/>
    <n v="7800"/>
  </r>
  <r>
    <x v="2"/>
    <s v="Dar es Salaam"/>
    <s v="Afrique de l'Est"/>
    <x v="221"/>
    <x v="250"/>
    <x v="1"/>
    <n v="2"/>
    <n v="12500"/>
    <n v="24484"/>
    <n v="1959"/>
  </r>
  <r>
    <x v="3"/>
    <s v="Lomé"/>
    <s v="Afrique de l'Ouest"/>
    <x v="156"/>
    <x v="32"/>
    <x v="2"/>
    <n v="2"/>
    <n v="45000"/>
    <n v="82091"/>
    <n v="14776"/>
  </r>
  <r>
    <x v="1"/>
    <s v="Douala"/>
    <s v="Afrique Centrale"/>
    <x v="112"/>
    <x v="159"/>
    <x v="2"/>
    <n v="8"/>
    <n v="45000"/>
    <n v="376133"/>
    <n v="67704"/>
  </r>
  <r>
    <x v="4"/>
    <s v="Bamako"/>
    <s v="Afrique de l'Ouest"/>
    <x v="115"/>
    <x v="236"/>
    <x v="2"/>
    <n v="6"/>
    <n v="45000"/>
    <n v="296140"/>
    <n v="53305"/>
  </r>
  <r>
    <x v="3"/>
    <s v="Nairobi"/>
    <s v="Afrique de l'Est"/>
    <x v="81"/>
    <x v="184"/>
    <x v="2"/>
    <n v="7"/>
    <n v="45000"/>
    <n v="319813"/>
    <n v="57566"/>
  </r>
  <r>
    <x v="4"/>
    <s v="Kinshasa"/>
    <s v="Afrique Centrale"/>
    <x v="185"/>
    <x v="271"/>
    <x v="4"/>
    <n v="1"/>
    <n v="15000"/>
    <n v="15322"/>
    <n v="1532"/>
  </r>
  <r>
    <x v="3"/>
    <s v="Bamako"/>
    <s v="Afrique de l'Ouest"/>
    <x v="202"/>
    <x v="56"/>
    <x v="4"/>
    <n v="3"/>
    <n v="15000"/>
    <n v="44196"/>
    <n v="4420"/>
  </r>
  <r>
    <x v="2"/>
    <s v="Cotonou"/>
    <s v="Afrique de l'Ouest"/>
    <x v="116"/>
    <x v="10"/>
    <x v="1"/>
    <n v="3"/>
    <n v="12500"/>
    <n v="39706"/>
    <n v="3176"/>
  </r>
  <r>
    <x v="1"/>
    <s v="Kampala"/>
    <s v="Afrique de l'Est"/>
    <x v="214"/>
    <x v="276"/>
    <x v="0"/>
    <n v="3"/>
    <n v="18500"/>
    <n v="57394"/>
    <n v="6887"/>
  </r>
  <r>
    <x v="1"/>
    <s v="Bamako"/>
    <s v="Afrique de l'Ouest"/>
    <x v="183"/>
    <x v="179"/>
    <x v="0"/>
    <n v="2"/>
    <n v="18500"/>
    <n v="34060"/>
    <n v="4087"/>
  </r>
  <r>
    <x v="4"/>
    <s v="Bamako"/>
    <s v="Afrique de l'Ouest"/>
    <x v="135"/>
    <x v="76"/>
    <x v="1"/>
    <n v="6"/>
    <n v="12500"/>
    <n v="75957"/>
    <n v="6077"/>
  </r>
  <r>
    <x v="4"/>
    <s v="Bamako"/>
    <s v="Afrique de l'Ouest"/>
    <x v="163"/>
    <x v="292"/>
    <x v="4"/>
    <n v="8"/>
    <n v="15000"/>
    <n v="125340"/>
    <n v="12534"/>
  </r>
  <r>
    <x v="2"/>
    <s v="Kampala"/>
    <s v="Afrique de l'Est"/>
    <x v="206"/>
    <x v="201"/>
    <x v="1"/>
    <n v="9"/>
    <n v="12500"/>
    <n v="101569"/>
    <n v="8126"/>
  </r>
  <r>
    <x v="1"/>
    <s v="Nairobi"/>
    <s v="Afrique de l'Est"/>
    <x v="158"/>
    <x v="150"/>
    <x v="4"/>
    <n v="4"/>
    <n v="15000"/>
    <n v="59753"/>
    <n v="5975"/>
  </r>
  <r>
    <x v="0"/>
    <s v="Abidjan"/>
    <s v="Afrique de l'Ouest"/>
    <x v="130"/>
    <x v="250"/>
    <x v="3"/>
    <n v="8"/>
    <n v="55000"/>
    <n v="406291"/>
    <n v="89384"/>
  </r>
  <r>
    <x v="1"/>
    <s v="Douala"/>
    <s v="Afrique Centrale"/>
    <x v="103"/>
    <x v="276"/>
    <x v="3"/>
    <n v="6"/>
    <n v="55000"/>
    <n v="360737"/>
    <n v="79362"/>
  </r>
  <r>
    <x v="4"/>
    <s v="Lagos"/>
    <s v="Afrique de l'Ouest"/>
    <x v="107"/>
    <x v="233"/>
    <x v="2"/>
    <n v="3"/>
    <n v="45000"/>
    <n v="140976"/>
    <n v="25376"/>
  </r>
  <r>
    <x v="2"/>
    <s v="Kinshasa"/>
    <s v="Afrique Centrale"/>
    <x v="133"/>
    <x v="133"/>
    <x v="2"/>
    <n v="10"/>
    <n v="45000"/>
    <n v="462148"/>
    <n v="83187"/>
  </r>
  <r>
    <x v="3"/>
    <s v="Bamako"/>
    <s v="Afrique de l'Ouest"/>
    <x v="135"/>
    <x v="191"/>
    <x v="4"/>
    <n v="2"/>
    <n v="15000"/>
    <n v="27229"/>
    <n v="2723"/>
  </r>
  <r>
    <x v="0"/>
    <s v="Douala"/>
    <s v="Afrique Centrale"/>
    <x v="181"/>
    <x v="52"/>
    <x v="2"/>
    <n v="8"/>
    <n v="45000"/>
    <n v="381527"/>
    <n v="68675"/>
  </r>
  <r>
    <x v="4"/>
    <s v="Yaoundé"/>
    <s v="Afrique Centrale"/>
    <x v="24"/>
    <x v="297"/>
    <x v="3"/>
    <n v="3"/>
    <n v="55000"/>
    <n v="162986"/>
    <n v="35857"/>
  </r>
  <r>
    <x v="3"/>
    <s v="Cotonou"/>
    <s v="Afrique de l'Ouest"/>
    <x v="89"/>
    <x v="356"/>
    <x v="3"/>
    <n v="6"/>
    <n v="55000"/>
    <n v="317576"/>
    <n v="69867"/>
  </r>
  <r>
    <x v="3"/>
    <s v="Kinshasa"/>
    <s v="Afrique Centrale"/>
    <x v="188"/>
    <x v="54"/>
    <x v="3"/>
    <n v="8"/>
    <n v="55000"/>
    <n v="450151"/>
    <n v="99033"/>
  </r>
  <r>
    <x v="4"/>
    <s v="Accra"/>
    <s v="Afrique de l'Ouest"/>
    <x v="217"/>
    <x v="141"/>
    <x v="1"/>
    <n v="3"/>
    <n v="12500"/>
    <n v="35842"/>
    <n v="2867"/>
  </r>
  <r>
    <x v="0"/>
    <s v="Kinshasa"/>
    <s v="Afrique Centrale"/>
    <x v="73"/>
    <x v="83"/>
    <x v="4"/>
    <n v="8"/>
    <n v="15000"/>
    <n v="123146"/>
    <n v="12315"/>
  </r>
  <r>
    <x v="1"/>
    <s v="Cotonou"/>
    <s v="Afrique de l'Ouest"/>
    <x v="221"/>
    <x v="233"/>
    <x v="4"/>
    <n v="6"/>
    <n v="15000"/>
    <n v="84427"/>
    <n v="8443"/>
  </r>
  <r>
    <x v="3"/>
    <s v="Accra"/>
    <s v="Afrique de l'Ouest"/>
    <x v="41"/>
    <x v="110"/>
    <x v="2"/>
    <n v="8"/>
    <n v="45000"/>
    <n v="387999"/>
    <n v="69840"/>
  </r>
  <r>
    <x v="0"/>
    <s v="Nairobi"/>
    <s v="Afrique de l'Est"/>
    <x v="20"/>
    <x v="289"/>
    <x v="0"/>
    <n v="1"/>
    <n v="18500"/>
    <n v="19629"/>
    <n v="2355"/>
  </r>
  <r>
    <x v="1"/>
    <s v="Dakar"/>
    <s v="Afrique de l'Ouest"/>
    <x v="210"/>
    <x v="42"/>
    <x v="1"/>
    <n v="6"/>
    <n v="12500"/>
    <n v="73123"/>
    <n v="5850"/>
  </r>
  <r>
    <x v="0"/>
    <s v="Cotonou"/>
    <s v="Afrique de l'Ouest"/>
    <x v="105"/>
    <x v="100"/>
    <x v="1"/>
    <n v="6"/>
    <n v="12500"/>
    <n v="80697"/>
    <n v="6456"/>
  </r>
  <r>
    <x v="4"/>
    <s v="Cotonou"/>
    <s v="Afrique de l'Ouest"/>
    <x v="61"/>
    <x v="10"/>
    <x v="2"/>
    <n v="9"/>
    <n v="45000"/>
    <n v="376894"/>
    <n v="67841"/>
  </r>
  <r>
    <x v="3"/>
    <s v="Cotonou"/>
    <s v="Afrique de l'Ouest"/>
    <x v="97"/>
    <x v="260"/>
    <x v="2"/>
    <n v="3"/>
    <n v="45000"/>
    <n v="123733"/>
    <n v="22272"/>
  </r>
  <r>
    <x v="3"/>
    <s v="Dakar"/>
    <s v="Afrique de l'Ouest"/>
    <x v="189"/>
    <x v="314"/>
    <x v="1"/>
    <n v="1"/>
    <n v="12500"/>
    <n v="12264"/>
    <n v="981"/>
  </r>
  <r>
    <x v="4"/>
    <s v="Bamako"/>
    <s v="Afrique de l'Ouest"/>
    <x v="107"/>
    <x v="74"/>
    <x v="0"/>
    <n v="10"/>
    <n v="18500"/>
    <n v="174596"/>
    <n v="20952"/>
  </r>
  <r>
    <x v="4"/>
    <s v="Douala"/>
    <s v="Afrique Centrale"/>
    <x v="186"/>
    <x v="349"/>
    <x v="4"/>
    <n v="10"/>
    <n v="15000"/>
    <n v="145129"/>
    <n v="14513"/>
  </r>
  <r>
    <x v="3"/>
    <s v="Lomé"/>
    <s v="Afrique de l'Ouest"/>
    <x v="149"/>
    <x v="94"/>
    <x v="2"/>
    <n v="5"/>
    <n v="45000"/>
    <n v="219260"/>
    <n v="39467"/>
  </r>
  <r>
    <x v="4"/>
    <s v="Kampala"/>
    <s v="Afrique de l'Est"/>
    <x v="209"/>
    <x v="295"/>
    <x v="1"/>
    <n v="8"/>
    <n v="12500"/>
    <n v="99804"/>
    <n v="7984"/>
  </r>
  <r>
    <x v="0"/>
    <s v="Abidjan"/>
    <s v="Afrique de l'Ouest"/>
    <x v="211"/>
    <x v="243"/>
    <x v="3"/>
    <n v="3"/>
    <n v="55000"/>
    <n v="171812"/>
    <n v="37799"/>
  </r>
  <r>
    <x v="3"/>
    <s v="Kampala"/>
    <s v="Afrique de l'Est"/>
    <x v="184"/>
    <x v="319"/>
    <x v="2"/>
    <n v="10"/>
    <n v="45000"/>
    <n v="405904"/>
    <n v="73063"/>
  </r>
  <r>
    <x v="2"/>
    <s v="Ouagadougou"/>
    <s v="Afrique de l'Ouest"/>
    <x v="111"/>
    <x v="20"/>
    <x v="3"/>
    <n v="3"/>
    <n v="55000"/>
    <n v="154651"/>
    <n v="34023"/>
  </r>
  <r>
    <x v="3"/>
    <s v="Lagos"/>
    <s v="Afrique de l'Ouest"/>
    <x v="45"/>
    <x v="37"/>
    <x v="2"/>
    <n v="3"/>
    <n v="45000"/>
    <n v="121747"/>
    <n v="21914"/>
  </r>
  <r>
    <x v="0"/>
    <s v="Cotonou"/>
    <s v="Afrique de l'Ouest"/>
    <x v="72"/>
    <x v="332"/>
    <x v="0"/>
    <n v="2"/>
    <n v="18500"/>
    <n v="35939"/>
    <n v="4313"/>
  </r>
  <r>
    <x v="1"/>
    <s v="Dar es Salaam"/>
    <s v="Afrique de l'Est"/>
    <x v="206"/>
    <x v="71"/>
    <x v="2"/>
    <n v="2"/>
    <n v="45000"/>
    <n v="89990"/>
    <n v="16198"/>
  </r>
  <r>
    <x v="0"/>
    <s v="Douala"/>
    <s v="Afrique Centrale"/>
    <x v="147"/>
    <x v="18"/>
    <x v="0"/>
    <n v="1"/>
    <n v="18500"/>
    <n v="17979"/>
    <n v="2157"/>
  </r>
  <r>
    <x v="4"/>
    <s v="Bamako"/>
    <s v="Afrique de l'Ouest"/>
    <x v="223"/>
    <x v="304"/>
    <x v="4"/>
    <n v="4"/>
    <n v="15000"/>
    <n v="61052"/>
    <n v="6105"/>
  </r>
  <r>
    <x v="3"/>
    <s v="Accra"/>
    <s v="Afrique de l'Ouest"/>
    <x v="11"/>
    <x v="31"/>
    <x v="2"/>
    <n v="4"/>
    <n v="45000"/>
    <n v="173360"/>
    <n v="31205"/>
  </r>
  <r>
    <x v="3"/>
    <s v="Kampala"/>
    <s v="Afrique de l'Est"/>
    <x v="5"/>
    <x v="297"/>
    <x v="1"/>
    <n v="8"/>
    <n v="12500"/>
    <n v="94898"/>
    <n v="7592"/>
  </r>
  <r>
    <x v="3"/>
    <s v="Kinshasa"/>
    <s v="Afrique Centrale"/>
    <x v="197"/>
    <x v="298"/>
    <x v="3"/>
    <n v="3"/>
    <n v="55000"/>
    <n v="172704"/>
    <n v="37995"/>
  </r>
  <r>
    <x v="0"/>
    <s v="Nairobi"/>
    <s v="Afrique de l'Est"/>
    <x v="169"/>
    <x v="212"/>
    <x v="1"/>
    <n v="2"/>
    <n v="12500"/>
    <n v="27295"/>
    <n v="2184"/>
  </r>
  <r>
    <x v="1"/>
    <s v="Dakar"/>
    <s v="Afrique de l'Ouest"/>
    <x v="177"/>
    <x v="92"/>
    <x v="2"/>
    <n v="4"/>
    <n v="45000"/>
    <n v="193193"/>
    <n v="34775"/>
  </r>
  <r>
    <x v="3"/>
    <s v="Kinshasa"/>
    <s v="Afrique Centrale"/>
    <x v="82"/>
    <x v="329"/>
    <x v="2"/>
    <n v="7"/>
    <n v="45000"/>
    <n v="284814"/>
    <n v="51267"/>
  </r>
  <r>
    <x v="3"/>
    <s v="Addis-Abeba"/>
    <s v="Afrique de l'Est"/>
    <x v="13"/>
    <x v="144"/>
    <x v="2"/>
    <n v="1"/>
    <n v="45000"/>
    <n v="43186"/>
    <n v="7773"/>
  </r>
  <r>
    <x v="1"/>
    <s v="Abidjan"/>
    <s v="Afrique de l'Ouest"/>
    <x v="93"/>
    <x v="267"/>
    <x v="3"/>
    <n v="8"/>
    <n v="55000"/>
    <n v="470427"/>
    <n v="103494"/>
  </r>
  <r>
    <x v="4"/>
    <s v="Accra"/>
    <s v="Afrique de l'Ouest"/>
    <x v="189"/>
    <x v="56"/>
    <x v="4"/>
    <n v="4"/>
    <n v="15000"/>
    <n v="65977"/>
    <n v="6598"/>
  </r>
  <r>
    <x v="2"/>
    <s v="Bamako"/>
    <s v="Afrique de l'Ouest"/>
    <x v="37"/>
    <x v="271"/>
    <x v="4"/>
    <n v="5"/>
    <n v="15000"/>
    <n v="77451"/>
    <n v="7745"/>
  </r>
  <r>
    <x v="3"/>
    <s v="Nairobi"/>
    <s v="Afrique de l'Est"/>
    <x v="28"/>
    <x v="11"/>
    <x v="4"/>
    <n v="6"/>
    <n v="15000"/>
    <n v="83068"/>
    <n v="8307"/>
  </r>
  <r>
    <x v="0"/>
    <s v="Nairobi"/>
    <s v="Afrique de l'Est"/>
    <x v="3"/>
    <x v="325"/>
    <x v="0"/>
    <n v="1"/>
    <n v="18500"/>
    <n v="17801"/>
    <n v="2136"/>
  </r>
  <r>
    <x v="4"/>
    <s v="Accra"/>
    <s v="Afrique de l'Ouest"/>
    <x v="95"/>
    <x v="71"/>
    <x v="3"/>
    <n v="10"/>
    <n v="55000"/>
    <n v="507011"/>
    <n v="111542"/>
  </r>
  <r>
    <x v="4"/>
    <s v="Lagos"/>
    <s v="Afrique de l'Ouest"/>
    <x v="140"/>
    <x v="245"/>
    <x v="2"/>
    <n v="4"/>
    <n v="45000"/>
    <n v="181496"/>
    <n v="32669"/>
  </r>
  <r>
    <x v="2"/>
    <s v="Lomé"/>
    <s v="Afrique de l'Ouest"/>
    <x v="99"/>
    <x v="120"/>
    <x v="3"/>
    <n v="9"/>
    <n v="55000"/>
    <n v="542842"/>
    <n v="119425"/>
  </r>
  <r>
    <x v="3"/>
    <s v="Dakar"/>
    <s v="Afrique de l'Ouest"/>
    <x v="206"/>
    <x v="119"/>
    <x v="0"/>
    <n v="2"/>
    <n v="18500"/>
    <n v="36774"/>
    <n v="4413"/>
  </r>
  <r>
    <x v="1"/>
    <s v="Kinshasa"/>
    <s v="Afrique Centrale"/>
    <x v="118"/>
    <x v="286"/>
    <x v="1"/>
    <n v="2"/>
    <n v="12500"/>
    <n v="24260"/>
    <n v="1941"/>
  </r>
  <r>
    <x v="0"/>
    <s v="Accra"/>
    <s v="Afrique de l'Ouest"/>
    <x v="206"/>
    <x v="86"/>
    <x v="4"/>
    <n v="5"/>
    <n v="15000"/>
    <n v="72370"/>
    <n v="7237"/>
  </r>
  <r>
    <x v="3"/>
    <s v="Accra"/>
    <s v="Afrique de l'Ouest"/>
    <x v="28"/>
    <x v="353"/>
    <x v="2"/>
    <n v="9"/>
    <n v="45000"/>
    <n v="368719"/>
    <n v="66369"/>
  </r>
  <r>
    <x v="2"/>
    <s v="Bamako"/>
    <s v="Afrique de l'Ouest"/>
    <x v="28"/>
    <x v="240"/>
    <x v="2"/>
    <n v="10"/>
    <n v="45000"/>
    <n v="457228"/>
    <n v="82301"/>
  </r>
  <r>
    <x v="2"/>
    <s v="Ouagadougou"/>
    <s v="Afrique de l'Ouest"/>
    <x v="200"/>
    <x v="222"/>
    <x v="3"/>
    <n v="9"/>
    <n v="55000"/>
    <n v="535199"/>
    <n v="117744"/>
  </r>
  <r>
    <x v="3"/>
    <s v="Ouagadougou"/>
    <s v="Afrique de l'Ouest"/>
    <x v="95"/>
    <x v="329"/>
    <x v="0"/>
    <n v="1"/>
    <n v="18500"/>
    <n v="20205"/>
    <n v="2425"/>
  </r>
  <r>
    <x v="0"/>
    <s v="Lomé"/>
    <s v="Afrique de l'Ouest"/>
    <x v="159"/>
    <x v="194"/>
    <x v="1"/>
    <n v="5"/>
    <n v="12500"/>
    <n v="59898"/>
    <n v="4792"/>
  </r>
  <r>
    <x v="1"/>
    <s v="Dakar"/>
    <s v="Afrique de l'Ouest"/>
    <x v="198"/>
    <x v="69"/>
    <x v="1"/>
    <n v="6"/>
    <n v="12500"/>
    <n v="74849"/>
    <n v="5988"/>
  </r>
  <r>
    <x v="2"/>
    <s v="Dakar"/>
    <s v="Afrique de l'Ouest"/>
    <x v="182"/>
    <x v="291"/>
    <x v="1"/>
    <n v="10"/>
    <n v="12500"/>
    <n v="137490"/>
    <n v="10999"/>
  </r>
  <r>
    <x v="3"/>
    <s v="Cotonou"/>
    <s v="Afrique de l'Ouest"/>
    <x v="20"/>
    <x v="142"/>
    <x v="2"/>
    <n v="2"/>
    <n v="45000"/>
    <n v="97519"/>
    <n v="17553"/>
  </r>
  <r>
    <x v="3"/>
    <s v="Bamako"/>
    <s v="Afrique de l'Ouest"/>
    <x v="91"/>
    <x v="246"/>
    <x v="3"/>
    <n v="1"/>
    <n v="55000"/>
    <n v="52677"/>
    <n v="11589"/>
  </r>
  <r>
    <x v="2"/>
    <s v="Bamako"/>
    <s v="Afrique de l'Ouest"/>
    <x v="167"/>
    <x v="107"/>
    <x v="2"/>
    <n v="8"/>
    <n v="45000"/>
    <n v="362410"/>
    <n v="65234"/>
  </r>
  <r>
    <x v="2"/>
    <s v="Dakar"/>
    <s v="Afrique de l'Ouest"/>
    <x v="193"/>
    <x v="32"/>
    <x v="2"/>
    <n v="6"/>
    <n v="45000"/>
    <n v="263398"/>
    <n v="47412"/>
  </r>
  <r>
    <x v="2"/>
    <s v="Addis-Abeba"/>
    <s v="Afrique de l'Est"/>
    <x v="70"/>
    <x v="71"/>
    <x v="1"/>
    <n v="1"/>
    <n v="12500"/>
    <n v="11686"/>
    <n v="935"/>
  </r>
  <r>
    <x v="4"/>
    <s v="Lomé"/>
    <s v="Afrique de l'Ouest"/>
    <x v="33"/>
    <x v="89"/>
    <x v="1"/>
    <n v="3"/>
    <n v="12500"/>
    <n v="37235"/>
    <n v="2979"/>
  </r>
  <r>
    <x v="4"/>
    <s v="Nairobi"/>
    <s v="Afrique de l'Est"/>
    <x v="174"/>
    <x v="300"/>
    <x v="1"/>
    <n v="10"/>
    <n v="12500"/>
    <n v="128319"/>
    <n v="10266"/>
  </r>
  <r>
    <x v="1"/>
    <s v="Lagos"/>
    <s v="Afrique de l'Ouest"/>
    <x v="215"/>
    <x v="160"/>
    <x v="3"/>
    <n v="6"/>
    <n v="55000"/>
    <n v="360574"/>
    <n v="79326"/>
  </r>
  <r>
    <x v="0"/>
    <s v="Douala"/>
    <s v="Afrique Centrale"/>
    <x v="65"/>
    <x v="325"/>
    <x v="2"/>
    <n v="8"/>
    <n v="45000"/>
    <n v="386062"/>
    <n v="69491"/>
  </r>
  <r>
    <x v="0"/>
    <s v="Lomé"/>
    <s v="Afrique de l'Ouest"/>
    <x v="134"/>
    <x v="214"/>
    <x v="1"/>
    <n v="4"/>
    <n v="12500"/>
    <n v="54605"/>
    <n v="4368"/>
  </r>
  <r>
    <x v="1"/>
    <s v="Abidjan"/>
    <s v="Afrique de l'Ouest"/>
    <x v="87"/>
    <x v="246"/>
    <x v="2"/>
    <n v="6"/>
    <n v="45000"/>
    <n v="275094"/>
    <n v="49517"/>
  </r>
  <r>
    <x v="2"/>
    <s v="Addis-Abeba"/>
    <s v="Afrique de l'Est"/>
    <x v="77"/>
    <x v="63"/>
    <x v="0"/>
    <n v="2"/>
    <n v="18500"/>
    <n v="40490"/>
    <n v="4859"/>
  </r>
  <r>
    <x v="0"/>
    <s v="Kinshasa"/>
    <s v="Afrique Centrale"/>
    <x v="123"/>
    <x v="314"/>
    <x v="0"/>
    <n v="10"/>
    <n v="18500"/>
    <n v="191873"/>
    <n v="23025"/>
  </r>
  <r>
    <x v="0"/>
    <s v="Douala"/>
    <s v="Afrique Centrale"/>
    <x v="150"/>
    <x v="1"/>
    <x v="3"/>
    <n v="7"/>
    <n v="55000"/>
    <n v="371174"/>
    <n v="81658"/>
  </r>
  <r>
    <x v="2"/>
    <s v="Kampala"/>
    <s v="Afrique de l'Est"/>
    <x v="158"/>
    <x v="347"/>
    <x v="3"/>
    <n v="4"/>
    <n v="55000"/>
    <n v="236763"/>
    <n v="52088"/>
  </r>
  <r>
    <x v="3"/>
    <s v="Addis-Abeba"/>
    <s v="Afrique de l'Est"/>
    <x v="40"/>
    <x v="180"/>
    <x v="1"/>
    <n v="3"/>
    <n v="12500"/>
    <n v="39054"/>
    <n v="3124"/>
  </r>
  <r>
    <x v="0"/>
    <s v="Lagos"/>
    <s v="Afrique de l'Ouest"/>
    <x v="120"/>
    <x v="302"/>
    <x v="4"/>
    <n v="2"/>
    <n v="15000"/>
    <n v="30431"/>
    <n v="3043"/>
  </r>
  <r>
    <x v="2"/>
    <s v="Lagos"/>
    <s v="Afrique de l'Ouest"/>
    <x v="27"/>
    <x v="78"/>
    <x v="4"/>
    <n v="3"/>
    <n v="15000"/>
    <n v="42969"/>
    <n v="4297"/>
  </r>
  <r>
    <x v="3"/>
    <s v="Dar es Salaam"/>
    <s v="Afrique de l'Est"/>
    <x v="210"/>
    <x v="339"/>
    <x v="2"/>
    <n v="10"/>
    <n v="45000"/>
    <n v="428923"/>
    <n v="77206"/>
  </r>
  <r>
    <x v="2"/>
    <s v="Yaoundé"/>
    <s v="Afrique Centrale"/>
    <x v="102"/>
    <x v="267"/>
    <x v="3"/>
    <n v="5"/>
    <n v="55000"/>
    <n v="261026"/>
    <n v="57426"/>
  </r>
  <r>
    <x v="3"/>
    <s v="Accra"/>
    <s v="Afrique de l'Ouest"/>
    <x v="176"/>
    <x v="307"/>
    <x v="2"/>
    <n v="7"/>
    <n v="45000"/>
    <n v="306389"/>
    <n v="55150"/>
  </r>
  <r>
    <x v="0"/>
    <s v="Accra"/>
    <s v="Afrique de l'Ouest"/>
    <x v="50"/>
    <x v="355"/>
    <x v="4"/>
    <n v="2"/>
    <n v="15000"/>
    <n v="30497"/>
    <n v="3050"/>
  </r>
  <r>
    <x v="2"/>
    <s v="Lagos"/>
    <s v="Afrique de l'Ouest"/>
    <x v="219"/>
    <x v="226"/>
    <x v="1"/>
    <n v="7"/>
    <n v="12500"/>
    <n v="80478"/>
    <n v="6438"/>
  </r>
  <r>
    <x v="1"/>
    <s v="Dar es Salaam"/>
    <s v="Afrique de l'Est"/>
    <x v="218"/>
    <x v="177"/>
    <x v="2"/>
    <n v="1"/>
    <n v="45000"/>
    <n v="41640"/>
    <n v="7495"/>
  </r>
  <r>
    <x v="4"/>
    <s v="Addis-Abeba"/>
    <s v="Afrique de l'Est"/>
    <x v="120"/>
    <x v="268"/>
    <x v="1"/>
    <n v="2"/>
    <n v="12500"/>
    <n v="23104"/>
    <n v="1848"/>
  </r>
  <r>
    <x v="0"/>
    <s v="Kampala"/>
    <s v="Afrique de l'Est"/>
    <x v="119"/>
    <x v="37"/>
    <x v="0"/>
    <n v="4"/>
    <n v="18500"/>
    <n v="78987"/>
    <n v="9478"/>
  </r>
  <r>
    <x v="3"/>
    <s v="Ouagadougou"/>
    <s v="Afrique de l'Ouest"/>
    <x v="1"/>
    <x v="142"/>
    <x v="3"/>
    <n v="3"/>
    <n v="55000"/>
    <n v="154711"/>
    <n v="34036"/>
  </r>
  <r>
    <x v="4"/>
    <s v="Dar es Salaam"/>
    <s v="Afrique de l'Est"/>
    <x v="44"/>
    <x v="99"/>
    <x v="3"/>
    <n v="2"/>
    <n v="55000"/>
    <n v="116831"/>
    <n v="25703"/>
  </r>
  <r>
    <x v="3"/>
    <s v="Accra"/>
    <s v="Afrique de l'Ouest"/>
    <x v="58"/>
    <x v="83"/>
    <x v="3"/>
    <n v="2"/>
    <n v="55000"/>
    <n v="116110"/>
    <n v="25544"/>
  </r>
  <r>
    <x v="2"/>
    <s v="Dakar"/>
    <s v="Afrique de l'Ouest"/>
    <x v="57"/>
    <x v="39"/>
    <x v="4"/>
    <n v="2"/>
    <n v="15000"/>
    <n v="29526"/>
    <n v="2953"/>
  </r>
  <r>
    <x v="3"/>
    <s v="Dakar"/>
    <s v="Afrique de l'Ouest"/>
    <x v="0"/>
    <x v="111"/>
    <x v="2"/>
    <n v="5"/>
    <n v="45000"/>
    <n v="227433"/>
    <n v="40938"/>
  </r>
  <r>
    <x v="3"/>
    <s v="Dar es Salaam"/>
    <s v="Afrique de l'Est"/>
    <x v="18"/>
    <x v="250"/>
    <x v="3"/>
    <n v="3"/>
    <n v="55000"/>
    <n v="152527"/>
    <n v="33556"/>
  </r>
  <r>
    <x v="4"/>
    <s v="Bamako"/>
    <s v="Afrique de l'Ouest"/>
    <x v="101"/>
    <x v="112"/>
    <x v="4"/>
    <n v="5"/>
    <n v="15000"/>
    <n v="73732"/>
    <n v="7373"/>
  </r>
  <r>
    <x v="3"/>
    <s v="Kinshasa"/>
    <s v="Afrique Centrale"/>
    <x v="83"/>
    <x v="243"/>
    <x v="0"/>
    <n v="2"/>
    <n v="18500"/>
    <n v="33463"/>
    <n v="4016"/>
  </r>
  <r>
    <x v="3"/>
    <s v="Dakar"/>
    <s v="Afrique de l'Ouest"/>
    <x v="52"/>
    <x v="197"/>
    <x v="4"/>
    <n v="5"/>
    <n v="15000"/>
    <n v="78594"/>
    <n v="7859"/>
  </r>
  <r>
    <x v="1"/>
    <s v="Nairobi"/>
    <s v="Afrique de l'Est"/>
    <x v="142"/>
    <x v="318"/>
    <x v="2"/>
    <n v="8"/>
    <n v="45000"/>
    <n v="384751"/>
    <n v="69255"/>
  </r>
  <r>
    <x v="2"/>
    <s v="Douala"/>
    <s v="Afrique Centrale"/>
    <x v="55"/>
    <x v="296"/>
    <x v="1"/>
    <n v="3"/>
    <n v="12500"/>
    <n v="38007"/>
    <n v="3041"/>
  </r>
  <r>
    <x v="0"/>
    <s v="Kinshasa"/>
    <s v="Afrique Centrale"/>
    <x v="65"/>
    <x v="249"/>
    <x v="1"/>
    <n v="5"/>
    <n v="12500"/>
    <n v="58344"/>
    <n v="4668"/>
  </r>
  <r>
    <x v="2"/>
    <s v="Abidjan"/>
    <s v="Afrique de l'Ouest"/>
    <x v="192"/>
    <x v="88"/>
    <x v="0"/>
    <n v="1"/>
    <n v="18500"/>
    <n v="17157"/>
    <n v="2059"/>
  </r>
  <r>
    <x v="3"/>
    <s v="Accra"/>
    <s v="Afrique de l'Ouest"/>
    <x v="217"/>
    <x v="196"/>
    <x v="2"/>
    <n v="1"/>
    <n v="45000"/>
    <n v="42763"/>
    <n v="7697"/>
  </r>
  <r>
    <x v="4"/>
    <s v="Dakar"/>
    <s v="Afrique de l'Ouest"/>
    <x v="150"/>
    <x v="179"/>
    <x v="1"/>
    <n v="5"/>
    <n v="12500"/>
    <n v="59203"/>
    <n v="4736"/>
  </r>
  <r>
    <x v="1"/>
    <s v="Accra"/>
    <s v="Afrique de l'Ouest"/>
    <x v="180"/>
    <x v="105"/>
    <x v="0"/>
    <n v="10"/>
    <n v="18500"/>
    <n v="168022"/>
    <n v="20163"/>
  </r>
  <r>
    <x v="3"/>
    <s v="Kinshasa"/>
    <s v="Afrique Centrale"/>
    <x v="139"/>
    <x v="280"/>
    <x v="4"/>
    <n v="9"/>
    <n v="15000"/>
    <n v="135286"/>
    <n v="13529"/>
  </r>
  <r>
    <x v="3"/>
    <s v="Cotonou"/>
    <s v="Afrique de l'Ouest"/>
    <x v="134"/>
    <x v="243"/>
    <x v="4"/>
    <n v="7"/>
    <n v="15000"/>
    <n v="105487"/>
    <n v="10549"/>
  </r>
  <r>
    <x v="2"/>
    <s v="Lomé"/>
    <s v="Afrique de l'Ouest"/>
    <x v="109"/>
    <x v="62"/>
    <x v="1"/>
    <n v="6"/>
    <n v="12500"/>
    <n v="80871"/>
    <n v="6470"/>
  </r>
  <r>
    <x v="2"/>
    <s v="Accra"/>
    <s v="Afrique de l'Ouest"/>
    <x v="20"/>
    <x v="253"/>
    <x v="3"/>
    <n v="8"/>
    <n v="55000"/>
    <n v="433418"/>
    <n v="95352"/>
  </r>
  <r>
    <x v="1"/>
    <s v="Dar es Salaam"/>
    <s v="Afrique de l'Est"/>
    <x v="224"/>
    <x v="137"/>
    <x v="2"/>
    <n v="9"/>
    <n v="45000"/>
    <n v="372916"/>
    <n v="67125"/>
  </r>
  <r>
    <x v="1"/>
    <s v="Addis-Abeba"/>
    <s v="Afrique de l'Est"/>
    <x v="222"/>
    <x v="39"/>
    <x v="1"/>
    <n v="6"/>
    <n v="12500"/>
    <n v="80015"/>
    <n v="6401"/>
  </r>
  <r>
    <x v="2"/>
    <s v="Lomé"/>
    <s v="Afrique de l'Ouest"/>
    <x v="182"/>
    <x v="234"/>
    <x v="1"/>
    <n v="3"/>
    <n v="12500"/>
    <n v="34518"/>
    <n v="2761"/>
  </r>
  <r>
    <x v="1"/>
    <s v="Dakar"/>
    <s v="Afrique de l'Ouest"/>
    <x v="39"/>
    <x v="294"/>
    <x v="2"/>
    <n v="1"/>
    <n v="45000"/>
    <n v="45265"/>
    <n v="8148"/>
  </r>
  <r>
    <x v="3"/>
    <s v="Kinshasa"/>
    <s v="Afrique Centrale"/>
    <x v="198"/>
    <x v="187"/>
    <x v="3"/>
    <n v="8"/>
    <n v="55000"/>
    <n v="458148"/>
    <n v="100793"/>
  </r>
  <r>
    <x v="0"/>
    <s v="Yaoundé"/>
    <s v="Afrique Centrale"/>
    <x v="115"/>
    <x v="267"/>
    <x v="2"/>
    <n v="1"/>
    <n v="45000"/>
    <n v="45786"/>
    <n v="8241"/>
  </r>
  <r>
    <x v="0"/>
    <s v="Lagos"/>
    <s v="Afrique de l'Ouest"/>
    <x v="138"/>
    <x v="122"/>
    <x v="0"/>
    <n v="5"/>
    <n v="18500"/>
    <n v="96666"/>
    <n v="11600"/>
  </r>
  <r>
    <x v="1"/>
    <s v="Abidjan"/>
    <s v="Afrique de l'Ouest"/>
    <x v="134"/>
    <x v="283"/>
    <x v="2"/>
    <n v="3"/>
    <n v="45000"/>
    <n v="121640"/>
    <n v="21895"/>
  </r>
  <r>
    <x v="3"/>
    <s v="Accra"/>
    <s v="Afrique de l'Ouest"/>
    <x v="37"/>
    <x v="285"/>
    <x v="0"/>
    <n v="7"/>
    <n v="18500"/>
    <n v="134253"/>
    <n v="16110"/>
  </r>
  <r>
    <x v="0"/>
    <s v="Accra"/>
    <s v="Afrique de l'Ouest"/>
    <x v="202"/>
    <x v="261"/>
    <x v="2"/>
    <n v="5"/>
    <n v="45000"/>
    <n v="212691"/>
    <n v="38284"/>
  </r>
  <r>
    <x v="1"/>
    <s v="Abidjan"/>
    <s v="Afrique de l'Ouest"/>
    <x v="218"/>
    <x v="130"/>
    <x v="3"/>
    <n v="4"/>
    <n v="55000"/>
    <n v="206497"/>
    <n v="45429"/>
  </r>
  <r>
    <x v="0"/>
    <s v="Addis-Abeba"/>
    <s v="Afrique de l'Est"/>
    <x v="189"/>
    <x v="303"/>
    <x v="3"/>
    <n v="6"/>
    <n v="55000"/>
    <n v="301551"/>
    <n v="66341"/>
  </r>
  <r>
    <x v="4"/>
    <s v="Addis-Abeba"/>
    <s v="Afrique de l'Est"/>
    <x v="205"/>
    <x v="292"/>
    <x v="3"/>
    <n v="6"/>
    <n v="55000"/>
    <n v="317985"/>
    <n v="69957"/>
  </r>
  <r>
    <x v="0"/>
    <s v="Bamako"/>
    <s v="Afrique de l'Ouest"/>
    <x v="86"/>
    <x v="298"/>
    <x v="3"/>
    <n v="8"/>
    <n v="55000"/>
    <n v="420567"/>
    <n v="92525"/>
  </r>
  <r>
    <x v="0"/>
    <s v="Douala"/>
    <s v="Afrique Centrale"/>
    <x v="157"/>
    <x v="66"/>
    <x v="0"/>
    <n v="4"/>
    <n v="18500"/>
    <n v="68383"/>
    <n v="8206"/>
  </r>
  <r>
    <x v="2"/>
    <s v="Kampala"/>
    <s v="Afrique de l'Est"/>
    <x v="136"/>
    <x v="282"/>
    <x v="2"/>
    <n v="4"/>
    <n v="45000"/>
    <n v="175616"/>
    <n v="31611"/>
  </r>
  <r>
    <x v="4"/>
    <s v="Abidjan"/>
    <s v="Afrique de l'Ouest"/>
    <x v="55"/>
    <x v="203"/>
    <x v="2"/>
    <n v="7"/>
    <n v="45000"/>
    <n v="338722"/>
    <n v="60970"/>
  </r>
  <r>
    <x v="0"/>
    <s v="Accra"/>
    <s v="Afrique de l'Ouest"/>
    <x v="74"/>
    <x v="245"/>
    <x v="4"/>
    <n v="8"/>
    <n v="15000"/>
    <n v="109023"/>
    <n v="10902"/>
  </r>
  <r>
    <x v="2"/>
    <s v="Accra"/>
    <s v="Afrique de l'Ouest"/>
    <x v="160"/>
    <x v="240"/>
    <x v="1"/>
    <n v="4"/>
    <n v="12500"/>
    <n v="46499"/>
    <n v="3720"/>
  </r>
  <r>
    <x v="0"/>
    <s v="Lomé"/>
    <s v="Afrique de l'Ouest"/>
    <x v="224"/>
    <x v="141"/>
    <x v="2"/>
    <n v="8"/>
    <n v="45000"/>
    <n v="345453"/>
    <n v="62182"/>
  </r>
  <r>
    <x v="2"/>
    <s v="Nairobi"/>
    <s v="Afrique de l'Est"/>
    <x v="181"/>
    <x v="243"/>
    <x v="2"/>
    <n v="1"/>
    <n v="45000"/>
    <n v="49047"/>
    <n v="8828"/>
  </r>
  <r>
    <x v="2"/>
    <s v="Dar es Salaam"/>
    <s v="Afrique de l'Est"/>
    <x v="50"/>
    <x v="180"/>
    <x v="1"/>
    <n v="6"/>
    <n v="12500"/>
    <n v="71555"/>
    <n v="5724"/>
  </r>
  <r>
    <x v="3"/>
    <s v="Bamako"/>
    <s v="Afrique de l'Ouest"/>
    <x v="87"/>
    <x v="12"/>
    <x v="0"/>
    <n v="6"/>
    <n v="18500"/>
    <n v="111308"/>
    <n v="13357"/>
  </r>
  <r>
    <x v="2"/>
    <s v="Bamako"/>
    <s v="Afrique de l'Ouest"/>
    <x v="65"/>
    <x v="253"/>
    <x v="4"/>
    <n v="3"/>
    <n v="15000"/>
    <n v="43204"/>
    <n v="4320"/>
  </r>
  <r>
    <x v="0"/>
    <s v="Ouagadougou"/>
    <s v="Afrique de l'Ouest"/>
    <x v="49"/>
    <x v="161"/>
    <x v="2"/>
    <n v="4"/>
    <n v="45000"/>
    <n v="196765"/>
    <n v="35418"/>
  </r>
  <r>
    <x v="2"/>
    <s v="Lomé"/>
    <s v="Afrique de l'Ouest"/>
    <x v="54"/>
    <x v="205"/>
    <x v="1"/>
    <n v="8"/>
    <n v="12500"/>
    <n v="108850"/>
    <n v="8708"/>
  </r>
  <r>
    <x v="4"/>
    <s v="Lagos"/>
    <s v="Afrique de l'Ouest"/>
    <x v="173"/>
    <x v="24"/>
    <x v="0"/>
    <n v="6"/>
    <n v="18500"/>
    <n v="120934"/>
    <n v="14512"/>
  </r>
  <r>
    <x v="2"/>
    <s v="Abidjan"/>
    <s v="Afrique de l'Ouest"/>
    <x v="100"/>
    <x v="251"/>
    <x v="3"/>
    <n v="5"/>
    <n v="55000"/>
    <n v="301738"/>
    <n v="66382"/>
  </r>
  <r>
    <x v="1"/>
    <s v="Lomé"/>
    <s v="Afrique de l'Ouest"/>
    <x v="95"/>
    <x v="357"/>
    <x v="0"/>
    <n v="2"/>
    <n v="18500"/>
    <n v="34703"/>
    <n v="4164"/>
  </r>
  <r>
    <x v="2"/>
    <s v="Dar es Salaam"/>
    <s v="Afrique de l'Est"/>
    <x v="84"/>
    <x v="9"/>
    <x v="0"/>
    <n v="6"/>
    <n v="18500"/>
    <n v="111194"/>
    <n v="13343"/>
  </r>
  <r>
    <x v="3"/>
    <s v="Nairobi"/>
    <s v="Afrique de l'Est"/>
    <x v="170"/>
    <x v="34"/>
    <x v="2"/>
    <n v="6"/>
    <n v="45000"/>
    <n v="269172"/>
    <n v="48451"/>
  </r>
  <r>
    <x v="1"/>
    <s v="Dakar"/>
    <s v="Afrique de l'Ouest"/>
    <x v="126"/>
    <x v="51"/>
    <x v="2"/>
    <n v="6"/>
    <n v="45000"/>
    <n v="248264"/>
    <n v="44688"/>
  </r>
  <r>
    <x v="0"/>
    <s v="Nairobi"/>
    <s v="Afrique de l'Est"/>
    <x v="111"/>
    <x v="271"/>
    <x v="0"/>
    <n v="5"/>
    <n v="18500"/>
    <n v="84971"/>
    <n v="10197"/>
  </r>
  <r>
    <x v="2"/>
    <s v="Abidjan"/>
    <s v="Afrique de l'Ouest"/>
    <x v="145"/>
    <x v="201"/>
    <x v="2"/>
    <n v="6"/>
    <n v="45000"/>
    <n v="293277"/>
    <n v="52790"/>
  </r>
  <r>
    <x v="2"/>
    <s v="Addis-Abeba"/>
    <s v="Afrique de l'Est"/>
    <x v="204"/>
    <x v="191"/>
    <x v="4"/>
    <n v="9"/>
    <n v="15000"/>
    <n v="136665"/>
    <n v="13666"/>
  </r>
  <r>
    <x v="1"/>
    <s v="Accra"/>
    <s v="Afrique de l'Ouest"/>
    <x v="23"/>
    <x v="217"/>
    <x v="3"/>
    <n v="9"/>
    <n v="55000"/>
    <n v="473862"/>
    <n v="104250"/>
  </r>
  <r>
    <x v="0"/>
    <s v="Dakar"/>
    <s v="Afrique de l'Ouest"/>
    <x v="91"/>
    <x v="271"/>
    <x v="1"/>
    <n v="4"/>
    <n v="12500"/>
    <n v="52892"/>
    <n v="4231"/>
  </r>
  <r>
    <x v="4"/>
    <s v="Dakar"/>
    <s v="Afrique de l'Ouest"/>
    <x v="58"/>
    <x v="65"/>
    <x v="1"/>
    <n v="3"/>
    <n v="12500"/>
    <n v="34583"/>
    <n v="2767"/>
  </r>
  <r>
    <x v="2"/>
    <s v="Lomé"/>
    <s v="Afrique de l'Ouest"/>
    <x v="113"/>
    <x v="28"/>
    <x v="2"/>
    <n v="10"/>
    <n v="45000"/>
    <n v="425900"/>
    <n v="76662"/>
  </r>
  <r>
    <x v="4"/>
    <s v="Abidjan"/>
    <s v="Afrique de l'Ouest"/>
    <x v="84"/>
    <x v="23"/>
    <x v="0"/>
    <n v="2"/>
    <n v="18500"/>
    <n v="36379"/>
    <n v="4365"/>
  </r>
  <r>
    <x v="3"/>
    <s v="Yaoundé"/>
    <s v="Afrique Centrale"/>
    <x v="190"/>
    <x v="123"/>
    <x v="4"/>
    <n v="10"/>
    <n v="15000"/>
    <n v="144028"/>
    <n v="14403"/>
  </r>
  <r>
    <x v="2"/>
    <s v="Dakar"/>
    <s v="Afrique de l'Ouest"/>
    <x v="192"/>
    <x v="330"/>
    <x v="3"/>
    <n v="9"/>
    <n v="55000"/>
    <n v="494566"/>
    <n v="108805"/>
  </r>
  <r>
    <x v="2"/>
    <s v="Cotonou"/>
    <s v="Afrique de l'Ouest"/>
    <x v="75"/>
    <x v="197"/>
    <x v="3"/>
    <n v="4"/>
    <n v="55000"/>
    <n v="205901"/>
    <n v="45298"/>
  </r>
  <r>
    <x v="2"/>
    <s v="Douala"/>
    <s v="Afrique Centrale"/>
    <x v="192"/>
    <x v="74"/>
    <x v="3"/>
    <n v="7"/>
    <n v="55000"/>
    <n v="374628"/>
    <n v="82418"/>
  </r>
  <r>
    <x v="0"/>
    <s v="Yaoundé"/>
    <s v="Afrique Centrale"/>
    <x v="70"/>
    <x v="135"/>
    <x v="4"/>
    <n v="7"/>
    <n v="15000"/>
    <n v="111867"/>
    <n v="11187"/>
  </r>
  <r>
    <x v="2"/>
    <s v="Douala"/>
    <s v="Afrique Centrale"/>
    <x v="121"/>
    <x v="42"/>
    <x v="3"/>
    <n v="9"/>
    <n v="55000"/>
    <n v="509999"/>
    <n v="112200"/>
  </r>
  <r>
    <x v="0"/>
    <s v="Kinshasa"/>
    <s v="Afrique Centrale"/>
    <x v="33"/>
    <x v="46"/>
    <x v="2"/>
    <n v="9"/>
    <n v="45000"/>
    <n v="372160"/>
    <n v="66989"/>
  </r>
  <r>
    <x v="0"/>
    <s v="Cotonou"/>
    <s v="Afrique de l'Ouest"/>
    <x v="18"/>
    <x v="293"/>
    <x v="0"/>
    <n v="6"/>
    <n v="18500"/>
    <n v="114462"/>
    <n v="13735"/>
  </r>
  <r>
    <x v="4"/>
    <s v="Lagos"/>
    <s v="Afrique de l'Ouest"/>
    <x v="46"/>
    <x v="326"/>
    <x v="2"/>
    <n v="1"/>
    <n v="45000"/>
    <n v="41686"/>
    <n v="7503"/>
  </r>
  <r>
    <x v="1"/>
    <s v="Lomé"/>
    <s v="Afrique de l'Ouest"/>
    <x v="41"/>
    <x v="3"/>
    <x v="4"/>
    <n v="9"/>
    <n v="15000"/>
    <n v="136260"/>
    <n v="13626"/>
  </r>
  <r>
    <x v="0"/>
    <s v="Cotonou"/>
    <s v="Afrique de l'Ouest"/>
    <x v="188"/>
    <x v="177"/>
    <x v="2"/>
    <n v="6"/>
    <n v="45000"/>
    <n v="291658"/>
    <n v="52498"/>
  </r>
  <r>
    <x v="4"/>
    <s v="Accra"/>
    <s v="Afrique de l'Ouest"/>
    <x v="134"/>
    <x v="352"/>
    <x v="3"/>
    <n v="3"/>
    <n v="55000"/>
    <n v="153060"/>
    <n v="33673"/>
  </r>
  <r>
    <x v="1"/>
    <s v="Ouagadougou"/>
    <s v="Afrique de l'Ouest"/>
    <x v="91"/>
    <x v="200"/>
    <x v="1"/>
    <n v="7"/>
    <n v="12500"/>
    <n v="79057"/>
    <n v="6325"/>
  </r>
  <r>
    <x v="1"/>
    <s v="Yaoundé"/>
    <s v="Afrique Centrale"/>
    <x v="187"/>
    <x v="113"/>
    <x v="1"/>
    <n v="5"/>
    <n v="12500"/>
    <n v="64326"/>
    <n v="5146"/>
  </r>
  <r>
    <x v="4"/>
    <s v="Lagos"/>
    <s v="Afrique de l'Ouest"/>
    <x v="89"/>
    <x v="322"/>
    <x v="3"/>
    <n v="8"/>
    <n v="55000"/>
    <n v="479762"/>
    <n v="105548"/>
  </r>
  <r>
    <x v="0"/>
    <s v="Abidjan"/>
    <s v="Afrique de l'Ouest"/>
    <x v="85"/>
    <x v="260"/>
    <x v="3"/>
    <n v="6"/>
    <n v="55000"/>
    <n v="319988"/>
    <n v="70397"/>
  </r>
  <r>
    <x v="4"/>
    <s v="Kampala"/>
    <s v="Afrique de l'Est"/>
    <x v="144"/>
    <x v="267"/>
    <x v="1"/>
    <n v="8"/>
    <n v="12500"/>
    <n v="109491"/>
    <n v="8759"/>
  </r>
  <r>
    <x v="4"/>
    <s v="Addis-Abeba"/>
    <s v="Afrique de l'Est"/>
    <x v="24"/>
    <x v="350"/>
    <x v="2"/>
    <n v="6"/>
    <n v="45000"/>
    <n v="261881"/>
    <n v="47139"/>
  </r>
  <r>
    <x v="2"/>
    <s v="Kampala"/>
    <s v="Afrique de l'Est"/>
    <x v="40"/>
    <x v="178"/>
    <x v="2"/>
    <n v="3"/>
    <n v="45000"/>
    <n v="134500"/>
    <n v="24210"/>
  </r>
  <r>
    <x v="1"/>
    <s v="Abidjan"/>
    <s v="Afrique de l'Ouest"/>
    <x v="57"/>
    <x v="73"/>
    <x v="4"/>
    <n v="1"/>
    <n v="15000"/>
    <n v="13579"/>
    <n v="1358"/>
  </r>
  <r>
    <x v="0"/>
    <s v="Bamako"/>
    <s v="Afrique de l'Ouest"/>
    <x v="199"/>
    <x v="234"/>
    <x v="4"/>
    <n v="9"/>
    <n v="15000"/>
    <n v="130944"/>
    <n v="13094"/>
  </r>
  <r>
    <x v="4"/>
    <s v="Cotonou"/>
    <s v="Afrique de l'Ouest"/>
    <x v="75"/>
    <x v="282"/>
    <x v="4"/>
    <n v="10"/>
    <n v="15000"/>
    <n v="157817"/>
    <n v="15782"/>
  </r>
  <r>
    <x v="1"/>
    <s v="Addis-Abeba"/>
    <s v="Afrique de l'Est"/>
    <x v="142"/>
    <x v="297"/>
    <x v="3"/>
    <n v="3"/>
    <n v="55000"/>
    <n v="153772"/>
    <n v="33830"/>
  </r>
  <r>
    <x v="4"/>
    <s v="Kinshasa"/>
    <s v="Afrique Centrale"/>
    <x v="210"/>
    <x v="327"/>
    <x v="4"/>
    <n v="8"/>
    <n v="15000"/>
    <n v="111575"/>
    <n v="11158"/>
  </r>
  <r>
    <x v="2"/>
    <s v="Yaoundé"/>
    <s v="Afrique Centrale"/>
    <x v="59"/>
    <x v="146"/>
    <x v="1"/>
    <n v="10"/>
    <n v="12500"/>
    <n v="129172"/>
    <n v="10334"/>
  </r>
  <r>
    <x v="0"/>
    <s v="Kinshasa"/>
    <s v="Afrique Centrale"/>
    <x v="137"/>
    <x v="352"/>
    <x v="1"/>
    <n v="9"/>
    <n v="12500"/>
    <n v="119887"/>
    <n v="9591"/>
  </r>
  <r>
    <x v="2"/>
    <s v="Kampala"/>
    <s v="Afrique de l'Est"/>
    <x v="102"/>
    <x v="155"/>
    <x v="2"/>
    <n v="1"/>
    <n v="45000"/>
    <n v="48255"/>
    <n v="8686"/>
  </r>
  <r>
    <x v="2"/>
    <s v="Ouagadougou"/>
    <s v="Afrique de l'Ouest"/>
    <x v="133"/>
    <x v="25"/>
    <x v="1"/>
    <n v="8"/>
    <n v="12500"/>
    <n v="97084"/>
    <n v="7767"/>
  </r>
  <r>
    <x v="4"/>
    <s v="Douala"/>
    <s v="Afrique Centrale"/>
    <x v="32"/>
    <x v="155"/>
    <x v="4"/>
    <n v="5"/>
    <n v="15000"/>
    <n v="70234"/>
    <n v="7023"/>
  </r>
  <r>
    <x v="3"/>
    <s v="Dar es Salaam"/>
    <s v="Afrique de l'Est"/>
    <x v="218"/>
    <x v="246"/>
    <x v="4"/>
    <n v="5"/>
    <n v="15000"/>
    <n v="73663"/>
    <n v="7366"/>
  </r>
  <r>
    <x v="2"/>
    <s v="Bamako"/>
    <s v="Afrique de l'Ouest"/>
    <x v="100"/>
    <x v="191"/>
    <x v="3"/>
    <n v="7"/>
    <n v="55000"/>
    <n v="352810"/>
    <n v="77618"/>
  </r>
  <r>
    <x v="0"/>
    <s v="Kampala"/>
    <s v="Afrique de l'Est"/>
    <x v="54"/>
    <x v="361"/>
    <x v="2"/>
    <n v="2"/>
    <n v="45000"/>
    <n v="83600"/>
    <n v="1504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Aïcha Kouyaté"/>
    <x v="0"/>
    <s v="Afrique de l'Ouest"/>
    <s v="Awa Cissé"/>
    <x v="0"/>
    <x v="0"/>
    <n v="5"/>
    <n v="18500"/>
    <n v="84104"/>
    <n v="10092"/>
  </r>
  <r>
    <s v="Amara Diallo"/>
    <x v="1"/>
    <s v="Afrique de l'Ouest"/>
    <s v="Zainab Cissé"/>
    <x v="1"/>
    <x v="0"/>
    <n v="2"/>
    <n v="18500"/>
    <n v="40676"/>
    <n v="4881"/>
  </r>
  <r>
    <s v="Fatima Ndiaye"/>
    <x v="2"/>
    <s v="Afrique de l'Ouest"/>
    <s v="Mariama Dembélé"/>
    <x v="2"/>
    <x v="1"/>
    <n v="1"/>
    <n v="12500"/>
    <n v="12725"/>
    <n v="1018"/>
  </r>
  <r>
    <s v="Amara Diallo"/>
    <x v="3"/>
    <s v="Afrique Centrale"/>
    <s v="Chioma Nwosu"/>
    <x v="3"/>
    <x v="1"/>
    <n v="1"/>
    <n v="12500"/>
    <n v="11375"/>
    <n v="910"/>
  </r>
  <r>
    <s v="Amara Diallo"/>
    <x v="4"/>
    <s v="Afrique de l'Est"/>
    <s v="Mariama Cissé"/>
    <x v="4"/>
    <x v="0"/>
    <n v="9"/>
    <n v="18500"/>
    <n v="149936"/>
    <n v="17992"/>
  </r>
  <r>
    <s v="Amara Diallo"/>
    <x v="0"/>
    <s v="Afrique de l'Ouest"/>
    <s v="Emeka Nwosu"/>
    <x v="5"/>
    <x v="1"/>
    <n v="1"/>
    <n v="12500"/>
    <n v="12254"/>
    <n v="980"/>
  </r>
  <r>
    <s v="Aïcha Kouyaté"/>
    <x v="5"/>
    <s v="Afrique de l'Est"/>
    <s v="Moussa Keïta"/>
    <x v="6"/>
    <x v="1"/>
    <n v="2"/>
    <n v="12500"/>
    <n v="24413"/>
    <n v="1953"/>
  </r>
  <r>
    <s v="Amara Diallo"/>
    <x v="6"/>
    <s v="Afrique de l'Ouest"/>
    <s v="Chidi Keïta"/>
    <x v="7"/>
    <x v="2"/>
    <n v="4"/>
    <n v="45000"/>
    <n v="193941"/>
    <n v="34909"/>
  </r>
  <r>
    <s v="Fatima Ndiaye"/>
    <x v="6"/>
    <s v="Afrique de l'Ouest"/>
    <s v="Emeka Mensah"/>
    <x v="5"/>
    <x v="2"/>
    <n v="3"/>
    <n v="45000"/>
    <n v="134028"/>
    <n v="24125"/>
  </r>
  <r>
    <s v="Aïcha Kouyaté"/>
    <x v="3"/>
    <s v="Afrique Centrale"/>
    <s v="Oumar Nwosu"/>
    <x v="8"/>
    <x v="3"/>
    <n v="10"/>
    <n v="55000"/>
    <n v="534621"/>
    <n v="117617"/>
  </r>
  <r>
    <s v="Ibrahim Traoré"/>
    <x v="7"/>
    <s v="Afrique Centrale"/>
    <s v="Kwame Bah"/>
    <x v="9"/>
    <x v="4"/>
    <n v="5"/>
    <n v="15000"/>
    <n v="76739"/>
    <n v="7674"/>
  </r>
  <r>
    <s v="Kofi Mensah"/>
    <x v="6"/>
    <s v="Afrique de l'Ouest"/>
    <s v="Chidi Mensah"/>
    <x v="10"/>
    <x v="4"/>
    <n v="8"/>
    <n v="15000"/>
    <n v="129776"/>
    <n v="12978"/>
  </r>
  <r>
    <s v="Aïcha Kouyaté"/>
    <x v="2"/>
    <s v="Afrique de l'Ouest"/>
    <s v="Emeka Asante"/>
    <x v="11"/>
    <x v="1"/>
    <n v="8"/>
    <n v="12500"/>
    <n v="100609"/>
    <n v="8049"/>
  </r>
  <r>
    <s v="Fatima Ndiaye"/>
    <x v="2"/>
    <s v="Afrique de l'Ouest"/>
    <s v="Seydou Okonkwo"/>
    <x v="12"/>
    <x v="4"/>
    <n v="5"/>
    <n v="15000"/>
    <n v="79825"/>
    <n v="7982"/>
  </r>
  <r>
    <s v="Ibrahim Traoré"/>
    <x v="1"/>
    <s v="Afrique de l'Ouest"/>
    <s v="Awa Dembélé"/>
    <x v="13"/>
    <x v="4"/>
    <n v="3"/>
    <n v="15000"/>
    <n v="42227"/>
    <n v="4223"/>
  </r>
  <r>
    <s v="Ibrahim Traoré"/>
    <x v="8"/>
    <s v="Afrique de l'Est"/>
    <s v="Kwame Touré"/>
    <x v="14"/>
    <x v="0"/>
    <n v="2"/>
    <n v="18500"/>
    <n v="33418"/>
    <n v="4010"/>
  </r>
  <r>
    <s v="Aïcha Kouyaté"/>
    <x v="3"/>
    <s v="Afrique Centrale"/>
    <s v="Chioma Bah"/>
    <x v="15"/>
    <x v="0"/>
    <n v="4"/>
    <n v="18500"/>
    <n v="71482"/>
    <n v="8578"/>
  </r>
  <r>
    <s v="Aïcha Kouyaté"/>
    <x v="2"/>
    <s v="Afrique de l'Ouest"/>
    <s v="Awa Coulibaly"/>
    <x v="16"/>
    <x v="2"/>
    <n v="7"/>
    <n v="45000"/>
    <n v="346232"/>
    <n v="62322"/>
  </r>
  <r>
    <s v="Amara Diallo"/>
    <x v="4"/>
    <s v="Afrique de l'Est"/>
    <s v="Adama Diop"/>
    <x v="17"/>
    <x v="3"/>
    <n v="4"/>
    <n v="55000"/>
    <n v="204627"/>
    <n v="45018"/>
  </r>
  <r>
    <s v="Fatima Ndiaye"/>
    <x v="9"/>
    <s v="Afrique de l'Ouest"/>
    <s v="Mariama Asante"/>
    <x v="18"/>
    <x v="0"/>
    <n v="10"/>
    <n v="18500"/>
    <n v="187317"/>
    <n v="22478"/>
  </r>
  <r>
    <s v="Kofi Mensah"/>
    <x v="3"/>
    <s v="Afrique Centrale"/>
    <s v="Emeka Touré"/>
    <x v="19"/>
    <x v="2"/>
    <n v="3"/>
    <n v="45000"/>
    <n v="129072"/>
    <n v="23233"/>
  </r>
  <r>
    <s v="Aïcha Kouyaté"/>
    <x v="0"/>
    <s v="Afrique de l'Ouest"/>
    <s v="Oumar Mensah"/>
    <x v="20"/>
    <x v="1"/>
    <n v="9"/>
    <n v="12500"/>
    <n v="112219"/>
    <n v="8978"/>
  </r>
  <r>
    <s v="Kofi Mensah"/>
    <x v="7"/>
    <s v="Afrique Centrale"/>
    <s v="Ngozi Diop"/>
    <x v="21"/>
    <x v="2"/>
    <n v="10"/>
    <n v="45000"/>
    <n v="416090"/>
    <n v="74896"/>
  </r>
  <r>
    <s v="Ibrahim Traoré"/>
    <x v="10"/>
    <s v="Afrique Centrale"/>
    <s v="Zainab Coulibaly"/>
    <x v="22"/>
    <x v="2"/>
    <n v="1"/>
    <n v="45000"/>
    <n v="40736"/>
    <n v="7332"/>
  </r>
  <r>
    <s v="Aïcha Kouyaté"/>
    <x v="1"/>
    <s v="Afrique de l'Ouest"/>
    <s v="Mariama Bah"/>
    <x v="23"/>
    <x v="2"/>
    <n v="5"/>
    <n v="45000"/>
    <n v="227540"/>
    <n v="40957"/>
  </r>
  <r>
    <s v="Amara Diallo"/>
    <x v="1"/>
    <s v="Afrique de l'Ouest"/>
    <s v="Awa Okonkwo"/>
    <x v="24"/>
    <x v="2"/>
    <n v="9"/>
    <n v="45000"/>
    <n v="390208"/>
    <n v="70237"/>
  </r>
  <r>
    <s v="Amara Diallo"/>
    <x v="4"/>
    <s v="Afrique de l'Est"/>
    <s v="Chidi Touré"/>
    <x v="15"/>
    <x v="0"/>
    <n v="4"/>
    <n v="18500"/>
    <n v="68556"/>
    <n v="8227"/>
  </r>
  <r>
    <s v="Ibrahim Traoré"/>
    <x v="0"/>
    <s v="Afrique de l'Ouest"/>
    <s v="Chidi Coulibaly"/>
    <x v="25"/>
    <x v="4"/>
    <n v="8"/>
    <n v="15000"/>
    <n v="116447"/>
    <n v="11645"/>
  </r>
  <r>
    <s v="Ibrahim Traoré"/>
    <x v="8"/>
    <s v="Afrique de l'Est"/>
    <s v="Kadiatou Diop"/>
    <x v="26"/>
    <x v="1"/>
    <n v="3"/>
    <n v="12500"/>
    <n v="33846"/>
    <n v="2708"/>
  </r>
  <r>
    <s v="Amara Diallo"/>
    <x v="1"/>
    <s v="Afrique de l'Ouest"/>
    <s v="Adama Bah"/>
    <x v="27"/>
    <x v="0"/>
    <n v="5"/>
    <n v="18500"/>
    <n v="99520"/>
    <n v="11942"/>
  </r>
  <r>
    <s v="Kofi Mensah"/>
    <x v="0"/>
    <s v="Afrique de l'Ouest"/>
    <s v="Ngozi Diop"/>
    <x v="28"/>
    <x v="4"/>
    <n v="1"/>
    <n v="15000"/>
    <n v="15144"/>
    <n v="1514"/>
  </r>
  <r>
    <s v="Kofi Mensah"/>
    <x v="9"/>
    <s v="Afrique de l'Ouest"/>
    <s v="Seydou Touré"/>
    <x v="29"/>
    <x v="2"/>
    <n v="8"/>
    <n v="45000"/>
    <n v="375984"/>
    <n v="67677"/>
  </r>
  <r>
    <s v="Ibrahim Traoré"/>
    <x v="3"/>
    <s v="Afrique Centrale"/>
    <s v="Yaw Kamara"/>
    <x v="30"/>
    <x v="1"/>
    <n v="2"/>
    <n v="12500"/>
    <n v="24474"/>
    <n v="1958"/>
  </r>
  <r>
    <s v="Fatima Ndiaye"/>
    <x v="7"/>
    <s v="Afrique Centrale"/>
    <s v="Zainab Coulibaly"/>
    <x v="1"/>
    <x v="1"/>
    <n v="6"/>
    <n v="12500"/>
    <n v="67803"/>
    <n v="5424"/>
  </r>
  <r>
    <s v="Amara Diallo"/>
    <x v="2"/>
    <s v="Afrique de l'Ouest"/>
    <s v="Yaw Okonkwo"/>
    <x v="24"/>
    <x v="0"/>
    <n v="8"/>
    <n v="18500"/>
    <n v="135511"/>
    <n v="16261"/>
  </r>
  <r>
    <s v="Amara Diallo"/>
    <x v="9"/>
    <s v="Afrique de l'Ouest"/>
    <s v="Awa Kamara"/>
    <x v="31"/>
    <x v="2"/>
    <n v="6"/>
    <n v="45000"/>
    <n v="273754"/>
    <n v="49276"/>
  </r>
  <r>
    <s v="Amara Diallo"/>
    <x v="0"/>
    <s v="Afrique de l'Ouest"/>
    <s v="Oumar Nwosu"/>
    <x v="32"/>
    <x v="2"/>
    <n v="2"/>
    <n v="45000"/>
    <n v="84794"/>
    <n v="15263"/>
  </r>
  <r>
    <s v="Ibrahim Traoré"/>
    <x v="2"/>
    <s v="Afrique de l'Ouest"/>
    <s v="Moussa Coulibaly"/>
    <x v="33"/>
    <x v="0"/>
    <n v="6"/>
    <n v="18500"/>
    <n v="120992"/>
    <n v="14519"/>
  </r>
  <r>
    <s v="Amara Diallo"/>
    <x v="1"/>
    <s v="Afrique de l'Ouest"/>
    <s v="Awa Cissé"/>
    <x v="34"/>
    <x v="0"/>
    <n v="10"/>
    <n v="18500"/>
    <n v="188910"/>
    <n v="22669"/>
  </r>
  <r>
    <s v="Fatima Ndiaye"/>
    <x v="6"/>
    <s v="Afrique de l'Ouest"/>
    <s v="Kwame Coulibaly"/>
    <x v="35"/>
    <x v="2"/>
    <n v="3"/>
    <n v="45000"/>
    <n v="147753"/>
    <n v="26596"/>
  </r>
  <r>
    <s v="Ibrahim Traoré"/>
    <x v="7"/>
    <s v="Afrique Centrale"/>
    <s v="Ngozi Abubakar"/>
    <x v="36"/>
    <x v="1"/>
    <n v="2"/>
    <n v="12500"/>
    <n v="26427"/>
    <n v="2114"/>
  </r>
  <r>
    <s v="Amara Diallo"/>
    <x v="2"/>
    <s v="Afrique de l'Ouest"/>
    <s v="Seydou Dembélé"/>
    <x v="37"/>
    <x v="3"/>
    <n v="5"/>
    <n v="55000"/>
    <n v="249295"/>
    <n v="54845"/>
  </r>
  <r>
    <s v="Amara Diallo"/>
    <x v="5"/>
    <s v="Afrique de l'Est"/>
    <s v="Kwame Diop"/>
    <x v="38"/>
    <x v="2"/>
    <n v="4"/>
    <n v="45000"/>
    <n v="176536"/>
    <n v="31776"/>
  </r>
  <r>
    <s v="Ibrahim Traoré"/>
    <x v="10"/>
    <s v="Afrique Centrale"/>
    <s v="Adama Nwosu"/>
    <x v="39"/>
    <x v="1"/>
    <n v="8"/>
    <n v="12500"/>
    <n v="102253"/>
    <n v="8180"/>
  </r>
  <r>
    <s v="Kofi Mensah"/>
    <x v="7"/>
    <s v="Afrique Centrale"/>
    <s v="Emeka Keïta"/>
    <x v="40"/>
    <x v="4"/>
    <n v="4"/>
    <n v="15000"/>
    <n v="59494"/>
    <n v="5949"/>
  </r>
  <r>
    <s v="Aïcha Kouyaté"/>
    <x v="5"/>
    <s v="Afrique de l'Est"/>
    <s v="Yaw Diop"/>
    <x v="41"/>
    <x v="1"/>
    <n v="1"/>
    <n v="12500"/>
    <n v="13077"/>
    <n v="1046"/>
  </r>
  <r>
    <s v="Amara Diallo"/>
    <x v="6"/>
    <s v="Afrique de l'Ouest"/>
    <s v="Mariama Keïta"/>
    <x v="16"/>
    <x v="0"/>
    <n v="2"/>
    <n v="18500"/>
    <n v="35893"/>
    <n v="4307"/>
  </r>
  <r>
    <s v="Fatima Ndiaye"/>
    <x v="11"/>
    <s v="Afrique de l'Ouest"/>
    <s v="Mariama Ekwueme"/>
    <x v="42"/>
    <x v="3"/>
    <n v="5"/>
    <n v="55000"/>
    <n v="277018"/>
    <n v="60944"/>
  </r>
  <r>
    <s v="Ibrahim Traoré"/>
    <x v="1"/>
    <s v="Afrique de l'Ouest"/>
    <s v="Aminata Keïta"/>
    <x v="43"/>
    <x v="2"/>
    <n v="2"/>
    <n v="45000"/>
    <n v="88262"/>
    <n v="15887"/>
  </r>
  <r>
    <s v="Ibrahim Traoré"/>
    <x v="2"/>
    <s v="Afrique de l'Ouest"/>
    <s v="Kadiatou Cissé"/>
    <x v="44"/>
    <x v="1"/>
    <n v="8"/>
    <n v="12500"/>
    <n v="105995"/>
    <n v="8480"/>
  </r>
  <r>
    <s v="Fatima Ndiaye"/>
    <x v="12"/>
    <s v="Afrique de l'Est"/>
    <s v="Adama Mensah"/>
    <x v="45"/>
    <x v="0"/>
    <n v="9"/>
    <n v="18500"/>
    <n v="179586"/>
    <n v="21550"/>
  </r>
  <r>
    <s v="Ibrahim Traoré"/>
    <x v="5"/>
    <s v="Afrique de l'Est"/>
    <s v="Mariama Mensah"/>
    <x v="46"/>
    <x v="0"/>
    <n v="1"/>
    <n v="18500"/>
    <n v="16873"/>
    <n v="2025"/>
  </r>
  <r>
    <s v="Aïcha Kouyaté"/>
    <x v="13"/>
    <s v="Afrique de l'Ouest"/>
    <s v="Yaw Touré"/>
    <x v="47"/>
    <x v="3"/>
    <n v="10"/>
    <n v="55000"/>
    <n v="520338"/>
    <n v="114474"/>
  </r>
  <r>
    <s v="Aïcha Kouyaté"/>
    <x v="4"/>
    <s v="Afrique de l'Est"/>
    <s v="Kwame Bah"/>
    <x v="48"/>
    <x v="3"/>
    <n v="8"/>
    <n v="55000"/>
    <n v="453247"/>
    <n v="99714"/>
  </r>
  <r>
    <s v="Ibrahim Traoré"/>
    <x v="13"/>
    <s v="Afrique de l'Ouest"/>
    <s v="Chioma Abubakar"/>
    <x v="49"/>
    <x v="0"/>
    <n v="5"/>
    <n v="18500"/>
    <n v="99434"/>
    <n v="11932"/>
  </r>
  <r>
    <s v="Amara Diallo"/>
    <x v="7"/>
    <s v="Afrique Centrale"/>
    <s v="Mariama Ekwueme"/>
    <x v="50"/>
    <x v="3"/>
    <n v="9"/>
    <n v="55000"/>
    <n v="496122"/>
    <n v="109147"/>
  </r>
  <r>
    <s v="Fatima Ndiaye"/>
    <x v="4"/>
    <s v="Afrique de l'Est"/>
    <s v="Awa Asante"/>
    <x v="41"/>
    <x v="4"/>
    <n v="8"/>
    <n v="15000"/>
    <n v="119475"/>
    <n v="11948"/>
  </r>
  <r>
    <s v="Ibrahim Traoré"/>
    <x v="14"/>
    <s v="Afrique de l'Ouest"/>
    <s v="Chidi Kamara"/>
    <x v="51"/>
    <x v="4"/>
    <n v="7"/>
    <n v="15000"/>
    <n v="99067"/>
    <n v="9907"/>
  </r>
  <r>
    <s v="Amara Diallo"/>
    <x v="7"/>
    <s v="Afrique Centrale"/>
    <s v="Ngozi Kamara"/>
    <x v="52"/>
    <x v="4"/>
    <n v="5"/>
    <n v="15000"/>
    <n v="78422"/>
    <n v="7842"/>
  </r>
  <r>
    <s v="Fatima Ndiaye"/>
    <x v="10"/>
    <s v="Afrique Centrale"/>
    <s v="Aminata Keïta"/>
    <x v="53"/>
    <x v="1"/>
    <n v="5"/>
    <n v="12500"/>
    <n v="64257"/>
    <n v="5141"/>
  </r>
  <r>
    <s v="Aïcha Kouyaté"/>
    <x v="8"/>
    <s v="Afrique de l'Est"/>
    <s v="Seydou Bah"/>
    <x v="54"/>
    <x v="4"/>
    <n v="5"/>
    <n v="15000"/>
    <n v="74995"/>
    <n v="7500"/>
  </r>
  <r>
    <s v="Ibrahim Traoré"/>
    <x v="12"/>
    <s v="Afrique de l'Est"/>
    <s v="Awa Ekwueme"/>
    <x v="55"/>
    <x v="2"/>
    <n v="10"/>
    <n v="45000"/>
    <n v="427544"/>
    <n v="76958"/>
  </r>
  <r>
    <s v="Amara Diallo"/>
    <x v="2"/>
    <s v="Afrique de l'Ouest"/>
    <s v="Ngozi Dembélé"/>
    <x v="56"/>
    <x v="4"/>
    <n v="1"/>
    <n v="15000"/>
    <n v="16304"/>
    <n v="1630"/>
  </r>
  <r>
    <s v="Kofi Mensah"/>
    <x v="7"/>
    <s v="Afrique Centrale"/>
    <s v="Kadiatou Ekwueme"/>
    <x v="57"/>
    <x v="0"/>
    <n v="9"/>
    <n v="18500"/>
    <n v="159932"/>
    <n v="19192"/>
  </r>
  <r>
    <s v="Amara Diallo"/>
    <x v="2"/>
    <s v="Afrique de l'Ouest"/>
    <s v="Yaw Ekwueme"/>
    <x v="58"/>
    <x v="3"/>
    <n v="8"/>
    <n v="55000"/>
    <n v="423681"/>
    <n v="93210"/>
  </r>
  <r>
    <s v="Kofi Mensah"/>
    <x v="1"/>
    <s v="Afrique de l'Ouest"/>
    <s v="Mariama Dembélé"/>
    <x v="59"/>
    <x v="0"/>
    <n v="7"/>
    <n v="18500"/>
    <n v="137559"/>
    <n v="16507"/>
  </r>
  <r>
    <s v="Amara Diallo"/>
    <x v="9"/>
    <s v="Afrique de l'Ouest"/>
    <s v="Chioma Asante"/>
    <x v="60"/>
    <x v="1"/>
    <n v="2"/>
    <n v="12500"/>
    <n v="26424"/>
    <n v="2114"/>
  </r>
  <r>
    <s v="Fatima Ndiaye"/>
    <x v="6"/>
    <s v="Afrique de l'Ouest"/>
    <s v="Chioma Abubakar"/>
    <x v="61"/>
    <x v="0"/>
    <n v="3"/>
    <n v="18500"/>
    <n v="59461"/>
    <n v="7135"/>
  </r>
  <r>
    <s v="Aïcha Kouyaté"/>
    <x v="8"/>
    <s v="Afrique de l'Est"/>
    <s v="Chioma Mensah"/>
    <x v="62"/>
    <x v="1"/>
    <n v="6"/>
    <n v="12500"/>
    <n v="76372"/>
    <n v="6110"/>
  </r>
  <r>
    <s v="Ibrahim Traoré"/>
    <x v="14"/>
    <s v="Afrique de l'Ouest"/>
    <s v="Emeka Okonkwo"/>
    <x v="63"/>
    <x v="0"/>
    <n v="4"/>
    <n v="18500"/>
    <n v="66652"/>
    <n v="7998"/>
  </r>
  <r>
    <s v="Ibrahim Traoré"/>
    <x v="5"/>
    <s v="Afrique de l'Est"/>
    <s v="Emeka Keïta"/>
    <x v="64"/>
    <x v="0"/>
    <n v="4"/>
    <n v="18500"/>
    <n v="69420"/>
    <n v="8330"/>
  </r>
  <r>
    <s v="Fatima Ndiaye"/>
    <x v="13"/>
    <s v="Afrique de l'Ouest"/>
    <s v="Adama Ekwueme"/>
    <x v="65"/>
    <x v="3"/>
    <n v="6"/>
    <n v="55000"/>
    <n v="320334"/>
    <n v="70473"/>
  </r>
  <r>
    <s v="Amara Diallo"/>
    <x v="6"/>
    <s v="Afrique de l'Ouest"/>
    <s v="Aminata Bah"/>
    <x v="66"/>
    <x v="0"/>
    <n v="5"/>
    <n v="18500"/>
    <n v="94555"/>
    <n v="11347"/>
  </r>
  <r>
    <s v="Aïcha Kouyaté"/>
    <x v="3"/>
    <s v="Afrique Centrale"/>
    <s v="Zainab Dembélé"/>
    <x v="67"/>
    <x v="2"/>
    <n v="7"/>
    <n v="45000"/>
    <n v="326843"/>
    <n v="58832"/>
  </r>
  <r>
    <s v="Aïcha Kouyaté"/>
    <x v="10"/>
    <s v="Afrique Centrale"/>
    <s v="Yaw Coulibaly"/>
    <x v="68"/>
    <x v="0"/>
    <n v="9"/>
    <n v="18500"/>
    <n v="182531"/>
    <n v="21904"/>
  </r>
  <r>
    <s v="Kofi Mensah"/>
    <x v="4"/>
    <s v="Afrique de l'Est"/>
    <s v="Awa Coulibaly"/>
    <x v="69"/>
    <x v="1"/>
    <n v="7"/>
    <n v="12500"/>
    <n v="92789"/>
    <n v="7423"/>
  </r>
  <r>
    <s v="Ibrahim Traoré"/>
    <x v="6"/>
    <s v="Afrique de l'Ouest"/>
    <s v="Ngozi Bah"/>
    <x v="70"/>
    <x v="0"/>
    <n v="8"/>
    <n v="18500"/>
    <n v="135185"/>
    <n v="16222"/>
  </r>
  <r>
    <s v="Ibrahim Traoré"/>
    <x v="13"/>
    <s v="Afrique de l'Ouest"/>
    <s v="Aminata Bah"/>
    <x v="71"/>
    <x v="1"/>
    <n v="2"/>
    <n v="12500"/>
    <n v="23047"/>
    <n v="1844"/>
  </r>
  <r>
    <s v="Ibrahim Traoré"/>
    <x v="6"/>
    <s v="Afrique de l'Ouest"/>
    <s v="Chidi Bah"/>
    <x v="72"/>
    <x v="0"/>
    <n v="7"/>
    <n v="18500"/>
    <n v="134223"/>
    <n v="16107"/>
  </r>
  <r>
    <s v="Amara Diallo"/>
    <x v="10"/>
    <s v="Afrique Centrale"/>
    <s v="Kadiatou Coulibaly"/>
    <x v="73"/>
    <x v="2"/>
    <n v="4"/>
    <n v="45000"/>
    <n v="167100"/>
    <n v="30078"/>
  </r>
  <r>
    <s v="Aïcha Kouyaté"/>
    <x v="9"/>
    <s v="Afrique de l'Ouest"/>
    <s v="Mariama Touré"/>
    <x v="74"/>
    <x v="1"/>
    <n v="4"/>
    <n v="12500"/>
    <n v="50843"/>
    <n v="4067"/>
  </r>
  <r>
    <s v="Aïcha Kouyaté"/>
    <x v="1"/>
    <s v="Afrique de l'Ouest"/>
    <s v="Mariama Bah"/>
    <x v="75"/>
    <x v="4"/>
    <n v="1"/>
    <n v="15000"/>
    <n v="14355"/>
    <n v="1436"/>
  </r>
  <r>
    <s v="Kofi Mensah"/>
    <x v="12"/>
    <s v="Afrique de l'Est"/>
    <s v="Mariama Asante"/>
    <x v="76"/>
    <x v="3"/>
    <n v="9"/>
    <n v="55000"/>
    <n v="519987"/>
    <n v="114397"/>
  </r>
  <r>
    <s v="Fatima Ndiaye"/>
    <x v="0"/>
    <s v="Afrique de l'Ouest"/>
    <s v="Adama Mensah"/>
    <x v="77"/>
    <x v="1"/>
    <n v="8"/>
    <n v="12500"/>
    <n v="109171"/>
    <n v="8734"/>
  </r>
  <r>
    <s v="Amara Diallo"/>
    <x v="2"/>
    <s v="Afrique de l'Ouest"/>
    <s v="Emeka Okonkwo"/>
    <x v="78"/>
    <x v="1"/>
    <n v="5"/>
    <n v="12500"/>
    <n v="66886"/>
    <n v="5351"/>
  </r>
  <r>
    <s v="Amara Diallo"/>
    <x v="8"/>
    <s v="Afrique de l'Est"/>
    <s v="Oumar Okonkwo"/>
    <x v="6"/>
    <x v="3"/>
    <n v="1"/>
    <n v="55000"/>
    <n v="53470"/>
    <n v="11763"/>
  </r>
  <r>
    <s v="Ibrahim Traoré"/>
    <x v="1"/>
    <s v="Afrique de l'Ouest"/>
    <s v="Oumar Kamara"/>
    <x v="79"/>
    <x v="2"/>
    <n v="3"/>
    <n v="45000"/>
    <n v="141160"/>
    <n v="25409"/>
  </r>
  <r>
    <s v="Kofi Mensah"/>
    <x v="8"/>
    <s v="Afrique de l'Est"/>
    <s v="Moussa Nwosu"/>
    <x v="58"/>
    <x v="1"/>
    <n v="1"/>
    <n v="12500"/>
    <n v="12849"/>
    <n v="1028"/>
  </r>
  <r>
    <s v="Ibrahim Traoré"/>
    <x v="10"/>
    <s v="Afrique Centrale"/>
    <s v="Chioma Bah"/>
    <x v="80"/>
    <x v="4"/>
    <n v="3"/>
    <n v="15000"/>
    <n v="41395"/>
    <n v="4140"/>
  </r>
  <r>
    <s v="Amara Diallo"/>
    <x v="14"/>
    <s v="Afrique de l'Ouest"/>
    <s v="Awa Diop"/>
    <x v="81"/>
    <x v="3"/>
    <n v="7"/>
    <n v="55000"/>
    <n v="386908"/>
    <n v="85120"/>
  </r>
  <r>
    <s v="Amara Diallo"/>
    <x v="10"/>
    <s v="Afrique Centrale"/>
    <s v="Kadiatou Coulibaly"/>
    <x v="82"/>
    <x v="0"/>
    <n v="5"/>
    <n v="18500"/>
    <n v="86520"/>
    <n v="10382"/>
  </r>
  <r>
    <s v="Amara Diallo"/>
    <x v="8"/>
    <s v="Afrique de l'Est"/>
    <s v="Aminata Mensah"/>
    <x v="64"/>
    <x v="2"/>
    <n v="10"/>
    <n v="45000"/>
    <n v="435035"/>
    <n v="78306"/>
  </r>
  <r>
    <s v="Aïcha Kouyaté"/>
    <x v="8"/>
    <s v="Afrique de l'Est"/>
    <s v="Seydou Dembélé"/>
    <x v="80"/>
    <x v="0"/>
    <n v="8"/>
    <n v="18500"/>
    <n v="154309"/>
    <n v="18517"/>
  </r>
  <r>
    <s v="Fatima Ndiaye"/>
    <x v="1"/>
    <s v="Afrique de l'Ouest"/>
    <s v="Awa Cissé"/>
    <x v="83"/>
    <x v="2"/>
    <n v="5"/>
    <n v="45000"/>
    <n v="215625"/>
    <n v="38812"/>
  </r>
  <r>
    <s v="Kofi Mensah"/>
    <x v="6"/>
    <s v="Afrique de l'Ouest"/>
    <s v="Moussa Cissé"/>
    <x v="63"/>
    <x v="1"/>
    <n v="8"/>
    <n v="12500"/>
    <n v="99344"/>
    <n v="7948"/>
  </r>
  <r>
    <s v="Amara Diallo"/>
    <x v="6"/>
    <s v="Afrique de l'Ouest"/>
    <s v="Mariama Abubakar"/>
    <x v="54"/>
    <x v="0"/>
    <n v="3"/>
    <n v="18500"/>
    <n v="55164"/>
    <n v="6620"/>
  </r>
  <r>
    <s v="Amara Diallo"/>
    <x v="4"/>
    <s v="Afrique de l'Est"/>
    <s v="Yaw Okonkwo"/>
    <x v="0"/>
    <x v="0"/>
    <n v="1"/>
    <n v="18500"/>
    <n v="20340"/>
    <n v="2441"/>
  </r>
  <r>
    <s v="Fatima Ndiaye"/>
    <x v="13"/>
    <s v="Afrique de l'Ouest"/>
    <s v="Kadiatou Coulibaly"/>
    <x v="84"/>
    <x v="3"/>
    <n v="10"/>
    <n v="55000"/>
    <n v="529067"/>
    <n v="116395"/>
  </r>
  <r>
    <s v="Amara Diallo"/>
    <x v="6"/>
    <s v="Afrique de l'Ouest"/>
    <s v="Chioma Diop"/>
    <x v="37"/>
    <x v="3"/>
    <n v="7"/>
    <n v="55000"/>
    <n v="356017"/>
    <n v="78324"/>
  </r>
  <r>
    <s v="Ibrahim Traoré"/>
    <x v="5"/>
    <s v="Afrique de l'Est"/>
    <s v="Yaw Touré"/>
    <x v="85"/>
    <x v="0"/>
    <n v="5"/>
    <n v="18500"/>
    <n v="101703"/>
    <n v="12204"/>
  </r>
  <r>
    <s v="Amara Diallo"/>
    <x v="7"/>
    <s v="Afrique Centrale"/>
    <s v="Yaw Keïta"/>
    <x v="86"/>
    <x v="1"/>
    <n v="1"/>
    <n v="12500"/>
    <n v="13165"/>
    <n v="1053"/>
  </r>
  <r>
    <s v="Amara Diallo"/>
    <x v="2"/>
    <s v="Afrique de l'Ouest"/>
    <s v="Adama Abubakar"/>
    <x v="87"/>
    <x v="4"/>
    <n v="8"/>
    <n v="15000"/>
    <n v="109534"/>
    <n v="10953"/>
  </r>
  <r>
    <s v="Ibrahim Traoré"/>
    <x v="7"/>
    <s v="Afrique Centrale"/>
    <s v="Oumar Ekwueme"/>
    <x v="88"/>
    <x v="4"/>
    <n v="1"/>
    <n v="15000"/>
    <n v="16473"/>
    <n v="1647"/>
  </r>
  <r>
    <s v="Fatima Ndiaye"/>
    <x v="0"/>
    <s v="Afrique de l'Ouest"/>
    <s v="Kadiatou Keïta"/>
    <x v="84"/>
    <x v="4"/>
    <n v="6"/>
    <n v="15000"/>
    <n v="84100"/>
    <n v="8410"/>
  </r>
  <r>
    <s v="Kofi Mensah"/>
    <x v="3"/>
    <s v="Afrique Centrale"/>
    <s v="Chioma Coulibaly"/>
    <x v="89"/>
    <x v="0"/>
    <n v="8"/>
    <n v="18500"/>
    <n v="151317"/>
    <n v="18158"/>
  </r>
  <r>
    <s v="Kofi Mensah"/>
    <x v="12"/>
    <s v="Afrique de l'Est"/>
    <s v="Emeka Bah"/>
    <x v="23"/>
    <x v="2"/>
    <n v="7"/>
    <n v="45000"/>
    <n v="307542"/>
    <n v="55358"/>
  </r>
  <r>
    <s v="Kofi Mensah"/>
    <x v="12"/>
    <s v="Afrique de l'Est"/>
    <s v="Zainab Cissé"/>
    <x v="90"/>
    <x v="2"/>
    <n v="9"/>
    <n v="45000"/>
    <n v="400687"/>
    <n v="72124"/>
  </r>
  <r>
    <s v="Kofi Mensah"/>
    <x v="1"/>
    <s v="Afrique de l'Ouest"/>
    <s v="Oumar Okonkwo"/>
    <x v="21"/>
    <x v="2"/>
    <n v="5"/>
    <n v="45000"/>
    <n v="241128"/>
    <n v="43403"/>
  </r>
  <r>
    <s v="Ibrahim Traoré"/>
    <x v="9"/>
    <s v="Afrique de l'Ouest"/>
    <s v="Emeka Touré"/>
    <x v="37"/>
    <x v="3"/>
    <n v="10"/>
    <n v="55000"/>
    <n v="538180"/>
    <n v="118400"/>
  </r>
  <r>
    <s v="Fatima Ndiaye"/>
    <x v="14"/>
    <s v="Afrique de l'Ouest"/>
    <s v="Emeka Coulibaly"/>
    <x v="91"/>
    <x v="2"/>
    <n v="6"/>
    <n v="45000"/>
    <n v="282523"/>
    <n v="50854"/>
  </r>
  <r>
    <s v="Ibrahim Traoré"/>
    <x v="2"/>
    <s v="Afrique de l'Ouest"/>
    <s v="Kwame Dembélé"/>
    <x v="19"/>
    <x v="4"/>
    <n v="8"/>
    <n v="15000"/>
    <n v="122792"/>
    <n v="12279"/>
  </r>
  <r>
    <s v="Amara Diallo"/>
    <x v="3"/>
    <s v="Afrique Centrale"/>
    <s v="Aminata Cissé"/>
    <x v="92"/>
    <x v="3"/>
    <n v="6"/>
    <n v="55000"/>
    <n v="329623"/>
    <n v="72517"/>
  </r>
  <r>
    <s v="Aïcha Kouyaté"/>
    <x v="14"/>
    <s v="Afrique de l'Ouest"/>
    <s v="Kadiatou Kamara"/>
    <x v="52"/>
    <x v="4"/>
    <n v="1"/>
    <n v="15000"/>
    <n v="14498"/>
    <n v="1450"/>
  </r>
  <r>
    <s v="Aïcha Kouyaté"/>
    <x v="14"/>
    <s v="Afrique de l'Ouest"/>
    <s v="Moussa Keïta"/>
    <x v="14"/>
    <x v="2"/>
    <n v="2"/>
    <n v="45000"/>
    <n v="87996"/>
    <n v="15839"/>
  </r>
  <r>
    <s v="Ibrahim Traoré"/>
    <x v="4"/>
    <s v="Afrique de l'Est"/>
    <s v="Moussa Mensah"/>
    <x v="93"/>
    <x v="0"/>
    <n v="3"/>
    <n v="18500"/>
    <n v="52721"/>
    <n v="6327"/>
  </r>
  <r>
    <s v="Amara Diallo"/>
    <x v="9"/>
    <s v="Afrique de l'Ouest"/>
    <s v="Oumar Ekwueme"/>
    <x v="94"/>
    <x v="3"/>
    <n v="4"/>
    <n v="55000"/>
    <n v="212159"/>
    <n v="46675"/>
  </r>
  <r>
    <s v="Kofi Mensah"/>
    <x v="0"/>
    <s v="Afrique de l'Ouest"/>
    <s v="Kadiatou Asante"/>
    <x v="95"/>
    <x v="2"/>
    <n v="4"/>
    <n v="45000"/>
    <n v="166120"/>
    <n v="29902"/>
  </r>
  <r>
    <s v="Amara Diallo"/>
    <x v="5"/>
    <s v="Afrique de l'Est"/>
    <s v="Oumar Bah"/>
    <x v="84"/>
    <x v="3"/>
    <n v="3"/>
    <n v="55000"/>
    <n v="175504"/>
    <n v="38611"/>
  </r>
  <r>
    <s v="Amara Diallo"/>
    <x v="1"/>
    <s v="Afrique de l'Ouest"/>
    <s v="Yaw Keïta"/>
    <x v="96"/>
    <x v="1"/>
    <n v="8"/>
    <n v="12500"/>
    <n v="94280"/>
    <n v="7542"/>
  </r>
  <r>
    <s v="Aïcha Kouyaté"/>
    <x v="0"/>
    <s v="Afrique de l'Ouest"/>
    <s v="Yaw Asante"/>
    <x v="97"/>
    <x v="3"/>
    <n v="1"/>
    <n v="55000"/>
    <n v="49941"/>
    <n v="10987"/>
  </r>
  <r>
    <s v="Aïcha Kouyaté"/>
    <x v="3"/>
    <s v="Afrique Centrale"/>
    <s v="Chidi Okonkwo"/>
    <x v="9"/>
    <x v="2"/>
    <n v="5"/>
    <n v="45000"/>
    <n v="245181"/>
    <n v="44133"/>
  </r>
  <r>
    <s v="Fatima Ndiaye"/>
    <x v="10"/>
    <s v="Afrique Centrale"/>
    <s v="Ngozi Dembélé"/>
    <x v="98"/>
    <x v="4"/>
    <n v="9"/>
    <n v="15000"/>
    <n v="129340"/>
    <n v="12934"/>
  </r>
  <r>
    <s v="Kofi Mensah"/>
    <x v="1"/>
    <s v="Afrique de l'Ouest"/>
    <s v="Kwame Mensah"/>
    <x v="99"/>
    <x v="2"/>
    <n v="4"/>
    <n v="45000"/>
    <n v="182794"/>
    <n v="32903"/>
  </r>
  <r>
    <s v="Fatima Ndiaye"/>
    <x v="5"/>
    <s v="Afrique de l'Est"/>
    <s v="Seydou Diop"/>
    <x v="100"/>
    <x v="3"/>
    <n v="8"/>
    <n v="55000"/>
    <n v="402519"/>
    <n v="88554"/>
  </r>
  <r>
    <s v="Amara Diallo"/>
    <x v="4"/>
    <s v="Afrique de l'Est"/>
    <s v="Chidi Coulibaly"/>
    <x v="101"/>
    <x v="1"/>
    <n v="1"/>
    <n v="12500"/>
    <n v="13136"/>
    <n v="1051"/>
  </r>
  <r>
    <s v="Amara Diallo"/>
    <x v="9"/>
    <s v="Afrique de l'Ouest"/>
    <s v="Oumar Okonkwo"/>
    <x v="102"/>
    <x v="1"/>
    <n v="9"/>
    <n v="12500"/>
    <n v="110326"/>
    <n v="8826"/>
  </r>
  <r>
    <s v="Ibrahim Traoré"/>
    <x v="11"/>
    <s v="Afrique de l'Ouest"/>
    <s v="Ngozi Bah"/>
    <x v="103"/>
    <x v="4"/>
    <n v="6"/>
    <n v="15000"/>
    <n v="98363"/>
    <n v="9836"/>
  </r>
  <r>
    <s v="Kofi Mensah"/>
    <x v="14"/>
    <s v="Afrique de l'Ouest"/>
    <s v="Mariama Sawadogo"/>
    <x v="104"/>
    <x v="0"/>
    <n v="6"/>
    <n v="18500"/>
    <n v="110973"/>
    <n v="13317"/>
  </r>
  <r>
    <s v="Ibrahim Traoré"/>
    <x v="2"/>
    <s v="Afrique de l'Ouest"/>
    <s v="Yaw Abubakar"/>
    <x v="105"/>
    <x v="0"/>
    <n v="10"/>
    <n v="18500"/>
    <n v="200860"/>
    <n v="24103"/>
  </r>
  <r>
    <s v="Amara Diallo"/>
    <x v="9"/>
    <s v="Afrique de l'Ouest"/>
    <s v="Oumar Asante"/>
    <x v="106"/>
    <x v="3"/>
    <n v="2"/>
    <n v="55000"/>
    <n v="104415"/>
    <n v="22971"/>
  </r>
  <r>
    <s v="Ibrahim Traoré"/>
    <x v="13"/>
    <s v="Afrique de l'Ouest"/>
    <s v="Adama Keïta"/>
    <x v="107"/>
    <x v="0"/>
    <n v="5"/>
    <n v="18500"/>
    <n v="98369"/>
    <n v="11804"/>
  </r>
  <r>
    <s v="Amara Diallo"/>
    <x v="2"/>
    <s v="Afrique de l'Ouest"/>
    <s v="Mariama Abubakar"/>
    <x v="108"/>
    <x v="4"/>
    <n v="5"/>
    <n v="15000"/>
    <n v="72318"/>
    <n v="7232"/>
  </r>
  <r>
    <s v="Ibrahim Traoré"/>
    <x v="9"/>
    <s v="Afrique de l'Ouest"/>
    <s v="Ngozi Asante"/>
    <x v="109"/>
    <x v="3"/>
    <n v="3"/>
    <n v="55000"/>
    <n v="177973"/>
    <n v="39154"/>
  </r>
  <r>
    <s v="Aïcha Kouyaté"/>
    <x v="4"/>
    <s v="Afrique de l'Est"/>
    <s v="Awa Asante"/>
    <x v="79"/>
    <x v="3"/>
    <n v="9"/>
    <n v="55000"/>
    <n v="487488"/>
    <n v="107247"/>
  </r>
  <r>
    <s v="Kofi Mensah"/>
    <x v="1"/>
    <s v="Afrique de l'Ouest"/>
    <s v="Oumar Bah"/>
    <x v="66"/>
    <x v="1"/>
    <n v="9"/>
    <n v="12500"/>
    <n v="113663"/>
    <n v="9093"/>
  </r>
  <r>
    <s v="Amara Diallo"/>
    <x v="10"/>
    <s v="Afrique Centrale"/>
    <s v="Aminata Diop"/>
    <x v="110"/>
    <x v="2"/>
    <n v="3"/>
    <n v="45000"/>
    <n v="137034"/>
    <n v="24666"/>
  </r>
  <r>
    <s v="Amara Diallo"/>
    <x v="14"/>
    <s v="Afrique de l'Ouest"/>
    <s v="Chioma Bah"/>
    <x v="73"/>
    <x v="2"/>
    <n v="4"/>
    <n v="45000"/>
    <n v="165104"/>
    <n v="29719"/>
  </r>
  <r>
    <s v="Fatima Ndiaye"/>
    <x v="10"/>
    <s v="Afrique Centrale"/>
    <s v="Aminata Okonkwo"/>
    <x v="111"/>
    <x v="0"/>
    <n v="9"/>
    <n v="18500"/>
    <n v="152350"/>
    <n v="18282"/>
  </r>
  <r>
    <s v="Fatima Ndiaye"/>
    <x v="5"/>
    <s v="Afrique de l'Est"/>
    <s v="Yaw Dembélé"/>
    <x v="112"/>
    <x v="0"/>
    <n v="6"/>
    <n v="18500"/>
    <n v="115028"/>
    <n v="13803"/>
  </r>
  <r>
    <s v="Kofi Mensah"/>
    <x v="2"/>
    <s v="Afrique de l'Ouest"/>
    <s v="Chidi Bah"/>
    <x v="113"/>
    <x v="3"/>
    <n v="2"/>
    <n v="55000"/>
    <n v="106945"/>
    <n v="23528"/>
  </r>
  <r>
    <s v="Kofi Mensah"/>
    <x v="8"/>
    <s v="Afrique de l'Est"/>
    <s v="Chidi Sawadogo"/>
    <x v="42"/>
    <x v="2"/>
    <n v="10"/>
    <n v="45000"/>
    <n v="440982"/>
    <n v="79377"/>
  </r>
  <r>
    <s v="Ibrahim Traoré"/>
    <x v="0"/>
    <s v="Afrique de l'Ouest"/>
    <s v="Emeka Cissé"/>
    <x v="114"/>
    <x v="3"/>
    <n v="6"/>
    <n v="55000"/>
    <n v="358315"/>
    <n v="78829"/>
  </r>
  <r>
    <s v="Kofi Mensah"/>
    <x v="10"/>
    <s v="Afrique Centrale"/>
    <s v="Yaw Touré"/>
    <x v="100"/>
    <x v="4"/>
    <n v="5"/>
    <n v="15000"/>
    <n v="81278"/>
    <n v="8128"/>
  </r>
  <r>
    <s v="Kofi Mensah"/>
    <x v="7"/>
    <s v="Afrique Centrale"/>
    <s v="Adama Dembélé"/>
    <x v="115"/>
    <x v="3"/>
    <n v="7"/>
    <n v="55000"/>
    <n v="402137"/>
    <n v="88470"/>
  </r>
  <r>
    <s v="Aïcha Kouyaté"/>
    <x v="11"/>
    <s v="Afrique de l'Ouest"/>
    <s v="Chioma Asante"/>
    <x v="53"/>
    <x v="3"/>
    <n v="1"/>
    <n v="55000"/>
    <n v="53552"/>
    <n v="11781"/>
  </r>
  <r>
    <s v="Ibrahim Traoré"/>
    <x v="5"/>
    <s v="Afrique de l'Est"/>
    <s v="Aminata Sawadogo"/>
    <x v="99"/>
    <x v="4"/>
    <n v="9"/>
    <n v="15000"/>
    <n v="125626"/>
    <n v="12563"/>
  </r>
  <r>
    <s v="Ibrahim Traoré"/>
    <x v="3"/>
    <s v="Afrique Centrale"/>
    <s v="Moussa Abubakar"/>
    <x v="116"/>
    <x v="2"/>
    <n v="8"/>
    <n v="45000"/>
    <n v="333830"/>
    <n v="60089"/>
  </r>
  <r>
    <s v="Kofi Mensah"/>
    <x v="1"/>
    <s v="Afrique de l'Ouest"/>
    <s v="Yaw Keïta"/>
    <x v="117"/>
    <x v="0"/>
    <n v="3"/>
    <n v="18500"/>
    <n v="60474"/>
    <n v="7257"/>
  </r>
  <r>
    <s v="Amara Diallo"/>
    <x v="1"/>
    <s v="Afrique de l'Ouest"/>
    <s v="Moussa Diop"/>
    <x v="118"/>
    <x v="2"/>
    <n v="9"/>
    <n v="45000"/>
    <n v="373830"/>
    <n v="67289"/>
  </r>
  <r>
    <s v="Kofi Mensah"/>
    <x v="9"/>
    <s v="Afrique de l'Ouest"/>
    <s v="Moussa Coulibaly"/>
    <x v="119"/>
    <x v="1"/>
    <n v="6"/>
    <n v="12500"/>
    <n v="77654"/>
    <n v="6212"/>
  </r>
  <r>
    <s v="Ibrahim Traoré"/>
    <x v="13"/>
    <s v="Afrique de l'Ouest"/>
    <s v="Mariama Nwosu"/>
    <x v="120"/>
    <x v="1"/>
    <n v="5"/>
    <n v="12500"/>
    <n v="61258"/>
    <n v="4901"/>
  </r>
  <r>
    <s v="Ibrahim Traoré"/>
    <x v="6"/>
    <s v="Afrique de l'Ouest"/>
    <s v="Seydou Coulibaly"/>
    <x v="121"/>
    <x v="3"/>
    <n v="9"/>
    <n v="55000"/>
    <n v="467066"/>
    <n v="102755"/>
  </r>
  <r>
    <s v="Amara Diallo"/>
    <x v="6"/>
    <s v="Afrique de l'Ouest"/>
    <s v="Chioma Nwosu"/>
    <x v="47"/>
    <x v="2"/>
    <n v="5"/>
    <n v="45000"/>
    <n v="241456"/>
    <n v="43462"/>
  </r>
  <r>
    <s v="Fatima Ndiaye"/>
    <x v="0"/>
    <s v="Afrique de l'Ouest"/>
    <s v="Zainab Touré"/>
    <x v="122"/>
    <x v="3"/>
    <n v="8"/>
    <n v="55000"/>
    <n v="443125"/>
    <n v="97488"/>
  </r>
  <r>
    <s v="Amara Diallo"/>
    <x v="6"/>
    <s v="Afrique de l'Ouest"/>
    <s v="Awa Keïta"/>
    <x v="123"/>
    <x v="0"/>
    <n v="7"/>
    <n v="18500"/>
    <n v="129321"/>
    <n v="15519"/>
  </r>
  <r>
    <s v="Amara Diallo"/>
    <x v="14"/>
    <s v="Afrique de l'Ouest"/>
    <s v="Awa Dembélé"/>
    <x v="66"/>
    <x v="4"/>
    <n v="7"/>
    <n v="15000"/>
    <n v="110652"/>
    <n v="11065"/>
  </r>
  <r>
    <s v="Amara Diallo"/>
    <x v="11"/>
    <s v="Afrique de l'Ouest"/>
    <s v="Emeka Keïta"/>
    <x v="107"/>
    <x v="0"/>
    <n v="10"/>
    <n v="18500"/>
    <n v="172466"/>
    <n v="20696"/>
  </r>
  <r>
    <s v="Ibrahim Traoré"/>
    <x v="5"/>
    <s v="Afrique de l'Est"/>
    <s v="Chioma Cissé"/>
    <x v="124"/>
    <x v="3"/>
    <n v="5"/>
    <n v="55000"/>
    <n v="280181"/>
    <n v="61640"/>
  </r>
  <r>
    <s v="Amara Diallo"/>
    <x v="10"/>
    <s v="Afrique Centrale"/>
    <s v="Chidi Cissé"/>
    <x v="87"/>
    <x v="3"/>
    <n v="1"/>
    <n v="55000"/>
    <n v="60453"/>
    <n v="13300"/>
  </r>
  <r>
    <s v="Ibrahim Traoré"/>
    <x v="1"/>
    <s v="Afrique de l'Ouest"/>
    <s v="Kwame Ekwueme"/>
    <x v="125"/>
    <x v="2"/>
    <n v="8"/>
    <n v="45000"/>
    <n v="337069"/>
    <n v="60672"/>
  </r>
  <r>
    <s v="Kofi Mensah"/>
    <x v="8"/>
    <s v="Afrique de l'Est"/>
    <s v="Ngozi Bah"/>
    <x v="126"/>
    <x v="2"/>
    <n v="9"/>
    <n v="45000"/>
    <n v="399093"/>
    <n v="71837"/>
  </r>
  <r>
    <s v="Fatima Ndiaye"/>
    <x v="2"/>
    <s v="Afrique de l'Ouest"/>
    <s v="Kwame Sawadogo"/>
    <x v="13"/>
    <x v="3"/>
    <n v="4"/>
    <n v="55000"/>
    <n v="235371"/>
    <n v="51782"/>
  </r>
  <r>
    <s v="Fatima Ndiaye"/>
    <x v="9"/>
    <s v="Afrique de l'Ouest"/>
    <s v="Adama Abubakar"/>
    <x v="127"/>
    <x v="2"/>
    <n v="1"/>
    <n v="45000"/>
    <n v="44520"/>
    <n v="8014"/>
  </r>
  <r>
    <s v="Ibrahim Traoré"/>
    <x v="8"/>
    <s v="Afrique de l'Est"/>
    <s v="Awa Ekwueme"/>
    <x v="3"/>
    <x v="0"/>
    <n v="7"/>
    <n v="18500"/>
    <n v="132274"/>
    <n v="15873"/>
  </r>
  <r>
    <s v="Ibrahim Traoré"/>
    <x v="6"/>
    <s v="Afrique de l'Ouest"/>
    <s v="Adama Ekwueme"/>
    <x v="11"/>
    <x v="0"/>
    <n v="6"/>
    <n v="18500"/>
    <n v="109475"/>
    <n v="13137"/>
  </r>
  <r>
    <s v="Amara Diallo"/>
    <x v="12"/>
    <s v="Afrique de l'Est"/>
    <s v="Adama Mensah"/>
    <x v="128"/>
    <x v="4"/>
    <n v="5"/>
    <n v="15000"/>
    <n v="77913"/>
    <n v="7791"/>
  </r>
  <r>
    <s v="Amara Diallo"/>
    <x v="7"/>
    <s v="Afrique Centrale"/>
    <s v="Yaw Abubakar"/>
    <x v="129"/>
    <x v="0"/>
    <n v="7"/>
    <n v="18500"/>
    <n v="137603"/>
    <n v="16512"/>
  </r>
  <r>
    <s v="Fatima Ndiaye"/>
    <x v="9"/>
    <s v="Afrique de l'Ouest"/>
    <s v="Aminata Asante"/>
    <x v="130"/>
    <x v="1"/>
    <n v="7"/>
    <n v="12500"/>
    <n v="78966"/>
    <n v="6317"/>
  </r>
  <r>
    <s v="Aïcha Kouyaté"/>
    <x v="3"/>
    <s v="Afrique Centrale"/>
    <s v="Adama Diop"/>
    <x v="131"/>
    <x v="4"/>
    <n v="7"/>
    <n v="15000"/>
    <n v="114355"/>
    <n v="11436"/>
  </r>
  <r>
    <s v="Amara Diallo"/>
    <x v="1"/>
    <s v="Afrique de l'Ouest"/>
    <s v="Chioma Asante"/>
    <x v="132"/>
    <x v="3"/>
    <n v="1"/>
    <n v="55000"/>
    <n v="52450"/>
    <n v="11539"/>
  </r>
  <r>
    <s v="Aïcha Kouyaté"/>
    <x v="12"/>
    <s v="Afrique de l'Est"/>
    <s v="Moussa Okonkwo"/>
    <x v="133"/>
    <x v="1"/>
    <n v="3"/>
    <n v="12500"/>
    <n v="35922"/>
    <n v="2874"/>
  </r>
  <r>
    <s v="Amara Diallo"/>
    <x v="8"/>
    <s v="Afrique de l'Est"/>
    <s v="Yaw Dembélé"/>
    <x v="134"/>
    <x v="3"/>
    <n v="6"/>
    <n v="55000"/>
    <n v="305862"/>
    <n v="67290"/>
  </r>
  <r>
    <s v="Kofi Mensah"/>
    <x v="2"/>
    <s v="Afrique de l'Ouest"/>
    <s v="Chidi Sawadogo"/>
    <x v="135"/>
    <x v="3"/>
    <n v="2"/>
    <n v="55000"/>
    <n v="114676"/>
    <n v="25229"/>
  </r>
  <r>
    <s v="Fatima Ndiaye"/>
    <x v="1"/>
    <s v="Afrique de l'Ouest"/>
    <s v="Zainab Keïta"/>
    <x v="136"/>
    <x v="1"/>
    <n v="1"/>
    <n v="12500"/>
    <n v="13535"/>
    <n v="1083"/>
  </r>
  <r>
    <s v="Ibrahim Traoré"/>
    <x v="6"/>
    <s v="Afrique de l'Ouest"/>
    <s v="Kwame Sawadogo"/>
    <x v="33"/>
    <x v="1"/>
    <n v="4"/>
    <n v="12500"/>
    <n v="49707"/>
    <n v="3977"/>
  </r>
  <r>
    <s v="Kofi Mensah"/>
    <x v="3"/>
    <s v="Afrique Centrale"/>
    <s v="Awa Keïta"/>
    <x v="137"/>
    <x v="2"/>
    <n v="2"/>
    <n v="45000"/>
    <n v="82375"/>
    <n v="14828"/>
  </r>
  <r>
    <s v="Aïcha Kouyaté"/>
    <x v="0"/>
    <s v="Afrique de l'Ouest"/>
    <s v="Mariama Coulibaly"/>
    <x v="18"/>
    <x v="1"/>
    <n v="10"/>
    <n v="12500"/>
    <n v="113182"/>
    <n v="9055"/>
  </r>
  <r>
    <s v="Aïcha Kouyaté"/>
    <x v="13"/>
    <s v="Afrique de l'Ouest"/>
    <s v="Moussa Asante"/>
    <x v="138"/>
    <x v="0"/>
    <n v="10"/>
    <n v="18500"/>
    <n v="190109"/>
    <n v="22813"/>
  </r>
  <r>
    <s v="Aïcha Kouyaté"/>
    <x v="6"/>
    <s v="Afrique de l'Ouest"/>
    <s v="Mariama Ekwueme"/>
    <x v="73"/>
    <x v="1"/>
    <n v="1"/>
    <n v="12500"/>
    <n v="11701"/>
    <n v="936"/>
  </r>
  <r>
    <s v="Amara Diallo"/>
    <x v="1"/>
    <s v="Afrique de l'Ouest"/>
    <s v="Moussa Sawadogo"/>
    <x v="139"/>
    <x v="3"/>
    <n v="5"/>
    <n v="55000"/>
    <n v="253217"/>
    <n v="55708"/>
  </r>
  <r>
    <s v="Amara Diallo"/>
    <x v="1"/>
    <s v="Afrique de l'Ouest"/>
    <s v="Zainab Dembélé"/>
    <x v="73"/>
    <x v="2"/>
    <n v="10"/>
    <n v="45000"/>
    <n v="471167"/>
    <n v="84810"/>
  </r>
  <r>
    <s v="Kofi Mensah"/>
    <x v="0"/>
    <s v="Afrique de l'Ouest"/>
    <s v="Kadiatou Dembélé"/>
    <x v="64"/>
    <x v="0"/>
    <n v="3"/>
    <n v="18500"/>
    <n v="55628"/>
    <n v="6675"/>
  </r>
  <r>
    <s v="Fatima Ndiaye"/>
    <x v="4"/>
    <s v="Afrique de l'Est"/>
    <s v="Mariama Abubakar"/>
    <x v="45"/>
    <x v="3"/>
    <n v="3"/>
    <n v="55000"/>
    <n v="177645"/>
    <n v="39082"/>
  </r>
  <r>
    <s v="Amara Diallo"/>
    <x v="13"/>
    <s v="Afrique de l'Ouest"/>
    <s v="Oumar Kamara"/>
    <x v="140"/>
    <x v="1"/>
    <n v="3"/>
    <n v="12500"/>
    <n v="38602"/>
    <n v="3088"/>
  </r>
  <r>
    <s v="Aïcha Kouyaté"/>
    <x v="14"/>
    <s v="Afrique de l'Ouest"/>
    <s v="Oumar Abubakar"/>
    <x v="141"/>
    <x v="0"/>
    <n v="7"/>
    <n v="18500"/>
    <n v="125362"/>
    <n v="15043"/>
  </r>
  <r>
    <s v="Ibrahim Traoré"/>
    <x v="0"/>
    <s v="Afrique de l'Ouest"/>
    <s v="Awa Cissé"/>
    <x v="107"/>
    <x v="3"/>
    <n v="9"/>
    <n v="55000"/>
    <n v="491062"/>
    <n v="108034"/>
  </r>
  <r>
    <s v="Fatima Ndiaye"/>
    <x v="14"/>
    <s v="Afrique de l'Ouest"/>
    <s v="Ngozi Diop"/>
    <x v="142"/>
    <x v="3"/>
    <n v="7"/>
    <n v="55000"/>
    <n v="360028"/>
    <n v="79206"/>
  </r>
  <r>
    <s v="Fatima Ndiaye"/>
    <x v="3"/>
    <s v="Afrique Centrale"/>
    <s v="Zainab Sawadogo"/>
    <x v="143"/>
    <x v="4"/>
    <n v="6"/>
    <n v="15000"/>
    <n v="84394"/>
    <n v="8439"/>
  </r>
  <r>
    <s v="Fatima Ndiaye"/>
    <x v="4"/>
    <s v="Afrique de l'Est"/>
    <s v="Ngozi Touré"/>
    <x v="144"/>
    <x v="0"/>
    <n v="3"/>
    <n v="18500"/>
    <n v="56236"/>
    <n v="6748"/>
  </r>
  <r>
    <s v="Ibrahim Traoré"/>
    <x v="1"/>
    <s v="Afrique de l'Ouest"/>
    <s v="Yaw Kamara"/>
    <x v="145"/>
    <x v="1"/>
    <n v="7"/>
    <n v="12500"/>
    <n v="82872"/>
    <n v="6630"/>
  </r>
  <r>
    <s v="Aïcha Kouyaté"/>
    <x v="8"/>
    <s v="Afrique de l'Est"/>
    <s v="Yaw Abubakar"/>
    <x v="146"/>
    <x v="3"/>
    <n v="9"/>
    <n v="55000"/>
    <n v="519717"/>
    <n v="114338"/>
  </r>
  <r>
    <s v="Fatima Ndiaye"/>
    <x v="8"/>
    <s v="Afrique de l'Est"/>
    <s v="Zainab Dembélé"/>
    <x v="147"/>
    <x v="1"/>
    <n v="5"/>
    <n v="12500"/>
    <n v="66088"/>
    <n v="5287"/>
  </r>
  <r>
    <s v="Amara Diallo"/>
    <x v="0"/>
    <s v="Afrique de l'Ouest"/>
    <s v="Adama Dembélé"/>
    <x v="16"/>
    <x v="0"/>
    <n v="4"/>
    <n v="18500"/>
    <n v="73076"/>
    <n v="8769"/>
  </r>
  <r>
    <s v="Amara Diallo"/>
    <x v="11"/>
    <s v="Afrique de l'Ouest"/>
    <s v="Yaw Asante"/>
    <x v="116"/>
    <x v="2"/>
    <n v="3"/>
    <n v="45000"/>
    <n v="129127"/>
    <n v="23243"/>
  </r>
  <r>
    <s v="Kofi Mensah"/>
    <x v="12"/>
    <s v="Afrique de l'Est"/>
    <s v="Seydou Diop"/>
    <x v="58"/>
    <x v="1"/>
    <n v="8"/>
    <n v="12500"/>
    <n v="99945"/>
    <n v="7996"/>
  </r>
  <r>
    <s v="Ibrahim Traoré"/>
    <x v="9"/>
    <s v="Afrique de l'Ouest"/>
    <s v="Adama Abubakar"/>
    <x v="148"/>
    <x v="3"/>
    <n v="9"/>
    <n v="55000"/>
    <n v="512653"/>
    <n v="112784"/>
  </r>
  <r>
    <s v="Amara Diallo"/>
    <x v="1"/>
    <s v="Afrique de l'Ouest"/>
    <s v="Zainab Keïta"/>
    <x v="149"/>
    <x v="1"/>
    <n v="8"/>
    <n v="12500"/>
    <n v="94958"/>
    <n v="7597"/>
  </r>
  <r>
    <s v="Aïcha Kouyaté"/>
    <x v="0"/>
    <s v="Afrique de l'Ouest"/>
    <s v="Adama Mensah"/>
    <x v="102"/>
    <x v="2"/>
    <n v="7"/>
    <n v="45000"/>
    <n v="342157"/>
    <n v="61588"/>
  </r>
  <r>
    <s v="Ibrahim Traoré"/>
    <x v="10"/>
    <s v="Afrique Centrale"/>
    <s v="Seydou Cissé"/>
    <x v="7"/>
    <x v="4"/>
    <n v="9"/>
    <n v="15000"/>
    <n v="127994"/>
    <n v="12799"/>
  </r>
  <r>
    <s v="Fatima Ndiaye"/>
    <x v="4"/>
    <s v="Afrique de l'Est"/>
    <s v="Chidi Kamara"/>
    <x v="45"/>
    <x v="3"/>
    <n v="1"/>
    <n v="55000"/>
    <n v="50846"/>
    <n v="11186"/>
  </r>
  <r>
    <s v="Amara Diallo"/>
    <x v="1"/>
    <s v="Afrique de l'Ouest"/>
    <s v="Kadiatou Touré"/>
    <x v="150"/>
    <x v="2"/>
    <n v="7"/>
    <n v="45000"/>
    <n v="308716"/>
    <n v="55569"/>
  </r>
  <r>
    <s v="Ibrahim Traoré"/>
    <x v="7"/>
    <s v="Afrique Centrale"/>
    <s v="Seydou Cissé"/>
    <x v="106"/>
    <x v="0"/>
    <n v="2"/>
    <n v="18500"/>
    <n v="38599"/>
    <n v="4632"/>
  </r>
  <r>
    <s v="Kofi Mensah"/>
    <x v="1"/>
    <s v="Afrique de l'Ouest"/>
    <s v="Yaw Coulibaly"/>
    <x v="151"/>
    <x v="2"/>
    <n v="1"/>
    <n v="45000"/>
    <n v="40969"/>
    <n v="7374"/>
  </r>
  <r>
    <s v="Aïcha Kouyaté"/>
    <x v="8"/>
    <s v="Afrique de l'Est"/>
    <s v="Zainab Mensah"/>
    <x v="146"/>
    <x v="0"/>
    <n v="4"/>
    <n v="18500"/>
    <n v="76807"/>
    <n v="9217"/>
  </r>
  <r>
    <s v="Aïcha Kouyaté"/>
    <x v="0"/>
    <s v="Afrique de l'Ouest"/>
    <s v="Oumar Asante"/>
    <x v="152"/>
    <x v="4"/>
    <n v="9"/>
    <n v="15000"/>
    <n v="128642"/>
    <n v="12864"/>
  </r>
  <r>
    <s v="Fatima Ndiaye"/>
    <x v="14"/>
    <s v="Afrique de l'Ouest"/>
    <s v="Ngozi Bah"/>
    <x v="71"/>
    <x v="4"/>
    <n v="5"/>
    <n v="15000"/>
    <n v="69130"/>
    <n v="6913"/>
  </r>
  <r>
    <s v="Kofi Mensah"/>
    <x v="13"/>
    <s v="Afrique de l'Ouest"/>
    <s v="Zainab Cissé"/>
    <x v="153"/>
    <x v="1"/>
    <n v="9"/>
    <n v="12500"/>
    <n v="119616"/>
    <n v="9569"/>
  </r>
  <r>
    <s v="Amara Diallo"/>
    <x v="11"/>
    <s v="Afrique de l'Ouest"/>
    <s v="Emeka Nwosu"/>
    <x v="42"/>
    <x v="0"/>
    <n v="4"/>
    <n v="18500"/>
    <n v="69122"/>
    <n v="8295"/>
  </r>
  <r>
    <s v="Aïcha Kouyaté"/>
    <x v="12"/>
    <s v="Afrique de l'Est"/>
    <s v="Chioma Asante"/>
    <x v="154"/>
    <x v="4"/>
    <n v="10"/>
    <n v="15000"/>
    <n v="137050"/>
    <n v="13705"/>
  </r>
  <r>
    <s v="Kofi Mensah"/>
    <x v="11"/>
    <s v="Afrique de l'Ouest"/>
    <s v="Awa Diop"/>
    <x v="155"/>
    <x v="3"/>
    <n v="10"/>
    <n v="55000"/>
    <n v="502811"/>
    <n v="110618"/>
  </r>
  <r>
    <s v="Kofi Mensah"/>
    <x v="13"/>
    <s v="Afrique de l'Ouest"/>
    <s v="Chioma Sawadogo"/>
    <x v="156"/>
    <x v="4"/>
    <n v="2"/>
    <n v="15000"/>
    <n v="31777"/>
    <n v="3178"/>
  </r>
  <r>
    <s v="Ibrahim Traoré"/>
    <x v="14"/>
    <s v="Afrique de l'Ouest"/>
    <s v="Zainab Keïta"/>
    <x v="157"/>
    <x v="4"/>
    <n v="10"/>
    <n v="15000"/>
    <n v="146915"/>
    <n v="14692"/>
  </r>
  <r>
    <s v="Amara Diallo"/>
    <x v="4"/>
    <s v="Afrique de l'Est"/>
    <s v="Chidi Ekwueme"/>
    <x v="158"/>
    <x v="4"/>
    <n v="5"/>
    <n v="15000"/>
    <n v="70100"/>
    <n v="7010"/>
  </r>
  <r>
    <s v="Amara Diallo"/>
    <x v="12"/>
    <s v="Afrique de l'Est"/>
    <s v="Chidi Kamara"/>
    <x v="159"/>
    <x v="2"/>
    <n v="1"/>
    <n v="45000"/>
    <n v="42646"/>
    <n v="7676"/>
  </r>
  <r>
    <s v="Ibrahim Traoré"/>
    <x v="3"/>
    <s v="Afrique Centrale"/>
    <s v="Aminata Touré"/>
    <x v="160"/>
    <x v="1"/>
    <n v="3"/>
    <n v="12500"/>
    <n v="41069"/>
    <n v="3286"/>
  </r>
  <r>
    <s v="Amara Diallo"/>
    <x v="10"/>
    <s v="Afrique Centrale"/>
    <s v="Kadiatou Sawadogo"/>
    <x v="161"/>
    <x v="1"/>
    <n v="7"/>
    <n v="12500"/>
    <n v="78830"/>
    <n v="6306"/>
  </r>
  <r>
    <s v="Amara Diallo"/>
    <x v="1"/>
    <s v="Afrique de l'Ouest"/>
    <s v="Yaw Cissé"/>
    <x v="16"/>
    <x v="3"/>
    <n v="7"/>
    <n v="55000"/>
    <n v="348224"/>
    <n v="76609"/>
  </r>
  <r>
    <s v="Ibrahim Traoré"/>
    <x v="0"/>
    <s v="Afrique de l'Ouest"/>
    <s v="Kwame Mensah"/>
    <x v="75"/>
    <x v="1"/>
    <n v="8"/>
    <n v="12500"/>
    <n v="92919"/>
    <n v="7434"/>
  </r>
  <r>
    <s v="Ibrahim Traoré"/>
    <x v="10"/>
    <s v="Afrique Centrale"/>
    <s v="Seydou Touré"/>
    <x v="162"/>
    <x v="4"/>
    <n v="2"/>
    <n v="15000"/>
    <n v="28445"/>
    <n v="2844"/>
  </r>
  <r>
    <s v="Kofi Mensah"/>
    <x v="8"/>
    <s v="Afrique de l'Est"/>
    <s v="Yaw Okonkwo"/>
    <x v="35"/>
    <x v="1"/>
    <n v="2"/>
    <n v="12500"/>
    <n v="23423"/>
    <n v="1874"/>
  </r>
  <r>
    <s v="Aïcha Kouyaté"/>
    <x v="7"/>
    <s v="Afrique Centrale"/>
    <s v="Chioma Bah"/>
    <x v="20"/>
    <x v="0"/>
    <n v="2"/>
    <n v="18500"/>
    <n v="34734"/>
    <n v="4168"/>
  </r>
  <r>
    <s v="Kofi Mensah"/>
    <x v="7"/>
    <s v="Afrique Centrale"/>
    <s v="Awa Touré"/>
    <x v="134"/>
    <x v="2"/>
    <n v="2"/>
    <n v="45000"/>
    <n v="81094"/>
    <n v="14597"/>
  </r>
  <r>
    <s v="Kofi Mensah"/>
    <x v="6"/>
    <s v="Afrique de l'Ouest"/>
    <s v="Seydou Coulibaly"/>
    <x v="27"/>
    <x v="0"/>
    <n v="5"/>
    <n v="18500"/>
    <n v="90065"/>
    <n v="10808"/>
  </r>
  <r>
    <s v="Ibrahim Traoré"/>
    <x v="9"/>
    <s v="Afrique de l'Ouest"/>
    <s v="Moussa Sawadogo"/>
    <x v="163"/>
    <x v="4"/>
    <n v="10"/>
    <n v="15000"/>
    <n v="154145"/>
    <n v="15414"/>
  </r>
  <r>
    <s v="Amara Diallo"/>
    <x v="9"/>
    <s v="Afrique de l'Ouest"/>
    <s v="Kwame Keïta"/>
    <x v="164"/>
    <x v="1"/>
    <n v="9"/>
    <n v="12500"/>
    <n v="117498"/>
    <n v="9400"/>
  </r>
  <r>
    <s v="Ibrahim Traoré"/>
    <x v="11"/>
    <s v="Afrique de l'Ouest"/>
    <s v="Moussa Mensah"/>
    <x v="86"/>
    <x v="2"/>
    <n v="2"/>
    <n v="45000"/>
    <n v="89150"/>
    <n v="16047"/>
  </r>
  <r>
    <s v="Aïcha Kouyaté"/>
    <x v="5"/>
    <s v="Afrique de l'Est"/>
    <s v="Seydou Asante"/>
    <x v="152"/>
    <x v="4"/>
    <n v="6"/>
    <n v="15000"/>
    <n v="90746"/>
    <n v="9075"/>
  </r>
  <r>
    <s v="Kofi Mensah"/>
    <x v="7"/>
    <s v="Afrique Centrale"/>
    <s v="Kadiatou Mensah"/>
    <x v="165"/>
    <x v="1"/>
    <n v="6"/>
    <n v="12500"/>
    <n v="71408"/>
    <n v="5713"/>
  </r>
  <r>
    <s v="Amara Diallo"/>
    <x v="11"/>
    <s v="Afrique de l'Ouest"/>
    <s v="Zainab Touré"/>
    <x v="166"/>
    <x v="1"/>
    <n v="8"/>
    <n v="12500"/>
    <n v="109959"/>
    <n v="8797"/>
  </r>
  <r>
    <s v="Ibrahim Traoré"/>
    <x v="10"/>
    <s v="Afrique Centrale"/>
    <s v="Chidi Diop"/>
    <x v="167"/>
    <x v="3"/>
    <n v="9"/>
    <n v="55000"/>
    <n v="494561"/>
    <n v="108803"/>
  </r>
  <r>
    <s v="Aïcha Kouyaté"/>
    <x v="14"/>
    <s v="Afrique de l'Ouest"/>
    <s v="Yaw Touré"/>
    <x v="168"/>
    <x v="4"/>
    <n v="4"/>
    <n v="15000"/>
    <n v="63656"/>
    <n v="6366"/>
  </r>
  <r>
    <s v="Ibrahim Traoré"/>
    <x v="3"/>
    <s v="Afrique Centrale"/>
    <s v="Ngozi Nwosu"/>
    <x v="137"/>
    <x v="1"/>
    <n v="2"/>
    <n v="12500"/>
    <n v="23595"/>
    <n v="1888"/>
  </r>
  <r>
    <s v="Kofi Mensah"/>
    <x v="0"/>
    <s v="Afrique de l'Ouest"/>
    <s v="Awa Keïta"/>
    <x v="98"/>
    <x v="0"/>
    <n v="7"/>
    <n v="18500"/>
    <n v="139923"/>
    <n v="16791"/>
  </r>
  <r>
    <s v="Kofi Mensah"/>
    <x v="11"/>
    <s v="Afrique de l'Ouest"/>
    <s v="Mariama Keïta"/>
    <x v="165"/>
    <x v="0"/>
    <n v="4"/>
    <n v="18500"/>
    <n v="78889"/>
    <n v="9467"/>
  </r>
  <r>
    <s v="Kofi Mensah"/>
    <x v="6"/>
    <s v="Afrique de l'Ouest"/>
    <s v="Moussa Ekwueme"/>
    <x v="125"/>
    <x v="4"/>
    <n v="5"/>
    <n v="15000"/>
    <n v="71120"/>
    <n v="7112"/>
  </r>
  <r>
    <s v="Aïcha Kouyaté"/>
    <x v="13"/>
    <s v="Afrique de l'Ouest"/>
    <s v="Moussa Cissé"/>
    <x v="169"/>
    <x v="2"/>
    <n v="2"/>
    <n v="45000"/>
    <n v="97675"/>
    <n v="17582"/>
  </r>
  <r>
    <s v="Kofi Mensah"/>
    <x v="2"/>
    <s v="Afrique de l'Ouest"/>
    <s v="Chioma Nwosu"/>
    <x v="170"/>
    <x v="1"/>
    <n v="5"/>
    <n v="12500"/>
    <n v="59968"/>
    <n v="4797"/>
  </r>
  <r>
    <s v="Kofi Mensah"/>
    <x v="0"/>
    <s v="Afrique de l'Ouest"/>
    <s v="Ngozi Kamara"/>
    <x v="133"/>
    <x v="2"/>
    <n v="8"/>
    <n v="45000"/>
    <n v="377091"/>
    <n v="67876"/>
  </r>
  <r>
    <s v="Fatima Ndiaye"/>
    <x v="10"/>
    <s v="Afrique Centrale"/>
    <s v="Seydou Kamara"/>
    <x v="169"/>
    <x v="0"/>
    <n v="10"/>
    <n v="18500"/>
    <n v="187820"/>
    <n v="22538"/>
  </r>
  <r>
    <s v="Amara Diallo"/>
    <x v="14"/>
    <s v="Afrique de l'Ouest"/>
    <s v="Kwame Cissé"/>
    <x v="142"/>
    <x v="2"/>
    <n v="1"/>
    <n v="45000"/>
    <n v="49119"/>
    <n v="8841"/>
  </r>
  <r>
    <s v="Amara Diallo"/>
    <x v="11"/>
    <s v="Afrique de l'Ouest"/>
    <s v="Zainab Coulibaly"/>
    <x v="100"/>
    <x v="4"/>
    <n v="6"/>
    <n v="15000"/>
    <n v="81406"/>
    <n v="8141"/>
  </r>
  <r>
    <s v="Kofi Mensah"/>
    <x v="4"/>
    <s v="Afrique de l'Est"/>
    <s v="Moussa Sawadogo"/>
    <x v="171"/>
    <x v="3"/>
    <n v="6"/>
    <n v="55000"/>
    <n v="341930"/>
    <n v="75225"/>
  </r>
  <r>
    <s v="Kofi Mensah"/>
    <x v="14"/>
    <s v="Afrique de l'Ouest"/>
    <s v="Chioma Touré"/>
    <x v="172"/>
    <x v="1"/>
    <n v="8"/>
    <n v="12500"/>
    <n v="103571"/>
    <n v="8286"/>
  </r>
  <r>
    <s v="Aïcha Kouyaté"/>
    <x v="0"/>
    <s v="Afrique de l'Ouest"/>
    <s v="Chidi Diop"/>
    <x v="6"/>
    <x v="1"/>
    <n v="7"/>
    <n v="12500"/>
    <n v="90613"/>
    <n v="7249"/>
  </r>
  <r>
    <s v="Fatima Ndiaye"/>
    <x v="5"/>
    <s v="Afrique de l'Est"/>
    <s v="Kadiatou Nwosu"/>
    <x v="169"/>
    <x v="1"/>
    <n v="6"/>
    <n v="12500"/>
    <n v="70056"/>
    <n v="5604"/>
  </r>
  <r>
    <s v="Fatima Ndiaye"/>
    <x v="13"/>
    <s v="Afrique de l'Ouest"/>
    <s v="Aminata Nwosu"/>
    <x v="161"/>
    <x v="2"/>
    <n v="1"/>
    <n v="45000"/>
    <n v="48017"/>
    <n v="8643"/>
  </r>
  <r>
    <s v="Ibrahim Traoré"/>
    <x v="8"/>
    <s v="Afrique de l'Est"/>
    <s v="Kadiatou Asante"/>
    <x v="158"/>
    <x v="4"/>
    <n v="1"/>
    <n v="15000"/>
    <n v="14860"/>
    <n v="1486"/>
  </r>
  <r>
    <s v="Kofi Mensah"/>
    <x v="1"/>
    <s v="Afrique de l'Ouest"/>
    <s v="Chioma Diop"/>
    <x v="58"/>
    <x v="4"/>
    <n v="7"/>
    <n v="15000"/>
    <n v="98487"/>
    <n v="9849"/>
  </r>
  <r>
    <s v="Amara Diallo"/>
    <x v="13"/>
    <s v="Afrique de l'Ouest"/>
    <s v="Adama Sawadogo"/>
    <x v="39"/>
    <x v="1"/>
    <n v="1"/>
    <n v="12500"/>
    <n v="12694"/>
    <n v="1016"/>
  </r>
  <r>
    <s v="Ibrahim Traoré"/>
    <x v="8"/>
    <s v="Afrique de l'Est"/>
    <s v="Zainab Asante"/>
    <x v="34"/>
    <x v="3"/>
    <n v="8"/>
    <n v="55000"/>
    <n v="432093"/>
    <n v="95060"/>
  </r>
  <r>
    <s v="Fatima Ndiaye"/>
    <x v="5"/>
    <s v="Afrique de l'Est"/>
    <s v="Mariama Asante"/>
    <x v="146"/>
    <x v="3"/>
    <n v="3"/>
    <n v="55000"/>
    <n v="163236"/>
    <n v="35912"/>
  </r>
  <r>
    <s v="Fatima Ndiaye"/>
    <x v="10"/>
    <s v="Afrique Centrale"/>
    <s v="Kadiatou Ekwueme"/>
    <x v="173"/>
    <x v="1"/>
    <n v="2"/>
    <n v="12500"/>
    <n v="22595"/>
    <n v="1808"/>
  </r>
  <r>
    <s v="Aïcha Kouyaté"/>
    <x v="4"/>
    <s v="Afrique de l'Est"/>
    <s v="Oumar Mensah"/>
    <x v="52"/>
    <x v="4"/>
    <n v="8"/>
    <n v="15000"/>
    <n v="111357"/>
    <n v="11136"/>
  </r>
  <r>
    <s v="Amara Diallo"/>
    <x v="7"/>
    <s v="Afrique Centrale"/>
    <s v="Oumar Ekwueme"/>
    <x v="174"/>
    <x v="4"/>
    <n v="5"/>
    <n v="15000"/>
    <n v="74371"/>
    <n v="7437"/>
  </r>
  <r>
    <s v="Fatima Ndiaye"/>
    <x v="4"/>
    <s v="Afrique de l'Est"/>
    <s v="Zainab Keïta"/>
    <x v="175"/>
    <x v="0"/>
    <n v="1"/>
    <n v="18500"/>
    <n v="19456"/>
    <n v="2335"/>
  </r>
  <r>
    <s v="Aïcha Kouyaté"/>
    <x v="1"/>
    <s v="Afrique de l'Ouest"/>
    <s v="Chidi Touré"/>
    <x v="164"/>
    <x v="4"/>
    <n v="10"/>
    <n v="15000"/>
    <n v="154730"/>
    <n v="15473"/>
  </r>
  <r>
    <s v="Kofi Mensah"/>
    <x v="10"/>
    <s v="Afrique Centrale"/>
    <s v="Yaw Kamara"/>
    <x v="176"/>
    <x v="1"/>
    <n v="4"/>
    <n v="12500"/>
    <n v="51679"/>
    <n v="4134"/>
  </r>
  <r>
    <s v="Kofi Mensah"/>
    <x v="13"/>
    <s v="Afrique de l'Ouest"/>
    <s v="Chidi Asante"/>
    <x v="177"/>
    <x v="0"/>
    <n v="6"/>
    <n v="18500"/>
    <n v="110686"/>
    <n v="13282"/>
  </r>
  <r>
    <s v="Ibrahim Traoré"/>
    <x v="5"/>
    <s v="Afrique de l'Est"/>
    <s v="Chioma Sawadogo"/>
    <x v="178"/>
    <x v="4"/>
    <n v="4"/>
    <n v="15000"/>
    <n v="54040"/>
    <n v="5404"/>
  </r>
  <r>
    <s v="Aïcha Kouyaté"/>
    <x v="8"/>
    <s v="Afrique de l'Est"/>
    <s v="Aminata Mensah"/>
    <x v="120"/>
    <x v="4"/>
    <n v="2"/>
    <n v="15000"/>
    <n v="31104"/>
    <n v="3110"/>
  </r>
  <r>
    <s v="Kofi Mensah"/>
    <x v="2"/>
    <s v="Afrique de l'Ouest"/>
    <s v="Aminata Sawadogo"/>
    <x v="179"/>
    <x v="0"/>
    <n v="9"/>
    <n v="18500"/>
    <n v="174103"/>
    <n v="20892"/>
  </r>
  <r>
    <s v="Ibrahim Traoré"/>
    <x v="6"/>
    <s v="Afrique de l'Ouest"/>
    <s v="Chidi Nwosu"/>
    <x v="180"/>
    <x v="3"/>
    <n v="6"/>
    <n v="55000"/>
    <n v="341407"/>
    <n v="75110"/>
  </r>
  <r>
    <s v="Fatima Ndiaye"/>
    <x v="3"/>
    <s v="Afrique Centrale"/>
    <s v="Ngozi Cissé"/>
    <x v="181"/>
    <x v="1"/>
    <n v="9"/>
    <n v="12500"/>
    <n v="108209"/>
    <n v="8657"/>
  </r>
  <r>
    <s v="Ibrahim Traoré"/>
    <x v="5"/>
    <s v="Afrique de l'Est"/>
    <s v="Emeka Asante"/>
    <x v="182"/>
    <x v="3"/>
    <n v="3"/>
    <n v="55000"/>
    <n v="169495"/>
    <n v="37289"/>
  </r>
  <r>
    <s v="Ibrahim Traoré"/>
    <x v="9"/>
    <s v="Afrique de l'Ouest"/>
    <s v="Awa Cissé"/>
    <x v="89"/>
    <x v="2"/>
    <n v="4"/>
    <n v="45000"/>
    <n v="175409"/>
    <n v="31574"/>
  </r>
  <r>
    <s v="Kofi Mensah"/>
    <x v="4"/>
    <s v="Afrique de l'Est"/>
    <s v="Aminata Dembélé"/>
    <x v="59"/>
    <x v="1"/>
    <n v="5"/>
    <n v="12500"/>
    <n v="62087"/>
    <n v="4967"/>
  </r>
  <r>
    <s v="Ibrahim Traoré"/>
    <x v="3"/>
    <s v="Afrique Centrale"/>
    <s v="Chidi Kamara"/>
    <x v="183"/>
    <x v="2"/>
    <n v="3"/>
    <n v="45000"/>
    <n v="136941"/>
    <n v="24649"/>
  </r>
  <r>
    <s v="Aïcha Kouyaté"/>
    <x v="11"/>
    <s v="Afrique de l'Ouest"/>
    <s v="Awa Okonkwo"/>
    <x v="105"/>
    <x v="2"/>
    <n v="3"/>
    <n v="45000"/>
    <n v="141150"/>
    <n v="25407"/>
  </r>
  <r>
    <s v="Aïcha Kouyaté"/>
    <x v="9"/>
    <s v="Afrique de l'Ouest"/>
    <s v="Chioma Diop"/>
    <x v="86"/>
    <x v="1"/>
    <n v="3"/>
    <n v="12500"/>
    <n v="39203"/>
    <n v="3136"/>
  </r>
  <r>
    <s v="Fatima Ndiaye"/>
    <x v="7"/>
    <s v="Afrique Centrale"/>
    <s v="Moussa Diop"/>
    <x v="43"/>
    <x v="4"/>
    <n v="10"/>
    <n v="15000"/>
    <n v="149303"/>
    <n v="14930"/>
  </r>
  <r>
    <s v="Ibrahim Traoré"/>
    <x v="3"/>
    <s v="Afrique Centrale"/>
    <s v="Seydou Sawadogo"/>
    <x v="184"/>
    <x v="1"/>
    <n v="8"/>
    <n v="12500"/>
    <n v="103632"/>
    <n v="8291"/>
  </r>
  <r>
    <s v="Aïcha Kouyaté"/>
    <x v="4"/>
    <s v="Afrique de l'Est"/>
    <s v="Yaw Bah"/>
    <x v="185"/>
    <x v="0"/>
    <n v="4"/>
    <n v="18500"/>
    <n v="67427"/>
    <n v="8091"/>
  </r>
  <r>
    <s v="Aïcha Kouyaté"/>
    <x v="2"/>
    <s v="Afrique de l'Ouest"/>
    <s v="Zainab Asante"/>
    <x v="186"/>
    <x v="4"/>
    <n v="3"/>
    <n v="15000"/>
    <n v="49265"/>
    <n v="4926"/>
  </r>
  <r>
    <s v="Amara Diallo"/>
    <x v="13"/>
    <s v="Afrique de l'Ouest"/>
    <s v="Adama Cissé"/>
    <x v="187"/>
    <x v="3"/>
    <n v="3"/>
    <n v="55000"/>
    <n v="164036"/>
    <n v="36088"/>
  </r>
  <r>
    <s v="Fatima Ndiaye"/>
    <x v="3"/>
    <s v="Afrique Centrale"/>
    <s v="Aminata Bah"/>
    <x v="74"/>
    <x v="2"/>
    <n v="1"/>
    <n v="45000"/>
    <n v="45730"/>
    <n v="8231"/>
  </r>
  <r>
    <s v="Amara Diallo"/>
    <x v="10"/>
    <s v="Afrique Centrale"/>
    <s v="Oumar Okonkwo"/>
    <x v="188"/>
    <x v="4"/>
    <n v="3"/>
    <n v="15000"/>
    <n v="45467"/>
    <n v="4547"/>
  </r>
  <r>
    <s v="Fatima Ndiaye"/>
    <x v="11"/>
    <s v="Afrique de l'Ouest"/>
    <s v="Ngozi Touré"/>
    <x v="54"/>
    <x v="2"/>
    <n v="2"/>
    <n v="45000"/>
    <n v="93041"/>
    <n v="16747"/>
  </r>
  <r>
    <s v="Amara Diallo"/>
    <x v="7"/>
    <s v="Afrique Centrale"/>
    <s v="Aminata Abubakar"/>
    <x v="189"/>
    <x v="2"/>
    <n v="4"/>
    <n v="45000"/>
    <n v="196581"/>
    <n v="35385"/>
  </r>
  <r>
    <s v="Aïcha Kouyaté"/>
    <x v="14"/>
    <s v="Afrique de l'Ouest"/>
    <s v="Kwame Cissé"/>
    <x v="190"/>
    <x v="4"/>
    <n v="9"/>
    <n v="15000"/>
    <n v="124023"/>
    <n v="12402"/>
  </r>
  <r>
    <s v="Fatima Ndiaye"/>
    <x v="4"/>
    <s v="Afrique de l'Est"/>
    <s v="Awa Bah"/>
    <x v="72"/>
    <x v="3"/>
    <n v="5"/>
    <n v="55000"/>
    <n v="255858"/>
    <n v="56289"/>
  </r>
  <r>
    <s v="Aïcha Kouyaté"/>
    <x v="13"/>
    <s v="Afrique de l'Ouest"/>
    <s v="Kwame Kamara"/>
    <x v="188"/>
    <x v="3"/>
    <n v="9"/>
    <n v="55000"/>
    <n v="543177"/>
    <n v="119499"/>
  </r>
  <r>
    <s v="Fatima Ndiaye"/>
    <x v="8"/>
    <s v="Afrique de l'Est"/>
    <s v="Oumar Sawadogo"/>
    <x v="101"/>
    <x v="0"/>
    <n v="8"/>
    <n v="18500"/>
    <n v="142519"/>
    <n v="17102"/>
  </r>
  <r>
    <s v="Kofi Mensah"/>
    <x v="13"/>
    <s v="Afrique de l'Ouest"/>
    <s v="Aminata Keïta"/>
    <x v="2"/>
    <x v="0"/>
    <n v="7"/>
    <n v="18500"/>
    <n v="119157"/>
    <n v="14299"/>
  </r>
  <r>
    <s v="Kofi Mensah"/>
    <x v="7"/>
    <s v="Afrique Centrale"/>
    <s v="Emeka Coulibaly"/>
    <x v="191"/>
    <x v="4"/>
    <n v="2"/>
    <n v="15000"/>
    <n v="31070"/>
    <n v="3107"/>
  </r>
  <r>
    <s v="Kofi Mensah"/>
    <x v="7"/>
    <s v="Afrique Centrale"/>
    <s v="Aminata Kamara"/>
    <x v="192"/>
    <x v="2"/>
    <n v="4"/>
    <n v="45000"/>
    <n v="197781"/>
    <n v="35601"/>
  </r>
  <r>
    <s v="Kofi Mensah"/>
    <x v="12"/>
    <s v="Afrique de l'Est"/>
    <s v="Emeka Touré"/>
    <x v="193"/>
    <x v="3"/>
    <n v="10"/>
    <n v="55000"/>
    <n v="498562"/>
    <n v="109684"/>
  </r>
  <r>
    <s v="Ibrahim Traoré"/>
    <x v="14"/>
    <s v="Afrique de l'Ouest"/>
    <s v="Emeka Dembélé"/>
    <x v="194"/>
    <x v="2"/>
    <n v="9"/>
    <n v="45000"/>
    <n v="434723"/>
    <n v="78250"/>
  </r>
  <r>
    <s v="Kofi Mensah"/>
    <x v="9"/>
    <s v="Afrique de l'Ouest"/>
    <s v="Ngozi Coulibaly"/>
    <x v="71"/>
    <x v="3"/>
    <n v="7"/>
    <n v="55000"/>
    <n v="359627"/>
    <n v="79118"/>
  </r>
  <r>
    <s v="Amara Diallo"/>
    <x v="9"/>
    <s v="Afrique de l'Ouest"/>
    <s v="Yaw Kamara"/>
    <x v="195"/>
    <x v="0"/>
    <n v="7"/>
    <n v="18500"/>
    <n v="123099"/>
    <n v="14772"/>
  </r>
  <r>
    <s v="Aïcha Kouyaté"/>
    <x v="0"/>
    <s v="Afrique de l'Ouest"/>
    <s v="Mariama Bah"/>
    <x v="196"/>
    <x v="0"/>
    <n v="8"/>
    <n v="18500"/>
    <n v="152011"/>
    <n v="18241"/>
  </r>
  <r>
    <s v="Aïcha Kouyaté"/>
    <x v="4"/>
    <s v="Afrique de l'Est"/>
    <s v="Awa Ekwueme"/>
    <x v="138"/>
    <x v="1"/>
    <n v="3"/>
    <n v="12500"/>
    <n v="36767"/>
    <n v="2941"/>
  </r>
  <r>
    <s v="Fatima Ndiaye"/>
    <x v="5"/>
    <s v="Afrique de l'Est"/>
    <s v="Aminata Abubakar"/>
    <x v="71"/>
    <x v="0"/>
    <n v="8"/>
    <n v="18500"/>
    <n v="135297"/>
    <n v="16236"/>
  </r>
  <r>
    <s v="Amara Diallo"/>
    <x v="11"/>
    <s v="Afrique de l'Ouest"/>
    <s v="Emeka Abubakar"/>
    <x v="145"/>
    <x v="4"/>
    <n v="9"/>
    <n v="15000"/>
    <n v="145838"/>
    <n v="14584"/>
  </r>
  <r>
    <s v="Ibrahim Traoré"/>
    <x v="14"/>
    <s v="Afrique de l'Ouest"/>
    <s v="Mariama Asante"/>
    <x v="76"/>
    <x v="2"/>
    <n v="7"/>
    <n v="45000"/>
    <n v="334593"/>
    <n v="60227"/>
  </r>
  <r>
    <s v="Ibrahim Traoré"/>
    <x v="8"/>
    <s v="Afrique de l'Est"/>
    <s v="Aminata Mensah"/>
    <x v="3"/>
    <x v="0"/>
    <n v="5"/>
    <n v="18500"/>
    <n v="100853"/>
    <n v="12102"/>
  </r>
  <r>
    <s v="Amara Diallo"/>
    <x v="10"/>
    <s v="Afrique Centrale"/>
    <s v="Awa Dembélé"/>
    <x v="91"/>
    <x v="0"/>
    <n v="5"/>
    <n v="18500"/>
    <n v="86755"/>
    <n v="10411"/>
  </r>
  <r>
    <s v="Aïcha Kouyaté"/>
    <x v="13"/>
    <s v="Afrique de l'Ouest"/>
    <s v="Emeka Cissé"/>
    <x v="123"/>
    <x v="4"/>
    <n v="6"/>
    <n v="15000"/>
    <n v="81328"/>
    <n v="8133"/>
  </r>
  <r>
    <s v="Ibrahim Traoré"/>
    <x v="2"/>
    <s v="Afrique de l'Ouest"/>
    <s v="Yaw Keïta"/>
    <x v="181"/>
    <x v="4"/>
    <n v="5"/>
    <n v="15000"/>
    <n v="79738"/>
    <n v="7974"/>
  </r>
  <r>
    <s v="Kofi Mensah"/>
    <x v="12"/>
    <s v="Afrique de l'Est"/>
    <s v="Zainab Nwosu"/>
    <x v="51"/>
    <x v="4"/>
    <n v="8"/>
    <n v="15000"/>
    <n v="109003"/>
    <n v="10900"/>
  </r>
  <r>
    <s v="Kofi Mensah"/>
    <x v="1"/>
    <s v="Afrique de l'Ouest"/>
    <s v="Seydou Dembélé"/>
    <x v="102"/>
    <x v="4"/>
    <n v="9"/>
    <n v="15000"/>
    <n v="144684"/>
    <n v="14468"/>
  </r>
  <r>
    <s v="Fatima Ndiaye"/>
    <x v="0"/>
    <s v="Afrique de l'Ouest"/>
    <s v="Yaw Kamara"/>
    <x v="197"/>
    <x v="0"/>
    <n v="5"/>
    <n v="18500"/>
    <n v="85047"/>
    <n v="10206"/>
  </r>
  <r>
    <s v="Ibrahim Traoré"/>
    <x v="9"/>
    <s v="Afrique de l'Ouest"/>
    <s v="Oumar Nwosu"/>
    <x v="198"/>
    <x v="0"/>
    <n v="6"/>
    <n v="18500"/>
    <n v="112312"/>
    <n v="13477"/>
  </r>
  <r>
    <s v="Amara Diallo"/>
    <x v="1"/>
    <s v="Afrique de l'Ouest"/>
    <s v="Mariama Asante"/>
    <x v="116"/>
    <x v="2"/>
    <n v="7"/>
    <n v="45000"/>
    <n v="342874"/>
    <n v="61717"/>
  </r>
  <r>
    <s v="Aïcha Kouyaté"/>
    <x v="3"/>
    <s v="Afrique Centrale"/>
    <s v="Moussa Asante"/>
    <x v="199"/>
    <x v="2"/>
    <n v="1"/>
    <n v="45000"/>
    <n v="43331"/>
    <n v="7800"/>
  </r>
  <r>
    <s v="Aïcha Kouyaté"/>
    <x v="0"/>
    <s v="Afrique de l'Ouest"/>
    <s v="Seydou Dembélé"/>
    <x v="150"/>
    <x v="1"/>
    <n v="3"/>
    <n v="12500"/>
    <n v="35323"/>
    <n v="2826"/>
  </r>
  <r>
    <s v="Amara Diallo"/>
    <x v="4"/>
    <s v="Afrique de l'Est"/>
    <s v="Kadiatou Cissé"/>
    <x v="175"/>
    <x v="3"/>
    <n v="8"/>
    <n v="55000"/>
    <n v="449314"/>
    <n v="98849"/>
  </r>
  <r>
    <s v="Kofi Mensah"/>
    <x v="10"/>
    <s v="Afrique Centrale"/>
    <s v="Kwame Asante"/>
    <x v="200"/>
    <x v="0"/>
    <n v="3"/>
    <n v="18500"/>
    <n v="53380"/>
    <n v="6406"/>
  </r>
  <r>
    <s v="Ibrahim Traoré"/>
    <x v="11"/>
    <s v="Afrique de l'Ouest"/>
    <s v="Adama Mensah"/>
    <x v="201"/>
    <x v="1"/>
    <n v="9"/>
    <n v="12500"/>
    <n v="113549"/>
    <n v="9084"/>
  </r>
  <r>
    <s v="Aïcha Kouyaté"/>
    <x v="13"/>
    <s v="Afrique de l'Ouest"/>
    <s v="Zainab Asante"/>
    <x v="202"/>
    <x v="4"/>
    <n v="1"/>
    <n v="15000"/>
    <n v="16372"/>
    <n v="1637"/>
  </r>
  <r>
    <s v="Amara Diallo"/>
    <x v="13"/>
    <s v="Afrique de l'Ouest"/>
    <s v="Emeka Touré"/>
    <x v="203"/>
    <x v="3"/>
    <n v="10"/>
    <n v="55000"/>
    <n v="520026"/>
    <n v="114406"/>
  </r>
  <r>
    <s v="Fatima Ndiaye"/>
    <x v="14"/>
    <s v="Afrique de l'Ouest"/>
    <s v="Mariama Ekwueme"/>
    <x v="204"/>
    <x v="0"/>
    <n v="3"/>
    <n v="18500"/>
    <n v="55162"/>
    <n v="6619"/>
  </r>
  <r>
    <s v="Fatima Ndiaye"/>
    <x v="13"/>
    <s v="Afrique de l'Ouest"/>
    <s v="Aminata Diop"/>
    <x v="157"/>
    <x v="0"/>
    <n v="5"/>
    <n v="18500"/>
    <n v="85915"/>
    <n v="10310"/>
  </r>
  <r>
    <s v="Ibrahim Traoré"/>
    <x v="3"/>
    <s v="Afrique Centrale"/>
    <s v="Moussa Sawadogo"/>
    <x v="134"/>
    <x v="2"/>
    <n v="8"/>
    <n v="45000"/>
    <n v="350726"/>
    <n v="63131"/>
  </r>
  <r>
    <s v="Amara Diallo"/>
    <x v="2"/>
    <s v="Afrique de l'Ouest"/>
    <s v="Awa Touré"/>
    <x v="7"/>
    <x v="3"/>
    <n v="7"/>
    <n v="55000"/>
    <n v="351294"/>
    <n v="77285"/>
  </r>
  <r>
    <s v="Amara Diallo"/>
    <x v="14"/>
    <s v="Afrique de l'Ouest"/>
    <s v="Awa Cissé"/>
    <x v="205"/>
    <x v="0"/>
    <n v="8"/>
    <n v="18500"/>
    <n v="143462"/>
    <n v="17215"/>
  </r>
  <r>
    <s v="Fatima Ndiaye"/>
    <x v="13"/>
    <s v="Afrique de l'Ouest"/>
    <s v="Zainab Sawadogo"/>
    <x v="206"/>
    <x v="1"/>
    <n v="6"/>
    <n v="12500"/>
    <n v="76066"/>
    <n v="6085"/>
  </r>
  <r>
    <s v="Ibrahim Traoré"/>
    <x v="1"/>
    <s v="Afrique de l'Ouest"/>
    <s v="Seydou Cissé"/>
    <x v="207"/>
    <x v="3"/>
    <n v="8"/>
    <n v="55000"/>
    <n v="441004"/>
    <n v="97021"/>
  </r>
  <r>
    <s v="Fatima Ndiaye"/>
    <x v="5"/>
    <s v="Afrique de l'Est"/>
    <s v="Chioma Dembélé"/>
    <x v="33"/>
    <x v="2"/>
    <n v="4"/>
    <n v="45000"/>
    <n v="192093"/>
    <n v="34577"/>
  </r>
  <r>
    <s v="Ibrahim Traoré"/>
    <x v="5"/>
    <s v="Afrique de l'Est"/>
    <s v="Emeka Dembélé"/>
    <x v="189"/>
    <x v="3"/>
    <n v="5"/>
    <n v="55000"/>
    <n v="281517"/>
    <n v="61934"/>
  </r>
  <r>
    <s v="Kofi Mensah"/>
    <x v="6"/>
    <s v="Afrique de l'Ouest"/>
    <s v="Kadiatou Dembélé"/>
    <x v="208"/>
    <x v="3"/>
    <n v="1"/>
    <n v="55000"/>
    <n v="51554"/>
    <n v="11342"/>
  </r>
  <r>
    <s v="Amara Diallo"/>
    <x v="13"/>
    <s v="Afrique de l'Ouest"/>
    <s v="Aminata Touré"/>
    <x v="38"/>
    <x v="1"/>
    <n v="1"/>
    <n v="12500"/>
    <n v="11849"/>
    <n v="948"/>
  </r>
  <r>
    <s v="Kofi Mensah"/>
    <x v="14"/>
    <s v="Afrique de l'Ouest"/>
    <s v="Zainab Okonkwo"/>
    <x v="209"/>
    <x v="0"/>
    <n v="2"/>
    <n v="18500"/>
    <n v="34611"/>
    <n v="4153"/>
  </r>
  <r>
    <s v="Aïcha Kouyaté"/>
    <x v="13"/>
    <s v="Afrique de l'Ouest"/>
    <s v="Awa Mensah"/>
    <x v="210"/>
    <x v="0"/>
    <n v="9"/>
    <n v="18500"/>
    <n v="157092"/>
    <n v="18851"/>
  </r>
  <r>
    <s v="Amara Diallo"/>
    <x v="2"/>
    <s v="Afrique de l'Ouest"/>
    <s v="Aminata Mensah"/>
    <x v="211"/>
    <x v="4"/>
    <n v="8"/>
    <n v="15000"/>
    <n v="112792"/>
    <n v="11279"/>
  </r>
  <r>
    <s v="Ibrahim Traoré"/>
    <x v="14"/>
    <s v="Afrique de l'Ouest"/>
    <s v="Awa Coulibaly"/>
    <x v="199"/>
    <x v="4"/>
    <n v="2"/>
    <n v="15000"/>
    <n v="30788"/>
    <n v="3079"/>
  </r>
  <r>
    <s v="Ibrahim Traoré"/>
    <x v="2"/>
    <s v="Afrique de l'Ouest"/>
    <s v="Awa Abubakar"/>
    <x v="120"/>
    <x v="2"/>
    <n v="8"/>
    <n v="45000"/>
    <n v="335255"/>
    <n v="60346"/>
  </r>
  <r>
    <s v="Aïcha Kouyaté"/>
    <x v="4"/>
    <s v="Afrique de l'Est"/>
    <s v="Mariama Coulibaly"/>
    <x v="212"/>
    <x v="0"/>
    <n v="9"/>
    <n v="18500"/>
    <n v="178117"/>
    <n v="21374"/>
  </r>
  <r>
    <s v="Kofi Mensah"/>
    <x v="10"/>
    <s v="Afrique Centrale"/>
    <s v="Seydou Keïta"/>
    <x v="213"/>
    <x v="0"/>
    <n v="9"/>
    <n v="18500"/>
    <n v="159374"/>
    <n v="19125"/>
  </r>
  <r>
    <s v="Ibrahim Traoré"/>
    <x v="9"/>
    <s v="Afrique de l'Ouest"/>
    <s v="Chidi Nwosu"/>
    <x v="214"/>
    <x v="2"/>
    <n v="9"/>
    <n v="45000"/>
    <n v="425321"/>
    <n v="76558"/>
  </r>
  <r>
    <s v="Amara Diallo"/>
    <x v="1"/>
    <s v="Afrique de l'Ouest"/>
    <s v="Adama Cissé"/>
    <x v="206"/>
    <x v="1"/>
    <n v="9"/>
    <n v="12500"/>
    <n v="111622"/>
    <n v="8930"/>
  </r>
  <r>
    <s v="Aïcha Kouyaté"/>
    <x v="8"/>
    <s v="Afrique de l'Est"/>
    <s v="Aminata Okonkwo"/>
    <x v="134"/>
    <x v="3"/>
    <n v="4"/>
    <n v="55000"/>
    <n v="218021"/>
    <n v="47965"/>
  </r>
  <r>
    <s v="Ibrahim Traoré"/>
    <x v="3"/>
    <s v="Afrique Centrale"/>
    <s v="Awa Nwosu"/>
    <x v="152"/>
    <x v="1"/>
    <n v="8"/>
    <n v="12500"/>
    <n v="103398"/>
    <n v="8272"/>
  </r>
  <r>
    <s v="Kofi Mensah"/>
    <x v="3"/>
    <s v="Afrique Centrale"/>
    <s v="Seydou Diop"/>
    <x v="215"/>
    <x v="1"/>
    <n v="3"/>
    <n v="12500"/>
    <n v="39398"/>
    <n v="3152"/>
  </r>
  <r>
    <s v="Kofi Mensah"/>
    <x v="7"/>
    <s v="Afrique Centrale"/>
    <s v="Zainab Mensah"/>
    <x v="195"/>
    <x v="0"/>
    <n v="3"/>
    <n v="18500"/>
    <n v="60840"/>
    <n v="7301"/>
  </r>
  <r>
    <s v="Amara Diallo"/>
    <x v="11"/>
    <s v="Afrique de l'Ouest"/>
    <s v="Kadiatou Abubakar"/>
    <x v="153"/>
    <x v="3"/>
    <n v="10"/>
    <n v="55000"/>
    <n v="505719"/>
    <n v="111258"/>
  </r>
  <r>
    <s v="Ibrahim Traoré"/>
    <x v="8"/>
    <s v="Afrique de l'Est"/>
    <s v="Mariama Abubakar"/>
    <x v="76"/>
    <x v="4"/>
    <n v="4"/>
    <n v="15000"/>
    <n v="63317"/>
    <n v="6332"/>
  </r>
  <r>
    <s v="Ibrahim Traoré"/>
    <x v="12"/>
    <s v="Afrique de l'Est"/>
    <s v="Awa Dembélé"/>
    <x v="216"/>
    <x v="3"/>
    <n v="7"/>
    <n v="55000"/>
    <n v="388815"/>
    <n v="85539"/>
  </r>
  <r>
    <s v="Amara Diallo"/>
    <x v="9"/>
    <s v="Afrique de l'Ouest"/>
    <s v="Chidi Dembélé"/>
    <x v="32"/>
    <x v="3"/>
    <n v="2"/>
    <n v="55000"/>
    <n v="118200"/>
    <n v="26004"/>
  </r>
  <r>
    <s v="Fatima Ndiaye"/>
    <x v="9"/>
    <s v="Afrique de l'Ouest"/>
    <s v="Awa Bah"/>
    <x v="116"/>
    <x v="4"/>
    <n v="7"/>
    <n v="15000"/>
    <n v="96300"/>
    <n v="9630"/>
  </r>
  <r>
    <s v="Ibrahim Traoré"/>
    <x v="2"/>
    <s v="Afrique de l'Ouest"/>
    <s v="Ngozi Kamara"/>
    <x v="137"/>
    <x v="3"/>
    <n v="10"/>
    <n v="55000"/>
    <n v="495817"/>
    <n v="109080"/>
  </r>
  <r>
    <s v="Ibrahim Traoré"/>
    <x v="3"/>
    <s v="Afrique Centrale"/>
    <s v="Kadiatou Kamara"/>
    <x v="217"/>
    <x v="0"/>
    <n v="1"/>
    <n v="18500"/>
    <n v="19425"/>
    <n v="2331"/>
  </r>
  <r>
    <s v="Fatima Ndiaye"/>
    <x v="8"/>
    <s v="Afrique de l'Est"/>
    <s v="Mariama Bah"/>
    <x v="186"/>
    <x v="2"/>
    <n v="9"/>
    <n v="45000"/>
    <n v="443447"/>
    <n v="79820"/>
  </r>
  <r>
    <s v="Ibrahim Traoré"/>
    <x v="0"/>
    <s v="Afrique de l'Ouest"/>
    <s v="Ngozi Kamara"/>
    <x v="212"/>
    <x v="1"/>
    <n v="5"/>
    <n v="12500"/>
    <n v="61825"/>
    <n v="4946"/>
  </r>
  <r>
    <s v="Ibrahim Traoré"/>
    <x v="10"/>
    <s v="Afrique Centrale"/>
    <s v="Chidi Dembélé"/>
    <x v="218"/>
    <x v="2"/>
    <n v="6"/>
    <n v="45000"/>
    <n v="285701"/>
    <n v="51426"/>
  </r>
  <r>
    <s v="Amara Diallo"/>
    <x v="6"/>
    <s v="Afrique de l'Ouest"/>
    <s v="Ngozi Ekwueme"/>
    <x v="27"/>
    <x v="3"/>
    <n v="6"/>
    <n v="55000"/>
    <n v="297585"/>
    <n v="65469"/>
  </r>
  <r>
    <s v="Amara Diallo"/>
    <x v="3"/>
    <s v="Afrique Centrale"/>
    <s v="Mariama Coulibaly"/>
    <x v="102"/>
    <x v="4"/>
    <n v="5"/>
    <n v="15000"/>
    <n v="76796"/>
    <n v="7680"/>
  </r>
  <r>
    <s v="Kofi Mensah"/>
    <x v="14"/>
    <s v="Afrique de l'Ouest"/>
    <s v="Zainab Nwosu"/>
    <x v="18"/>
    <x v="3"/>
    <n v="5"/>
    <n v="55000"/>
    <n v="283759"/>
    <n v="62427"/>
  </r>
  <r>
    <s v="Ibrahim Traoré"/>
    <x v="1"/>
    <s v="Afrique de l'Ouest"/>
    <s v="Emeka Cissé"/>
    <x v="219"/>
    <x v="0"/>
    <n v="9"/>
    <n v="18500"/>
    <n v="163893"/>
    <n v="19667"/>
  </r>
  <r>
    <s v="Ibrahim Traoré"/>
    <x v="5"/>
    <s v="Afrique de l'Est"/>
    <s v="Yaw Coulibaly"/>
    <x v="220"/>
    <x v="4"/>
    <n v="9"/>
    <n v="15000"/>
    <n v="132182"/>
    <n v="13218"/>
  </r>
  <r>
    <s v="Kofi Mensah"/>
    <x v="10"/>
    <s v="Afrique Centrale"/>
    <s v="Chioma Bah"/>
    <x v="219"/>
    <x v="2"/>
    <n v="2"/>
    <n v="45000"/>
    <n v="85335"/>
    <n v="15360"/>
  </r>
  <r>
    <s v="Kofi Mensah"/>
    <x v="2"/>
    <s v="Afrique de l'Ouest"/>
    <s v="Aminata Dembélé"/>
    <x v="221"/>
    <x v="0"/>
    <n v="9"/>
    <n v="18500"/>
    <n v="178011"/>
    <n v="21361"/>
  </r>
  <r>
    <s v="Amara Diallo"/>
    <x v="6"/>
    <s v="Afrique de l'Ouest"/>
    <s v="Chioma Mensah"/>
    <x v="222"/>
    <x v="0"/>
    <n v="3"/>
    <n v="18500"/>
    <n v="58125"/>
    <n v="6975"/>
  </r>
  <r>
    <s v="Fatima Ndiaye"/>
    <x v="3"/>
    <s v="Afrique Centrale"/>
    <s v="Kwame Ekwueme"/>
    <x v="223"/>
    <x v="0"/>
    <n v="5"/>
    <n v="18500"/>
    <n v="87445"/>
    <n v="10493"/>
  </r>
  <r>
    <s v="Kofi Mensah"/>
    <x v="14"/>
    <s v="Afrique de l'Ouest"/>
    <s v="Awa Keïta"/>
    <x v="224"/>
    <x v="3"/>
    <n v="5"/>
    <n v="55000"/>
    <n v="268133"/>
    <n v="58989"/>
  </r>
  <r>
    <s v="Ibrahim Traoré"/>
    <x v="9"/>
    <s v="Afrique de l'Ouest"/>
    <s v="Moussa Cissé"/>
    <x v="225"/>
    <x v="2"/>
    <n v="9"/>
    <n v="45000"/>
    <n v="426303"/>
    <n v="76735"/>
  </r>
  <r>
    <s v="Amara Diallo"/>
    <x v="1"/>
    <s v="Afrique de l'Ouest"/>
    <s v="Emeka Mensah"/>
    <x v="96"/>
    <x v="3"/>
    <n v="10"/>
    <n v="55000"/>
    <n v="573943"/>
    <n v="126267"/>
  </r>
  <r>
    <s v="Ibrahim Traoré"/>
    <x v="9"/>
    <s v="Afrique de l'Ouest"/>
    <s v="Zainab Mensah"/>
    <x v="34"/>
    <x v="2"/>
    <n v="5"/>
    <n v="45000"/>
    <n v="228000"/>
    <n v="41040"/>
  </r>
  <r>
    <s v="Amara Diallo"/>
    <x v="8"/>
    <s v="Afrique de l'Est"/>
    <s v="Moussa Keïta"/>
    <x v="163"/>
    <x v="3"/>
    <n v="3"/>
    <n v="55000"/>
    <n v="154406"/>
    <n v="33969"/>
  </r>
  <r>
    <s v="Ibrahim Traoré"/>
    <x v="14"/>
    <s v="Afrique de l'Ouest"/>
    <s v="Seydou Cissé"/>
    <x v="38"/>
    <x v="0"/>
    <n v="6"/>
    <n v="18500"/>
    <n v="107787"/>
    <n v="12934"/>
  </r>
  <r>
    <s v="Aïcha Kouyaté"/>
    <x v="12"/>
    <s v="Afrique de l'Est"/>
    <s v="Kwame Kamara"/>
    <x v="226"/>
    <x v="2"/>
    <n v="4"/>
    <n v="45000"/>
    <n v="163062"/>
    <n v="29351"/>
  </r>
  <r>
    <s v="Amara Diallo"/>
    <x v="14"/>
    <s v="Afrique de l'Ouest"/>
    <s v="Aminata Mensah"/>
    <x v="57"/>
    <x v="1"/>
    <n v="6"/>
    <n v="12500"/>
    <n v="78174"/>
    <n v="6254"/>
  </r>
  <r>
    <s v="Fatima Ndiaye"/>
    <x v="5"/>
    <s v="Afrique de l'Est"/>
    <s v="Oumar Bah"/>
    <x v="227"/>
    <x v="2"/>
    <n v="10"/>
    <n v="45000"/>
    <n v="422982"/>
    <n v="76137"/>
  </r>
  <r>
    <s v="Aïcha Kouyaté"/>
    <x v="11"/>
    <s v="Afrique de l'Ouest"/>
    <s v="Chioma Cissé"/>
    <x v="228"/>
    <x v="3"/>
    <n v="2"/>
    <n v="55000"/>
    <n v="101144"/>
    <n v="22252"/>
  </r>
  <r>
    <s v="Ibrahim Traoré"/>
    <x v="10"/>
    <s v="Afrique Centrale"/>
    <s v="Chioma Nwosu"/>
    <x v="229"/>
    <x v="4"/>
    <n v="7"/>
    <n v="15000"/>
    <n v="111791"/>
    <n v="11179"/>
  </r>
  <r>
    <s v="Fatima Ndiaye"/>
    <x v="0"/>
    <s v="Afrique de l'Ouest"/>
    <s v="Oumar Dembélé"/>
    <x v="16"/>
    <x v="3"/>
    <n v="3"/>
    <n v="55000"/>
    <n v="176072"/>
    <n v="38736"/>
  </r>
  <r>
    <s v="Fatima Ndiaye"/>
    <x v="3"/>
    <s v="Afrique Centrale"/>
    <s v="Chidi Cissé"/>
    <x v="95"/>
    <x v="1"/>
    <n v="8"/>
    <n v="12500"/>
    <n v="106906"/>
    <n v="8552"/>
  </r>
  <r>
    <s v="Aïcha Kouyaté"/>
    <x v="10"/>
    <s v="Afrique Centrale"/>
    <s v="Ngozi Mensah"/>
    <x v="158"/>
    <x v="1"/>
    <n v="5"/>
    <n v="12500"/>
    <n v="65835"/>
    <n v="5267"/>
  </r>
  <r>
    <s v="Fatima Ndiaye"/>
    <x v="1"/>
    <s v="Afrique de l'Ouest"/>
    <s v="Kwame Keïta"/>
    <x v="230"/>
    <x v="0"/>
    <n v="7"/>
    <n v="18500"/>
    <n v="134698"/>
    <n v="16164"/>
  </r>
  <r>
    <s v="Fatima Ndiaye"/>
    <x v="2"/>
    <s v="Afrique de l'Ouest"/>
    <s v="Emeka Okonkwo"/>
    <x v="19"/>
    <x v="0"/>
    <n v="5"/>
    <n v="18500"/>
    <n v="89005"/>
    <n v="10681"/>
  </r>
  <r>
    <s v="Aïcha Kouyaté"/>
    <x v="13"/>
    <s v="Afrique de l'Ouest"/>
    <s v="Aminata Dembélé"/>
    <x v="188"/>
    <x v="2"/>
    <n v="9"/>
    <n v="45000"/>
    <n v="426533"/>
    <n v="76776"/>
  </r>
  <r>
    <s v="Fatima Ndiaye"/>
    <x v="4"/>
    <s v="Afrique de l'Est"/>
    <s v="Moussa Mensah"/>
    <x v="231"/>
    <x v="0"/>
    <n v="6"/>
    <n v="18500"/>
    <n v="114025"/>
    <n v="13683"/>
  </r>
  <r>
    <s v="Aïcha Kouyaté"/>
    <x v="13"/>
    <s v="Afrique de l'Ouest"/>
    <s v="Adama Bah"/>
    <x v="232"/>
    <x v="2"/>
    <n v="3"/>
    <n v="45000"/>
    <n v="129143"/>
    <n v="23246"/>
  </r>
  <r>
    <s v="Fatima Ndiaye"/>
    <x v="11"/>
    <s v="Afrique de l'Ouest"/>
    <s v="Adama Sawadogo"/>
    <x v="233"/>
    <x v="1"/>
    <n v="10"/>
    <n v="12500"/>
    <n v="125060"/>
    <n v="10005"/>
  </r>
  <r>
    <s v="Ibrahim Traoré"/>
    <x v="11"/>
    <s v="Afrique de l'Ouest"/>
    <s v="Chidi Mensah"/>
    <x v="234"/>
    <x v="2"/>
    <n v="7"/>
    <n v="45000"/>
    <n v="299108"/>
    <n v="53839"/>
  </r>
  <r>
    <s v="Ibrahim Traoré"/>
    <x v="14"/>
    <s v="Afrique de l'Ouest"/>
    <s v="Awa Cissé"/>
    <x v="73"/>
    <x v="4"/>
    <n v="10"/>
    <n v="15000"/>
    <n v="149191"/>
    <n v="14919"/>
  </r>
  <r>
    <s v="Fatima Ndiaye"/>
    <x v="11"/>
    <s v="Afrique de l'Ouest"/>
    <s v="Yaw Dembélé"/>
    <x v="235"/>
    <x v="2"/>
    <n v="1"/>
    <n v="45000"/>
    <n v="49258"/>
    <n v="8866"/>
  </r>
  <r>
    <s v="Fatima Ndiaye"/>
    <x v="0"/>
    <s v="Afrique de l'Ouest"/>
    <s v="Zainab Touré"/>
    <x v="178"/>
    <x v="0"/>
    <n v="4"/>
    <n v="18500"/>
    <n v="81400"/>
    <n v="9768"/>
  </r>
  <r>
    <s v="Amara Diallo"/>
    <x v="3"/>
    <s v="Afrique Centrale"/>
    <s v="Zainab Keïta"/>
    <x v="224"/>
    <x v="2"/>
    <n v="1"/>
    <n v="45000"/>
    <n v="41050"/>
    <n v="7389"/>
  </r>
  <r>
    <s v="Amara Diallo"/>
    <x v="14"/>
    <s v="Afrique de l'Ouest"/>
    <s v="Mariama Ekwueme"/>
    <x v="236"/>
    <x v="3"/>
    <n v="5"/>
    <n v="55000"/>
    <n v="257896"/>
    <n v="56737"/>
  </r>
  <r>
    <s v="Aïcha Kouyaté"/>
    <x v="8"/>
    <s v="Afrique de l'Est"/>
    <s v="Emeka Sawadogo"/>
    <x v="237"/>
    <x v="2"/>
    <n v="7"/>
    <n v="45000"/>
    <n v="332761"/>
    <n v="59897"/>
  </r>
  <r>
    <s v="Ibrahim Traoré"/>
    <x v="11"/>
    <s v="Afrique de l'Ouest"/>
    <s v="Emeka Kamara"/>
    <x v="101"/>
    <x v="4"/>
    <n v="10"/>
    <n v="15000"/>
    <n v="154561"/>
    <n v="15456"/>
  </r>
  <r>
    <s v="Ibrahim Traoré"/>
    <x v="3"/>
    <s v="Afrique Centrale"/>
    <s v="Oumar Touré"/>
    <x v="238"/>
    <x v="0"/>
    <n v="3"/>
    <n v="18500"/>
    <n v="57305"/>
    <n v="6877"/>
  </r>
  <r>
    <s v="Ibrahim Traoré"/>
    <x v="1"/>
    <s v="Afrique de l'Ouest"/>
    <s v="Ngozi Nwosu"/>
    <x v="239"/>
    <x v="3"/>
    <n v="8"/>
    <n v="55000"/>
    <n v="478091"/>
    <n v="105180"/>
  </r>
  <r>
    <s v="Fatima Ndiaye"/>
    <x v="13"/>
    <s v="Afrique de l'Ouest"/>
    <s v="Emeka Touré"/>
    <x v="67"/>
    <x v="1"/>
    <n v="1"/>
    <n v="12500"/>
    <n v="12245"/>
    <n v="980"/>
  </r>
  <r>
    <s v="Amara Diallo"/>
    <x v="10"/>
    <s v="Afrique Centrale"/>
    <s v="Yaw Mensah"/>
    <x v="38"/>
    <x v="4"/>
    <n v="1"/>
    <n v="15000"/>
    <n v="14038"/>
    <n v="1404"/>
  </r>
  <r>
    <s v="Fatima Ndiaye"/>
    <x v="9"/>
    <s v="Afrique de l'Ouest"/>
    <s v="Awa Abubakar"/>
    <x v="240"/>
    <x v="3"/>
    <n v="5"/>
    <n v="55000"/>
    <n v="249514"/>
    <n v="54893"/>
  </r>
  <r>
    <s v="Ibrahim Traoré"/>
    <x v="4"/>
    <s v="Afrique de l'Est"/>
    <s v="Zainab Dembélé"/>
    <x v="241"/>
    <x v="0"/>
    <n v="7"/>
    <n v="18500"/>
    <n v="140252"/>
    <n v="16830"/>
  </r>
  <r>
    <s v="Aïcha Kouyaté"/>
    <x v="1"/>
    <s v="Afrique de l'Ouest"/>
    <s v="Adama Diop"/>
    <x v="209"/>
    <x v="0"/>
    <n v="3"/>
    <n v="18500"/>
    <n v="60445"/>
    <n v="7253"/>
  </r>
  <r>
    <s v="Aïcha Kouyaté"/>
    <x v="14"/>
    <s v="Afrique de l'Ouest"/>
    <s v="Seydou Nwosu"/>
    <x v="123"/>
    <x v="3"/>
    <n v="2"/>
    <n v="55000"/>
    <n v="116448"/>
    <n v="25619"/>
  </r>
  <r>
    <s v="Fatima Ndiaye"/>
    <x v="5"/>
    <s v="Afrique de l'Est"/>
    <s v="Emeka Cissé"/>
    <x v="68"/>
    <x v="4"/>
    <n v="4"/>
    <n v="15000"/>
    <n v="63802"/>
    <n v="6380"/>
  </r>
  <r>
    <s v="Amara Diallo"/>
    <x v="10"/>
    <s v="Afrique Centrale"/>
    <s v="Ngozi Cissé"/>
    <x v="115"/>
    <x v="1"/>
    <n v="6"/>
    <n v="12500"/>
    <n v="68749"/>
    <n v="5500"/>
  </r>
  <r>
    <s v="Ibrahim Traoré"/>
    <x v="0"/>
    <s v="Afrique de l'Ouest"/>
    <s v="Adama Abubakar"/>
    <x v="205"/>
    <x v="3"/>
    <n v="6"/>
    <n v="55000"/>
    <n v="309142"/>
    <n v="68011"/>
  </r>
  <r>
    <s v="Aïcha Kouyaté"/>
    <x v="0"/>
    <s v="Afrique de l'Ouest"/>
    <s v="Awa Mensah"/>
    <x v="126"/>
    <x v="1"/>
    <n v="8"/>
    <n v="12500"/>
    <n v="100845"/>
    <n v="8068"/>
  </r>
  <r>
    <s v="Aïcha Kouyaté"/>
    <x v="10"/>
    <s v="Afrique Centrale"/>
    <s v="Aminata Sawadogo"/>
    <x v="82"/>
    <x v="1"/>
    <n v="3"/>
    <n v="12500"/>
    <n v="35586"/>
    <n v="2847"/>
  </r>
  <r>
    <s v="Kofi Mensah"/>
    <x v="8"/>
    <s v="Afrique de l'Est"/>
    <s v="Kwame Diop"/>
    <x v="189"/>
    <x v="1"/>
    <n v="2"/>
    <n v="12500"/>
    <n v="24669"/>
    <n v="1974"/>
  </r>
  <r>
    <s v="Kofi Mensah"/>
    <x v="5"/>
    <s v="Afrique de l'Est"/>
    <s v="Zainab Sawadogo"/>
    <x v="242"/>
    <x v="0"/>
    <n v="5"/>
    <n v="18500"/>
    <n v="84215"/>
    <n v="10106"/>
  </r>
  <r>
    <s v="Fatima Ndiaye"/>
    <x v="7"/>
    <s v="Afrique Centrale"/>
    <s v="Emeka Diop"/>
    <x v="243"/>
    <x v="3"/>
    <n v="9"/>
    <n v="55000"/>
    <n v="482410"/>
    <n v="106130"/>
  </r>
  <r>
    <s v="Fatima Ndiaye"/>
    <x v="11"/>
    <s v="Afrique de l'Ouest"/>
    <s v="Oumar Keïta"/>
    <x v="180"/>
    <x v="2"/>
    <n v="9"/>
    <n v="45000"/>
    <n v="435945"/>
    <n v="78470"/>
  </r>
  <r>
    <s v="Fatima Ndiaye"/>
    <x v="13"/>
    <s v="Afrique de l'Ouest"/>
    <s v="Ngozi Touré"/>
    <x v="135"/>
    <x v="3"/>
    <n v="4"/>
    <n v="55000"/>
    <n v="228901"/>
    <n v="50358"/>
  </r>
  <r>
    <s v="Aïcha Kouyaté"/>
    <x v="5"/>
    <s v="Afrique de l'Est"/>
    <s v="Chidi Asante"/>
    <x v="34"/>
    <x v="4"/>
    <n v="4"/>
    <n v="15000"/>
    <n v="61003"/>
    <n v="6100"/>
  </r>
  <r>
    <s v="Amara Diallo"/>
    <x v="12"/>
    <s v="Afrique de l'Est"/>
    <s v="Seydou Sawadogo"/>
    <x v="112"/>
    <x v="4"/>
    <n v="2"/>
    <n v="15000"/>
    <n v="28005"/>
    <n v="2800"/>
  </r>
  <r>
    <s v="Aïcha Kouyaté"/>
    <x v="8"/>
    <s v="Afrique de l'Est"/>
    <s v="Adama Touré"/>
    <x v="0"/>
    <x v="3"/>
    <n v="9"/>
    <n v="55000"/>
    <n v="482806"/>
    <n v="106217"/>
  </r>
  <r>
    <s v="Aïcha Kouyaté"/>
    <x v="6"/>
    <s v="Afrique de l'Ouest"/>
    <s v="Kadiatou Dembélé"/>
    <x v="74"/>
    <x v="2"/>
    <n v="4"/>
    <n v="45000"/>
    <n v="171107"/>
    <n v="30799"/>
  </r>
  <r>
    <s v="Kofi Mensah"/>
    <x v="9"/>
    <s v="Afrique de l'Ouest"/>
    <s v="Mariama Dembélé"/>
    <x v="76"/>
    <x v="0"/>
    <n v="1"/>
    <n v="18500"/>
    <n v="18930"/>
    <n v="2272"/>
  </r>
  <r>
    <s v="Amara Diallo"/>
    <x v="6"/>
    <s v="Afrique de l'Ouest"/>
    <s v="Awa Diop"/>
    <x v="244"/>
    <x v="0"/>
    <n v="8"/>
    <n v="18500"/>
    <n v="146821"/>
    <n v="17619"/>
  </r>
  <r>
    <s v="Ibrahim Traoré"/>
    <x v="12"/>
    <s v="Afrique de l'Est"/>
    <s v="Emeka Dembélé"/>
    <x v="245"/>
    <x v="1"/>
    <n v="2"/>
    <n v="12500"/>
    <n v="23279"/>
    <n v="1862"/>
  </r>
  <r>
    <s v="Aïcha Kouyaté"/>
    <x v="11"/>
    <s v="Afrique de l'Ouest"/>
    <s v="Yaw Abubakar"/>
    <x v="124"/>
    <x v="4"/>
    <n v="10"/>
    <n v="15000"/>
    <n v="150677"/>
    <n v="15068"/>
  </r>
  <r>
    <s v="Amara Diallo"/>
    <x v="11"/>
    <s v="Afrique de l'Ouest"/>
    <s v="Moussa Kamara"/>
    <x v="246"/>
    <x v="0"/>
    <n v="8"/>
    <n v="18500"/>
    <n v="157428"/>
    <n v="18891"/>
  </r>
  <r>
    <s v="Aïcha Kouyaté"/>
    <x v="4"/>
    <s v="Afrique de l'Est"/>
    <s v="Emeka Ekwueme"/>
    <x v="207"/>
    <x v="4"/>
    <n v="4"/>
    <n v="15000"/>
    <n v="62897"/>
    <n v="6290"/>
  </r>
  <r>
    <s v="Ibrahim Traoré"/>
    <x v="6"/>
    <s v="Afrique de l'Ouest"/>
    <s v="Aminata Abubakar"/>
    <x v="247"/>
    <x v="2"/>
    <n v="3"/>
    <n v="45000"/>
    <n v="128205"/>
    <n v="23077"/>
  </r>
  <r>
    <s v="Ibrahim Traoré"/>
    <x v="1"/>
    <s v="Afrique de l'Ouest"/>
    <s v="Zainab Coulibaly"/>
    <x v="248"/>
    <x v="2"/>
    <n v="2"/>
    <n v="45000"/>
    <n v="96034"/>
    <n v="17286"/>
  </r>
  <r>
    <s v="Ibrahim Traoré"/>
    <x v="1"/>
    <s v="Afrique de l'Ouest"/>
    <s v="Awa Touré"/>
    <x v="244"/>
    <x v="1"/>
    <n v="6"/>
    <n v="12500"/>
    <n v="72770"/>
    <n v="5822"/>
  </r>
  <r>
    <s v="Aïcha Kouyaté"/>
    <x v="14"/>
    <s v="Afrique de l'Ouest"/>
    <s v="Oumar Kamara"/>
    <x v="174"/>
    <x v="2"/>
    <n v="5"/>
    <n v="45000"/>
    <n v="209440"/>
    <n v="37699"/>
  </r>
  <r>
    <s v="Ibrahim Traoré"/>
    <x v="3"/>
    <s v="Afrique Centrale"/>
    <s v="Kadiatou Sawadogo"/>
    <x v="104"/>
    <x v="3"/>
    <n v="7"/>
    <n v="55000"/>
    <n v="414733"/>
    <n v="91241"/>
  </r>
  <r>
    <s v="Fatima Ndiaye"/>
    <x v="5"/>
    <s v="Afrique de l'Est"/>
    <s v="Aminata Diop"/>
    <x v="211"/>
    <x v="4"/>
    <n v="7"/>
    <n v="15000"/>
    <n v="94923"/>
    <n v="9492"/>
  </r>
  <r>
    <s v="Aïcha Kouyaté"/>
    <x v="13"/>
    <s v="Afrique de l'Ouest"/>
    <s v="Chioma Coulibaly"/>
    <x v="249"/>
    <x v="1"/>
    <n v="8"/>
    <n v="12500"/>
    <n v="108213"/>
    <n v="8657"/>
  </r>
  <r>
    <s v="Aïcha Kouyaté"/>
    <x v="9"/>
    <s v="Afrique de l'Ouest"/>
    <s v="Kwame Bah"/>
    <x v="9"/>
    <x v="2"/>
    <n v="5"/>
    <n v="45000"/>
    <n v="218909"/>
    <n v="39404"/>
  </r>
  <r>
    <s v="Ibrahim Traoré"/>
    <x v="6"/>
    <s v="Afrique de l'Ouest"/>
    <s v="Zainab Coulibaly"/>
    <x v="27"/>
    <x v="4"/>
    <n v="10"/>
    <n v="15000"/>
    <n v="139834"/>
    <n v="13983"/>
  </r>
  <r>
    <s v="Aïcha Kouyaté"/>
    <x v="0"/>
    <s v="Afrique de l'Ouest"/>
    <s v="Chioma Diop"/>
    <x v="176"/>
    <x v="1"/>
    <n v="10"/>
    <n v="12500"/>
    <n v="133887"/>
    <n v="10711"/>
  </r>
  <r>
    <s v="Kofi Mensah"/>
    <x v="7"/>
    <s v="Afrique Centrale"/>
    <s v="Mariama Okonkwo"/>
    <x v="133"/>
    <x v="2"/>
    <n v="7"/>
    <n v="45000"/>
    <n v="324924"/>
    <n v="58486"/>
  </r>
  <r>
    <s v="Fatima Ndiaye"/>
    <x v="13"/>
    <s v="Afrique de l'Ouest"/>
    <s v="Ngozi Coulibaly"/>
    <x v="250"/>
    <x v="3"/>
    <n v="5"/>
    <n v="55000"/>
    <n v="288630"/>
    <n v="63499"/>
  </r>
  <r>
    <s v="Kofi Mensah"/>
    <x v="9"/>
    <s v="Afrique de l'Ouest"/>
    <s v="Zainab Abubakar"/>
    <x v="21"/>
    <x v="4"/>
    <n v="10"/>
    <n v="15000"/>
    <n v="155690"/>
    <n v="15569"/>
  </r>
  <r>
    <s v="Amara Diallo"/>
    <x v="1"/>
    <s v="Afrique de l'Ouest"/>
    <s v="Chioma Asante"/>
    <x v="242"/>
    <x v="2"/>
    <n v="10"/>
    <n v="45000"/>
    <n v="438096"/>
    <n v="78857"/>
  </r>
  <r>
    <s v="Aïcha Kouyaté"/>
    <x v="11"/>
    <s v="Afrique de l'Ouest"/>
    <s v="Awa Coulibaly"/>
    <x v="49"/>
    <x v="4"/>
    <n v="6"/>
    <n v="15000"/>
    <n v="92207"/>
    <n v="9221"/>
  </r>
  <r>
    <s v="Aïcha Kouyaté"/>
    <x v="1"/>
    <s v="Afrique de l'Ouest"/>
    <s v="Awa Kamara"/>
    <x v="166"/>
    <x v="1"/>
    <n v="4"/>
    <n v="12500"/>
    <n v="46771"/>
    <n v="3742"/>
  </r>
  <r>
    <s v="Ibrahim Traoré"/>
    <x v="9"/>
    <s v="Afrique de l'Ouest"/>
    <s v="Awa Cissé"/>
    <x v="45"/>
    <x v="2"/>
    <n v="6"/>
    <n v="45000"/>
    <n v="243898"/>
    <n v="43902"/>
  </r>
  <r>
    <s v="Aïcha Kouyaté"/>
    <x v="12"/>
    <s v="Afrique de l'Est"/>
    <s v="Chidi Bah"/>
    <x v="251"/>
    <x v="2"/>
    <n v="3"/>
    <n v="45000"/>
    <n v="125189"/>
    <n v="22534"/>
  </r>
  <r>
    <s v="Kofi Mensah"/>
    <x v="5"/>
    <s v="Afrique de l'Est"/>
    <s v="Kadiatou Okonkwo"/>
    <x v="244"/>
    <x v="4"/>
    <n v="8"/>
    <n v="15000"/>
    <n v="130641"/>
    <n v="13064"/>
  </r>
  <r>
    <s v="Ibrahim Traoré"/>
    <x v="13"/>
    <s v="Afrique de l'Ouest"/>
    <s v="Yaw Dembélé"/>
    <x v="252"/>
    <x v="1"/>
    <n v="4"/>
    <n v="12500"/>
    <n v="52474"/>
    <n v="4198"/>
  </r>
  <r>
    <s v="Ibrahim Traoré"/>
    <x v="10"/>
    <s v="Afrique Centrale"/>
    <s v="Kwame Mensah"/>
    <x v="173"/>
    <x v="4"/>
    <n v="10"/>
    <n v="15000"/>
    <n v="163553"/>
    <n v="16355"/>
  </r>
  <r>
    <s v="Fatima Ndiaye"/>
    <x v="2"/>
    <s v="Afrique de l'Ouest"/>
    <s v="Seydou Touré"/>
    <x v="88"/>
    <x v="3"/>
    <n v="2"/>
    <n v="55000"/>
    <n v="102876"/>
    <n v="22633"/>
  </r>
  <r>
    <s v="Fatima Ndiaye"/>
    <x v="3"/>
    <s v="Afrique Centrale"/>
    <s v="Seydou Kamara"/>
    <x v="253"/>
    <x v="1"/>
    <n v="9"/>
    <n v="12500"/>
    <n v="107966"/>
    <n v="8637"/>
  </r>
  <r>
    <s v="Ibrahim Traoré"/>
    <x v="7"/>
    <s v="Afrique Centrale"/>
    <s v="Kadiatou Kamara"/>
    <x v="97"/>
    <x v="1"/>
    <n v="7"/>
    <n v="12500"/>
    <n v="88891"/>
    <n v="7111"/>
  </r>
  <r>
    <s v="Ibrahim Traoré"/>
    <x v="11"/>
    <s v="Afrique de l'Ouest"/>
    <s v="Chidi Sawadogo"/>
    <x v="157"/>
    <x v="1"/>
    <n v="9"/>
    <n v="12500"/>
    <n v="112153"/>
    <n v="8972"/>
  </r>
  <r>
    <s v="Kofi Mensah"/>
    <x v="3"/>
    <s v="Afrique Centrale"/>
    <s v="Aminata Abubakar"/>
    <x v="225"/>
    <x v="1"/>
    <n v="1"/>
    <n v="12500"/>
    <n v="11929"/>
    <n v="954"/>
  </r>
  <r>
    <s v="Fatima Ndiaye"/>
    <x v="4"/>
    <s v="Afrique de l'Est"/>
    <s v="Kadiatou Sawadogo"/>
    <x v="254"/>
    <x v="0"/>
    <n v="1"/>
    <n v="18500"/>
    <n v="17541"/>
    <n v="2105"/>
  </r>
  <r>
    <s v="Fatima Ndiaye"/>
    <x v="12"/>
    <s v="Afrique de l'Est"/>
    <s v="Aminata Okonkwo"/>
    <x v="203"/>
    <x v="3"/>
    <n v="3"/>
    <n v="55000"/>
    <n v="150444"/>
    <n v="33098"/>
  </r>
  <r>
    <s v="Ibrahim Traoré"/>
    <x v="9"/>
    <s v="Afrique de l'Ouest"/>
    <s v="Seydou Keïta"/>
    <x v="255"/>
    <x v="3"/>
    <n v="1"/>
    <n v="55000"/>
    <n v="50491"/>
    <n v="11108"/>
  </r>
  <r>
    <s v="Fatima Ndiaye"/>
    <x v="6"/>
    <s v="Afrique de l'Ouest"/>
    <s v="Chidi Ekwueme"/>
    <x v="127"/>
    <x v="4"/>
    <n v="2"/>
    <n v="15000"/>
    <n v="31196"/>
    <n v="3120"/>
  </r>
  <r>
    <s v="Amara Diallo"/>
    <x v="3"/>
    <s v="Afrique Centrale"/>
    <s v="Moussa Okonkwo"/>
    <x v="12"/>
    <x v="1"/>
    <n v="10"/>
    <n v="12500"/>
    <n v="113172"/>
    <n v="9054"/>
  </r>
  <r>
    <s v="Aïcha Kouyaté"/>
    <x v="4"/>
    <s v="Afrique de l'Est"/>
    <s v="Seydou Coulibaly"/>
    <x v="104"/>
    <x v="2"/>
    <n v="6"/>
    <n v="45000"/>
    <n v="266358"/>
    <n v="47944"/>
  </r>
  <r>
    <s v="Fatima Ndiaye"/>
    <x v="9"/>
    <s v="Afrique de l'Ouest"/>
    <s v="Moussa Mensah"/>
    <x v="79"/>
    <x v="1"/>
    <n v="10"/>
    <n v="12500"/>
    <n v="126061"/>
    <n v="10085"/>
  </r>
  <r>
    <s v="Aïcha Kouyaté"/>
    <x v="0"/>
    <s v="Afrique de l'Ouest"/>
    <s v="Awa Cissé"/>
    <x v="57"/>
    <x v="2"/>
    <n v="1"/>
    <n v="45000"/>
    <n v="45120"/>
    <n v="8122"/>
  </r>
  <r>
    <s v="Kofi Mensah"/>
    <x v="7"/>
    <s v="Afrique Centrale"/>
    <s v="Kwame Kamara"/>
    <x v="249"/>
    <x v="0"/>
    <n v="9"/>
    <n v="18500"/>
    <n v="181434"/>
    <n v="21772"/>
  </r>
  <r>
    <s v="Aïcha Kouyaté"/>
    <x v="2"/>
    <s v="Afrique de l'Ouest"/>
    <s v="Ngozi Cissé"/>
    <x v="256"/>
    <x v="4"/>
    <n v="1"/>
    <n v="15000"/>
    <n v="15352"/>
    <n v="1535"/>
  </r>
  <r>
    <s v="Fatima Ndiaye"/>
    <x v="10"/>
    <s v="Afrique Centrale"/>
    <s v="Emeka Asante"/>
    <x v="38"/>
    <x v="4"/>
    <n v="5"/>
    <n v="15000"/>
    <n v="68181"/>
    <n v="6818"/>
  </r>
  <r>
    <s v="Fatima Ndiaye"/>
    <x v="14"/>
    <s v="Afrique de l'Ouest"/>
    <s v="Kwame Keïta"/>
    <x v="257"/>
    <x v="0"/>
    <n v="1"/>
    <n v="18500"/>
    <n v="18274"/>
    <n v="2193"/>
  </r>
  <r>
    <s v="Kofi Mensah"/>
    <x v="0"/>
    <s v="Afrique de l'Ouest"/>
    <s v="Chioma Bah"/>
    <x v="258"/>
    <x v="1"/>
    <n v="3"/>
    <n v="12500"/>
    <n v="35985"/>
    <n v="2879"/>
  </r>
  <r>
    <s v="Fatima Ndiaye"/>
    <x v="0"/>
    <s v="Afrique de l'Ouest"/>
    <s v="Kwame Dembélé"/>
    <x v="65"/>
    <x v="3"/>
    <n v="3"/>
    <n v="55000"/>
    <n v="178758"/>
    <n v="39327"/>
  </r>
  <r>
    <s v="Fatima Ndiaye"/>
    <x v="11"/>
    <s v="Afrique de l'Ouest"/>
    <s v="Mariama Asante"/>
    <x v="259"/>
    <x v="2"/>
    <n v="3"/>
    <n v="45000"/>
    <n v="135587"/>
    <n v="24406"/>
  </r>
  <r>
    <s v="Fatima Ndiaye"/>
    <x v="12"/>
    <s v="Afrique de l'Est"/>
    <s v="Awa Asante"/>
    <x v="68"/>
    <x v="2"/>
    <n v="6"/>
    <n v="45000"/>
    <n v="253006"/>
    <n v="45541"/>
  </r>
  <r>
    <s v="Ibrahim Traoré"/>
    <x v="4"/>
    <s v="Afrique de l'Est"/>
    <s v="Chidi Cissé"/>
    <x v="159"/>
    <x v="0"/>
    <n v="2"/>
    <n v="18500"/>
    <n v="36569"/>
    <n v="4388"/>
  </r>
  <r>
    <s v="Fatima Ndiaye"/>
    <x v="0"/>
    <s v="Afrique de l'Ouest"/>
    <s v="Moussa Touré"/>
    <x v="193"/>
    <x v="1"/>
    <n v="3"/>
    <n v="12500"/>
    <n v="39978"/>
    <n v="3198"/>
  </r>
  <r>
    <s v="Kofi Mensah"/>
    <x v="10"/>
    <s v="Afrique Centrale"/>
    <s v="Mariama Cissé"/>
    <x v="99"/>
    <x v="2"/>
    <n v="2"/>
    <n v="45000"/>
    <n v="98566"/>
    <n v="17742"/>
  </r>
  <r>
    <s v="Kofi Mensah"/>
    <x v="14"/>
    <s v="Afrique de l'Ouest"/>
    <s v="Yaw Mensah"/>
    <x v="98"/>
    <x v="2"/>
    <n v="4"/>
    <n v="45000"/>
    <n v="185992"/>
    <n v="33479"/>
  </r>
  <r>
    <s v="Fatima Ndiaye"/>
    <x v="4"/>
    <s v="Afrique de l'Est"/>
    <s v="Aminata Kamara"/>
    <x v="150"/>
    <x v="2"/>
    <n v="9"/>
    <n v="45000"/>
    <n v="366366"/>
    <n v="65946"/>
  </r>
  <r>
    <s v="Amara Diallo"/>
    <x v="9"/>
    <s v="Afrique de l'Ouest"/>
    <s v="Oumar Bah"/>
    <x v="260"/>
    <x v="4"/>
    <n v="10"/>
    <n v="15000"/>
    <n v="141771"/>
    <n v="14177"/>
  </r>
  <r>
    <s v="Ibrahim Traoré"/>
    <x v="11"/>
    <s v="Afrique de l'Ouest"/>
    <s v="Zainab Touré"/>
    <x v="261"/>
    <x v="0"/>
    <n v="6"/>
    <n v="18500"/>
    <n v="119025"/>
    <n v="14283"/>
  </r>
  <r>
    <s v="Amara Diallo"/>
    <x v="12"/>
    <s v="Afrique de l'Est"/>
    <s v="Kadiatou Abubakar"/>
    <x v="262"/>
    <x v="0"/>
    <n v="3"/>
    <n v="18500"/>
    <n v="50439"/>
    <n v="6053"/>
  </r>
  <r>
    <s v="Fatima Ndiaye"/>
    <x v="8"/>
    <s v="Afrique de l'Est"/>
    <s v="Chioma Mensah"/>
    <x v="263"/>
    <x v="3"/>
    <n v="2"/>
    <n v="55000"/>
    <n v="113640"/>
    <n v="25001"/>
  </r>
  <r>
    <s v="Ibrahim Traoré"/>
    <x v="0"/>
    <s v="Afrique de l'Ouest"/>
    <s v="Chioma Ekwueme"/>
    <x v="61"/>
    <x v="1"/>
    <n v="6"/>
    <n v="12500"/>
    <n v="74299"/>
    <n v="5944"/>
  </r>
  <r>
    <s v="Amara Diallo"/>
    <x v="2"/>
    <s v="Afrique de l'Ouest"/>
    <s v="Ngozi Abubakar"/>
    <x v="264"/>
    <x v="3"/>
    <n v="1"/>
    <n v="55000"/>
    <n v="60152"/>
    <n v="13233"/>
  </r>
  <r>
    <s v="Fatima Ndiaye"/>
    <x v="13"/>
    <s v="Afrique de l'Ouest"/>
    <s v="Oumar Asante"/>
    <x v="255"/>
    <x v="4"/>
    <n v="7"/>
    <n v="15000"/>
    <n v="102632"/>
    <n v="10263"/>
  </r>
  <r>
    <s v="Fatima Ndiaye"/>
    <x v="14"/>
    <s v="Afrique de l'Ouest"/>
    <s v="Kadiatou Mensah"/>
    <x v="265"/>
    <x v="2"/>
    <n v="10"/>
    <n v="45000"/>
    <n v="420715"/>
    <n v="75729"/>
  </r>
  <r>
    <s v="Fatima Ndiaye"/>
    <x v="0"/>
    <s v="Afrique de l'Ouest"/>
    <s v="Mariama Diop"/>
    <x v="127"/>
    <x v="4"/>
    <n v="7"/>
    <n v="15000"/>
    <n v="110741"/>
    <n v="11074"/>
  </r>
  <r>
    <s v="Ibrahim Traoré"/>
    <x v="8"/>
    <s v="Afrique de l'Est"/>
    <s v="Seydou Cissé"/>
    <x v="108"/>
    <x v="4"/>
    <n v="4"/>
    <n v="15000"/>
    <n v="57448"/>
    <n v="5745"/>
  </r>
  <r>
    <s v="Amara Diallo"/>
    <x v="7"/>
    <s v="Afrique Centrale"/>
    <s v="Oumar Kamara"/>
    <x v="243"/>
    <x v="1"/>
    <n v="3"/>
    <n v="12500"/>
    <n v="37553"/>
    <n v="3004"/>
  </r>
  <r>
    <s v="Fatima Ndiaye"/>
    <x v="1"/>
    <s v="Afrique de l'Ouest"/>
    <s v="Adama Asante"/>
    <x v="176"/>
    <x v="4"/>
    <n v="8"/>
    <n v="15000"/>
    <n v="126919"/>
    <n v="12692"/>
  </r>
  <r>
    <s v="Amara Diallo"/>
    <x v="3"/>
    <s v="Afrique Centrale"/>
    <s v="Mariama Touré"/>
    <x v="104"/>
    <x v="4"/>
    <n v="9"/>
    <n v="15000"/>
    <n v="122038"/>
    <n v="12204"/>
  </r>
  <r>
    <s v="Ibrahim Traoré"/>
    <x v="2"/>
    <s v="Afrique de l'Ouest"/>
    <s v="Kwame Diop"/>
    <x v="162"/>
    <x v="4"/>
    <n v="7"/>
    <n v="15000"/>
    <n v="104543"/>
    <n v="10454"/>
  </r>
  <r>
    <s v="Kofi Mensah"/>
    <x v="11"/>
    <s v="Afrique de l'Ouest"/>
    <s v="Chioma Keïta"/>
    <x v="223"/>
    <x v="4"/>
    <n v="9"/>
    <n v="15000"/>
    <n v="124688"/>
    <n v="12469"/>
  </r>
  <r>
    <s v="Amara Diallo"/>
    <x v="13"/>
    <s v="Afrique de l'Ouest"/>
    <s v="Kadiatou Asante"/>
    <x v="73"/>
    <x v="3"/>
    <n v="10"/>
    <n v="55000"/>
    <n v="583352"/>
    <n v="128337"/>
  </r>
  <r>
    <s v="Fatima Ndiaye"/>
    <x v="12"/>
    <s v="Afrique de l'Est"/>
    <s v="Kadiatou Nwosu"/>
    <x v="151"/>
    <x v="2"/>
    <n v="1"/>
    <n v="45000"/>
    <n v="46140"/>
    <n v="8305"/>
  </r>
  <r>
    <s v="Aïcha Kouyaté"/>
    <x v="6"/>
    <s v="Afrique de l'Ouest"/>
    <s v="Oumar Dembélé"/>
    <x v="227"/>
    <x v="3"/>
    <n v="8"/>
    <n v="55000"/>
    <n v="456253"/>
    <n v="100376"/>
  </r>
  <r>
    <s v="Amara Diallo"/>
    <x v="3"/>
    <s v="Afrique Centrale"/>
    <s v="Chioma Asante"/>
    <x v="69"/>
    <x v="1"/>
    <n v="4"/>
    <n v="12500"/>
    <n v="51863"/>
    <n v="4149"/>
  </r>
  <r>
    <s v="Fatima Ndiaye"/>
    <x v="9"/>
    <s v="Afrique de l'Ouest"/>
    <s v="Moussa Nwosu"/>
    <x v="143"/>
    <x v="2"/>
    <n v="4"/>
    <n v="45000"/>
    <n v="187923"/>
    <n v="33826"/>
  </r>
  <r>
    <s v="Kofi Mensah"/>
    <x v="7"/>
    <s v="Afrique Centrale"/>
    <s v="Awa Diop"/>
    <x v="5"/>
    <x v="0"/>
    <n v="3"/>
    <n v="18500"/>
    <n v="53604"/>
    <n v="6432"/>
  </r>
  <r>
    <s v="Amara Diallo"/>
    <x v="4"/>
    <s v="Afrique de l'Est"/>
    <s v="Yaw Cissé"/>
    <x v="266"/>
    <x v="0"/>
    <n v="10"/>
    <n v="18500"/>
    <n v="198790"/>
    <n v="23855"/>
  </r>
  <r>
    <s v="Amara Diallo"/>
    <x v="13"/>
    <s v="Afrique de l'Ouest"/>
    <s v="Oumar Dembélé"/>
    <x v="260"/>
    <x v="3"/>
    <n v="8"/>
    <n v="55000"/>
    <n v="417750"/>
    <n v="91905"/>
  </r>
  <r>
    <s v="Fatima Ndiaye"/>
    <x v="0"/>
    <s v="Afrique de l'Ouest"/>
    <s v="Aminata Dembélé"/>
    <x v="0"/>
    <x v="1"/>
    <n v="7"/>
    <n v="12500"/>
    <n v="87736"/>
    <n v="7019"/>
  </r>
  <r>
    <s v="Kofi Mensah"/>
    <x v="10"/>
    <s v="Afrique Centrale"/>
    <s v="Yaw Mensah"/>
    <x v="143"/>
    <x v="4"/>
    <n v="7"/>
    <n v="15000"/>
    <n v="100705"/>
    <n v="10070"/>
  </r>
  <r>
    <s v="Amara Diallo"/>
    <x v="7"/>
    <s v="Afrique Centrale"/>
    <s v="Kadiatou Mensah"/>
    <x v="217"/>
    <x v="1"/>
    <n v="2"/>
    <n v="12500"/>
    <n v="24495"/>
    <n v="1960"/>
  </r>
  <r>
    <s v="Aïcha Kouyaté"/>
    <x v="11"/>
    <s v="Afrique de l'Ouest"/>
    <s v="Moussa Nwosu"/>
    <x v="206"/>
    <x v="2"/>
    <n v="8"/>
    <n v="45000"/>
    <n v="333600"/>
    <n v="60048"/>
  </r>
  <r>
    <s v="Fatima Ndiaye"/>
    <x v="12"/>
    <s v="Afrique de l'Est"/>
    <s v="Kadiatou Diop"/>
    <x v="158"/>
    <x v="0"/>
    <n v="4"/>
    <n v="18500"/>
    <n v="74537"/>
    <n v="8944"/>
  </r>
  <r>
    <s v="Amara Diallo"/>
    <x v="11"/>
    <s v="Afrique de l'Ouest"/>
    <s v="Yaw Touré"/>
    <x v="234"/>
    <x v="3"/>
    <n v="7"/>
    <n v="55000"/>
    <n v="377232"/>
    <n v="82991"/>
  </r>
  <r>
    <s v="Kofi Mensah"/>
    <x v="7"/>
    <s v="Afrique Centrale"/>
    <s v="Adama Okonkwo"/>
    <x v="45"/>
    <x v="1"/>
    <n v="2"/>
    <n v="12500"/>
    <n v="26821"/>
    <n v="2146"/>
  </r>
  <r>
    <s v="Fatima Ndiaye"/>
    <x v="2"/>
    <s v="Afrique de l'Ouest"/>
    <s v="Zainab Nwosu"/>
    <x v="151"/>
    <x v="2"/>
    <n v="1"/>
    <n v="45000"/>
    <n v="48109"/>
    <n v="8660"/>
  </r>
  <r>
    <s v="Amara Diallo"/>
    <x v="1"/>
    <s v="Afrique de l'Ouest"/>
    <s v="Yaw Cissé"/>
    <x v="213"/>
    <x v="4"/>
    <n v="2"/>
    <n v="15000"/>
    <n v="28740"/>
    <n v="2874"/>
  </r>
  <r>
    <s v="Amara Diallo"/>
    <x v="8"/>
    <s v="Afrique de l'Est"/>
    <s v="Oumar Abubakar"/>
    <x v="143"/>
    <x v="3"/>
    <n v="8"/>
    <n v="55000"/>
    <n v="445265"/>
    <n v="97958"/>
  </r>
  <r>
    <s v="Ibrahim Traoré"/>
    <x v="7"/>
    <s v="Afrique Centrale"/>
    <s v="Oumar Ekwueme"/>
    <x v="267"/>
    <x v="4"/>
    <n v="3"/>
    <n v="15000"/>
    <n v="43731"/>
    <n v="4373"/>
  </r>
  <r>
    <s v="Kofi Mensah"/>
    <x v="10"/>
    <s v="Afrique Centrale"/>
    <s v="Chidi Coulibaly"/>
    <x v="84"/>
    <x v="0"/>
    <n v="3"/>
    <n v="18500"/>
    <n v="59024"/>
    <n v="7083"/>
  </r>
  <r>
    <s v="Ibrahim Traoré"/>
    <x v="0"/>
    <s v="Afrique de l'Ouest"/>
    <s v="Mariama Asante"/>
    <x v="266"/>
    <x v="4"/>
    <n v="4"/>
    <n v="15000"/>
    <n v="60030"/>
    <n v="6003"/>
  </r>
  <r>
    <s v="Ibrahim Traoré"/>
    <x v="8"/>
    <s v="Afrique de l'Est"/>
    <s v="Adama Kamara"/>
    <x v="134"/>
    <x v="3"/>
    <n v="4"/>
    <n v="55000"/>
    <n v="214185"/>
    <n v="47121"/>
  </r>
  <r>
    <s v="Ibrahim Traoré"/>
    <x v="7"/>
    <s v="Afrique Centrale"/>
    <s v="Kadiatou Nwosu"/>
    <x v="95"/>
    <x v="1"/>
    <n v="3"/>
    <n v="12500"/>
    <n v="39521"/>
    <n v="3162"/>
  </r>
  <r>
    <s v="Kofi Mensah"/>
    <x v="1"/>
    <s v="Afrique de l'Ouest"/>
    <s v="Seydou Dembélé"/>
    <x v="268"/>
    <x v="1"/>
    <n v="1"/>
    <n v="12500"/>
    <n v="12863"/>
    <n v="1029"/>
  </r>
  <r>
    <s v="Fatima Ndiaye"/>
    <x v="7"/>
    <s v="Afrique Centrale"/>
    <s v="Yaw Ekwueme"/>
    <x v="217"/>
    <x v="3"/>
    <n v="8"/>
    <n v="55000"/>
    <n v="424801"/>
    <n v="93456"/>
  </r>
  <r>
    <s v="Kofi Mensah"/>
    <x v="7"/>
    <s v="Afrique Centrale"/>
    <s v="Yaw Sawadogo"/>
    <x v="17"/>
    <x v="4"/>
    <n v="1"/>
    <n v="15000"/>
    <n v="16302"/>
    <n v="1630"/>
  </r>
  <r>
    <s v="Fatima Ndiaye"/>
    <x v="3"/>
    <s v="Afrique Centrale"/>
    <s v="Moussa Okonkwo"/>
    <x v="195"/>
    <x v="2"/>
    <n v="5"/>
    <n v="45000"/>
    <n v="244364"/>
    <n v="43986"/>
  </r>
  <r>
    <s v="Ibrahim Traoré"/>
    <x v="3"/>
    <s v="Afrique Centrale"/>
    <s v="Chioma Mensah"/>
    <x v="156"/>
    <x v="4"/>
    <n v="7"/>
    <n v="15000"/>
    <n v="114120"/>
    <n v="11412"/>
  </r>
  <r>
    <s v="Aïcha Kouyaté"/>
    <x v="13"/>
    <s v="Afrique de l'Ouest"/>
    <s v="Mariama Bah"/>
    <x v="16"/>
    <x v="0"/>
    <n v="10"/>
    <n v="18500"/>
    <n v="179558"/>
    <n v="21547"/>
  </r>
  <r>
    <s v="Amara Diallo"/>
    <x v="12"/>
    <s v="Afrique de l'Est"/>
    <s v="Yaw Asante"/>
    <x v="9"/>
    <x v="0"/>
    <n v="7"/>
    <n v="18500"/>
    <n v="141864"/>
    <n v="17024"/>
  </r>
  <r>
    <s v="Amara Diallo"/>
    <x v="14"/>
    <s v="Afrique de l'Ouest"/>
    <s v="Zainab Dembélé"/>
    <x v="83"/>
    <x v="0"/>
    <n v="10"/>
    <n v="18500"/>
    <n v="169437"/>
    <n v="20332"/>
  </r>
  <r>
    <s v="Amara Diallo"/>
    <x v="0"/>
    <s v="Afrique de l'Ouest"/>
    <s v="Oumar Touré"/>
    <x v="155"/>
    <x v="0"/>
    <n v="6"/>
    <n v="18500"/>
    <n v="105346"/>
    <n v="12642"/>
  </r>
  <r>
    <s v="Kofi Mensah"/>
    <x v="11"/>
    <s v="Afrique de l'Ouest"/>
    <s v="Seydou Coulibaly"/>
    <x v="130"/>
    <x v="0"/>
    <n v="3"/>
    <n v="18500"/>
    <n v="59742"/>
    <n v="7169"/>
  </r>
  <r>
    <s v="Kofi Mensah"/>
    <x v="6"/>
    <s v="Afrique de l'Ouest"/>
    <s v="Awa Asante"/>
    <x v="269"/>
    <x v="4"/>
    <n v="5"/>
    <n v="15000"/>
    <n v="69739"/>
    <n v="6974"/>
  </r>
  <r>
    <s v="Aïcha Kouyaté"/>
    <x v="10"/>
    <s v="Afrique Centrale"/>
    <s v="Emeka Keïta"/>
    <x v="193"/>
    <x v="2"/>
    <n v="2"/>
    <n v="45000"/>
    <n v="83628"/>
    <n v="15053"/>
  </r>
  <r>
    <s v="Fatima Ndiaye"/>
    <x v="3"/>
    <s v="Afrique Centrale"/>
    <s v="Zainab Sawadogo"/>
    <x v="270"/>
    <x v="4"/>
    <n v="10"/>
    <n v="15000"/>
    <n v="153407"/>
    <n v="15341"/>
  </r>
  <r>
    <s v="Fatima Ndiaye"/>
    <x v="6"/>
    <s v="Afrique de l'Ouest"/>
    <s v="Kadiatou Bah"/>
    <x v="66"/>
    <x v="2"/>
    <n v="7"/>
    <n v="45000"/>
    <n v="344030"/>
    <n v="61925"/>
  </r>
  <r>
    <s v="Ibrahim Traoré"/>
    <x v="5"/>
    <s v="Afrique de l'Est"/>
    <s v="Oumar Abubakar"/>
    <x v="217"/>
    <x v="4"/>
    <n v="7"/>
    <n v="15000"/>
    <n v="108932"/>
    <n v="10893"/>
  </r>
  <r>
    <s v="Kofi Mensah"/>
    <x v="12"/>
    <s v="Afrique de l'Est"/>
    <s v="Adama Sawadogo"/>
    <x v="56"/>
    <x v="4"/>
    <n v="8"/>
    <n v="15000"/>
    <n v="115512"/>
    <n v="11551"/>
  </r>
  <r>
    <s v="Fatima Ndiaye"/>
    <x v="3"/>
    <s v="Afrique Centrale"/>
    <s v="Kadiatou Sawadogo"/>
    <x v="116"/>
    <x v="2"/>
    <n v="9"/>
    <n v="45000"/>
    <n v="392761"/>
    <n v="70697"/>
  </r>
  <r>
    <s v="Fatima Ndiaye"/>
    <x v="12"/>
    <s v="Afrique de l'Est"/>
    <s v="Awa Keïta"/>
    <x v="197"/>
    <x v="1"/>
    <n v="2"/>
    <n v="12500"/>
    <n v="25709"/>
    <n v="2057"/>
  </r>
  <r>
    <s v="Aïcha Kouyaté"/>
    <x v="14"/>
    <s v="Afrique de l'Ouest"/>
    <s v="Adama Dembélé"/>
    <x v="30"/>
    <x v="0"/>
    <n v="10"/>
    <n v="18500"/>
    <n v="173405"/>
    <n v="20809"/>
  </r>
  <r>
    <s v="Ibrahim Traoré"/>
    <x v="11"/>
    <s v="Afrique de l'Ouest"/>
    <s v="Chioma Ekwueme"/>
    <x v="271"/>
    <x v="3"/>
    <n v="3"/>
    <n v="55000"/>
    <n v="153263"/>
    <n v="33718"/>
  </r>
  <r>
    <s v="Ibrahim Traoré"/>
    <x v="1"/>
    <s v="Afrique de l'Ouest"/>
    <s v="Mariama Diop"/>
    <x v="272"/>
    <x v="2"/>
    <n v="4"/>
    <n v="45000"/>
    <n v="174095"/>
    <n v="31337"/>
  </r>
  <r>
    <s v="Fatima Ndiaye"/>
    <x v="6"/>
    <s v="Afrique de l'Ouest"/>
    <s v="Aminata Abubakar"/>
    <x v="57"/>
    <x v="3"/>
    <n v="6"/>
    <n v="55000"/>
    <n v="300305"/>
    <n v="66067"/>
  </r>
  <r>
    <s v="Aïcha Kouyaté"/>
    <x v="3"/>
    <s v="Afrique Centrale"/>
    <s v="Awa Nwosu"/>
    <x v="273"/>
    <x v="2"/>
    <n v="5"/>
    <n v="45000"/>
    <n v="211952"/>
    <n v="38151"/>
  </r>
  <r>
    <s v="Ibrahim Traoré"/>
    <x v="14"/>
    <s v="Afrique de l'Ouest"/>
    <s v="Kwame Coulibaly"/>
    <x v="260"/>
    <x v="3"/>
    <n v="4"/>
    <n v="55000"/>
    <n v="228281"/>
    <n v="50222"/>
  </r>
  <r>
    <s v="Aïcha Kouyaté"/>
    <x v="2"/>
    <s v="Afrique de l'Ouest"/>
    <s v="Kadiatou Ekwueme"/>
    <x v="233"/>
    <x v="3"/>
    <n v="3"/>
    <n v="55000"/>
    <n v="173041"/>
    <n v="38069"/>
  </r>
  <r>
    <s v="Amara Diallo"/>
    <x v="14"/>
    <s v="Afrique de l'Ouest"/>
    <s v="Kadiatou Cissé"/>
    <x v="219"/>
    <x v="3"/>
    <n v="3"/>
    <n v="55000"/>
    <n v="178081"/>
    <n v="39178"/>
  </r>
  <r>
    <s v="Kofi Mensah"/>
    <x v="12"/>
    <s v="Afrique de l'Est"/>
    <s v="Kadiatou Mensah"/>
    <x v="243"/>
    <x v="2"/>
    <n v="8"/>
    <n v="45000"/>
    <n v="330776"/>
    <n v="59540"/>
  </r>
  <r>
    <s v="Fatima Ndiaye"/>
    <x v="3"/>
    <s v="Afrique Centrale"/>
    <s v="Emeka Asante"/>
    <x v="14"/>
    <x v="1"/>
    <n v="7"/>
    <n v="12500"/>
    <n v="96156"/>
    <n v="7692"/>
  </r>
  <r>
    <s v="Aïcha Kouyaté"/>
    <x v="11"/>
    <s v="Afrique de l'Ouest"/>
    <s v="Emeka Sawadogo"/>
    <x v="274"/>
    <x v="0"/>
    <n v="1"/>
    <n v="18500"/>
    <n v="18973"/>
    <n v="2277"/>
  </r>
  <r>
    <s v="Fatima Ndiaye"/>
    <x v="2"/>
    <s v="Afrique de l'Ouest"/>
    <s v="Mariama Dembélé"/>
    <x v="275"/>
    <x v="1"/>
    <n v="8"/>
    <n v="12500"/>
    <n v="103904"/>
    <n v="8312"/>
  </r>
  <r>
    <s v="Kofi Mensah"/>
    <x v="10"/>
    <s v="Afrique Centrale"/>
    <s v="Yaw Coulibaly"/>
    <x v="29"/>
    <x v="3"/>
    <n v="1"/>
    <n v="55000"/>
    <n v="59416"/>
    <n v="13072"/>
  </r>
  <r>
    <s v="Kofi Mensah"/>
    <x v="3"/>
    <s v="Afrique Centrale"/>
    <s v="Chidi Nwosu"/>
    <x v="76"/>
    <x v="3"/>
    <n v="9"/>
    <n v="55000"/>
    <n v="488423"/>
    <n v="107453"/>
  </r>
  <r>
    <s v="Aïcha Kouyaté"/>
    <x v="6"/>
    <s v="Afrique de l'Ouest"/>
    <s v="Zainab Ekwueme"/>
    <x v="276"/>
    <x v="0"/>
    <n v="4"/>
    <n v="18500"/>
    <n v="72063"/>
    <n v="8648"/>
  </r>
  <r>
    <s v="Fatima Ndiaye"/>
    <x v="1"/>
    <s v="Afrique de l'Ouest"/>
    <s v="Moussa Okonkwo"/>
    <x v="44"/>
    <x v="2"/>
    <n v="7"/>
    <n v="45000"/>
    <n v="315796"/>
    <n v="56843"/>
  </r>
  <r>
    <s v="Kofi Mensah"/>
    <x v="6"/>
    <s v="Afrique de l'Ouest"/>
    <s v="Kwame Abubakar"/>
    <x v="108"/>
    <x v="3"/>
    <n v="1"/>
    <n v="55000"/>
    <n v="50889"/>
    <n v="11196"/>
  </r>
  <r>
    <s v="Ibrahim Traoré"/>
    <x v="2"/>
    <s v="Afrique de l'Ouest"/>
    <s v="Oumar Coulibaly"/>
    <x v="90"/>
    <x v="3"/>
    <n v="6"/>
    <n v="55000"/>
    <n v="323014"/>
    <n v="71063"/>
  </r>
  <r>
    <s v="Ibrahim Traoré"/>
    <x v="13"/>
    <s v="Afrique de l'Ouest"/>
    <s v="Seydou Asante"/>
    <x v="163"/>
    <x v="2"/>
    <n v="5"/>
    <n v="45000"/>
    <n v="232474"/>
    <n v="41845"/>
  </r>
  <r>
    <s v="Kofi Mensah"/>
    <x v="1"/>
    <s v="Afrique de l'Ouest"/>
    <s v="Chidi Mensah"/>
    <x v="277"/>
    <x v="4"/>
    <n v="3"/>
    <n v="15000"/>
    <n v="46929"/>
    <n v="4693"/>
  </r>
  <r>
    <s v="Kofi Mensah"/>
    <x v="5"/>
    <s v="Afrique de l'Est"/>
    <s v="Chioma Dembélé"/>
    <x v="61"/>
    <x v="0"/>
    <n v="3"/>
    <n v="18500"/>
    <n v="52591"/>
    <n v="6311"/>
  </r>
  <r>
    <s v="Aïcha Kouyaté"/>
    <x v="3"/>
    <s v="Afrique Centrale"/>
    <s v="Adama Coulibaly"/>
    <x v="253"/>
    <x v="1"/>
    <n v="7"/>
    <n v="12500"/>
    <n v="81339"/>
    <n v="6507"/>
  </r>
  <r>
    <s v="Amara Diallo"/>
    <x v="13"/>
    <s v="Afrique de l'Ouest"/>
    <s v="Kadiatou Okonkwo"/>
    <x v="114"/>
    <x v="3"/>
    <n v="6"/>
    <n v="55000"/>
    <n v="317564"/>
    <n v="69864"/>
  </r>
  <r>
    <s v="Ibrahim Traoré"/>
    <x v="3"/>
    <s v="Afrique Centrale"/>
    <s v="Oumar Ekwueme"/>
    <x v="278"/>
    <x v="0"/>
    <n v="4"/>
    <n v="18500"/>
    <n v="67596"/>
    <n v="8112"/>
  </r>
  <r>
    <s v="Kofi Mensah"/>
    <x v="6"/>
    <s v="Afrique de l'Ouest"/>
    <s v="Zainab Diop"/>
    <x v="172"/>
    <x v="0"/>
    <n v="1"/>
    <n v="18500"/>
    <n v="17424"/>
    <n v="2091"/>
  </r>
  <r>
    <s v="Aïcha Kouyaté"/>
    <x v="9"/>
    <s v="Afrique de l'Ouest"/>
    <s v="Zainab Bah"/>
    <x v="218"/>
    <x v="3"/>
    <n v="7"/>
    <n v="55000"/>
    <n v="419762"/>
    <n v="92348"/>
  </r>
  <r>
    <s v="Ibrahim Traoré"/>
    <x v="13"/>
    <s v="Afrique de l'Ouest"/>
    <s v="Moussa Abubakar"/>
    <x v="88"/>
    <x v="4"/>
    <n v="5"/>
    <n v="15000"/>
    <n v="80030"/>
    <n v="8003"/>
  </r>
  <r>
    <s v="Ibrahim Traoré"/>
    <x v="13"/>
    <s v="Afrique de l'Ouest"/>
    <s v="Kwame Nwosu"/>
    <x v="279"/>
    <x v="1"/>
    <n v="5"/>
    <n v="12500"/>
    <n v="57907"/>
    <n v="4633"/>
  </r>
  <r>
    <s v="Ibrahim Traoré"/>
    <x v="2"/>
    <s v="Afrique de l'Ouest"/>
    <s v="Zainab Touré"/>
    <x v="280"/>
    <x v="1"/>
    <n v="9"/>
    <n v="12500"/>
    <n v="119343"/>
    <n v="9547"/>
  </r>
  <r>
    <s v="Amara Diallo"/>
    <x v="2"/>
    <s v="Afrique de l'Ouest"/>
    <s v="Moussa Keïta"/>
    <x v="26"/>
    <x v="1"/>
    <n v="10"/>
    <n v="12500"/>
    <n v="123232"/>
    <n v="9859"/>
  </r>
  <r>
    <s v="Amara Diallo"/>
    <x v="5"/>
    <s v="Afrique de l'Est"/>
    <s v="Adama Cissé"/>
    <x v="114"/>
    <x v="0"/>
    <n v="1"/>
    <n v="18500"/>
    <n v="18350"/>
    <n v="2202"/>
  </r>
  <r>
    <s v="Amara Diallo"/>
    <x v="1"/>
    <s v="Afrique de l'Ouest"/>
    <s v="Yaw Touré"/>
    <x v="281"/>
    <x v="3"/>
    <n v="10"/>
    <n v="55000"/>
    <n v="541295"/>
    <n v="119085"/>
  </r>
  <r>
    <s v="Ibrahim Traoré"/>
    <x v="7"/>
    <s v="Afrique Centrale"/>
    <s v="Yaw Kamara"/>
    <x v="11"/>
    <x v="2"/>
    <n v="5"/>
    <n v="45000"/>
    <n v="238482"/>
    <n v="42927"/>
  </r>
  <r>
    <s v="Ibrahim Traoré"/>
    <x v="6"/>
    <s v="Afrique de l'Ouest"/>
    <s v="Zainab Kamara"/>
    <x v="282"/>
    <x v="0"/>
    <n v="1"/>
    <n v="18500"/>
    <n v="18832"/>
    <n v="2260"/>
  </r>
  <r>
    <s v="Aïcha Kouyaté"/>
    <x v="12"/>
    <s v="Afrique de l'Est"/>
    <s v="Chioma Okonkwo"/>
    <x v="108"/>
    <x v="0"/>
    <n v="8"/>
    <n v="18500"/>
    <n v="141384"/>
    <n v="16966"/>
  </r>
  <r>
    <s v="Aïcha Kouyaté"/>
    <x v="7"/>
    <s v="Afrique Centrale"/>
    <s v="Oumar Mensah"/>
    <x v="166"/>
    <x v="2"/>
    <n v="9"/>
    <n v="45000"/>
    <n v="414271"/>
    <n v="74569"/>
  </r>
  <r>
    <s v="Amara Diallo"/>
    <x v="9"/>
    <s v="Afrique de l'Ouest"/>
    <s v="Kwame Kamara"/>
    <x v="161"/>
    <x v="4"/>
    <n v="9"/>
    <n v="15000"/>
    <n v="128315"/>
    <n v="12832"/>
  </r>
  <r>
    <s v="Ibrahim Traoré"/>
    <x v="0"/>
    <s v="Afrique de l'Ouest"/>
    <s v="Kwame Kamara"/>
    <x v="41"/>
    <x v="0"/>
    <n v="1"/>
    <n v="18500"/>
    <n v="18216"/>
    <n v="2186"/>
  </r>
  <r>
    <s v="Kofi Mensah"/>
    <x v="8"/>
    <s v="Afrique de l'Est"/>
    <s v="Moussa Cissé"/>
    <x v="239"/>
    <x v="3"/>
    <n v="6"/>
    <n v="55000"/>
    <n v="315388"/>
    <n v="69385"/>
  </r>
  <r>
    <s v="Ibrahim Traoré"/>
    <x v="2"/>
    <s v="Afrique de l'Ouest"/>
    <s v="Adama Bah"/>
    <x v="103"/>
    <x v="1"/>
    <n v="3"/>
    <n v="12500"/>
    <n v="35234"/>
    <n v="2819"/>
  </r>
  <r>
    <s v="Aïcha Kouyaté"/>
    <x v="12"/>
    <s v="Afrique de l'Est"/>
    <s v="Yaw Nwosu"/>
    <x v="283"/>
    <x v="3"/>
    <n v="2"/>
    <n v="55000"/>
    <n v="104238"/>
    <n v="22932"/>
  </r>
  <r>
    <s v="Ibrahim Traoré"/>
    <x v="1"/>
    <s v="Afrique de l'Ouest"/>
    <s v="Chioma Okonkwo"/>
    <x v="100"/>
    <x v="2"/>
    <n v="8"/>
    <n v="45000"/>
    <n v="374877"/>
    <n v="67478"/>
  </r>
  <r>
    <s v="Amara Diallo"/>
    <x v="13"/>
    <s v="Afrique de l'Ouest"/>
    <s v="Mariama Dembélé"/>
    <x v="178"/>
    <x v="3"/>
    <n v="1"/>
    <n v="55000"/>
    <n v="59362"/>
    <n v="13060"/>
  </r>
  <r>
    <s v="Kofi Mensah"/>
    <x v="8"/>
    <s v="Afrique de l'Est"/>
    <s v="Zainab Cissé"/>
    <x v="284"/>
    <x v="4"/>
    <n v="2"/>
    <n v="15000"/>
    <n v="32462"/>
    <n v="3246"/>
  </r>
  <r>
    <s v="Amara Diallo"/>
    <x v="4"/>
    <s v="Afrique de l'Est"/>
    <s v="Seydou Abubakar"/>
    <x v="233"/>
    <x v="2"/>
    <n v="9"/>
    <n v="45000"/>
    <n v="423191"/>
    <n v="76174"/>
  </r>
  <r>
    <s v="Ibrahim Traoré"/>
    <x v="8"/>
    <s v="Afrique de l'Est"/>
    <s v="Aminata Mensah"/>
    <x v="259"/>
    <x v="0"/>
    <n v="1"/>
    <n v="18500"/>
    <n v="19124"/>
    <n v="2295"/>
  </r>
  <r>
    <s v="Amara Diallo"/>
    <x v="4"/>
    <s v="Afrique de l'Est"/>
    <s v="Oumar Touré"/>
    <x v="76"/>
    <x v="3"/>
    <n v="4"/>
    <n v="55000"/>
    <n v="200379"/>
    <n v="44083"/>
  </r>
  <r>
    <s v="Ibrahim Traoré"/>
    <x v="5"/>
    <s v="Afrique de l'Est"/>
    <s v="Kwame Diop"/>
    <x v="238"/>
    <x v="1"/>
    <n v="4"/>
    <n v="12500"/>
    <n v="48309"/>
    <n v="3865"/>
  </r>
  <r>
    <s v="Fatima Ndiaye"/>
    <x v="4"/>
    <s v="Afrique de l'Est"/>
    <s v="Chioma Okonkwo"/>
    <x v="191"/>
    <x v="3"/>
    <n v="3"/>
    <n v="55000"/>
    <n v="158811"/>
    <n v="34938"/>
  </r>
  <r>
    <s v="Fatima Ndiaye"/>
    <x v="14"/>
    <s v="Afrique de l'Ouest"/>
    <s v="Chidi Abubakar"/>
    <x v="151"/>
    <x v="2"/>
    <n v="4"/>
    <n v="45000"/>
    <n v="166838"/>
    <n v="30031"/>
  </r>
  <r>
    <s v="Ibrahim Traoré"/>
    <x v="4"/>
    <s v="Afrique de l'Est"/>
    <s v="Kwame Touré"/>
    <x v="215"/>
    <x v="0"/>
    <n v="9"/>
    <n v="18500"/>
    <n v="178256"/>
    <n v="21391"/>
  </r>
  <r>
    <s v="Ibrahim Traoré"/>
    <x v="7"/>
    <s v="Afrique Centrale"/>
    <s v="Emeka Dembélé"/>
    <x v="285"/>
    <x v="3"/>
    <n v="3"/>
    <n v="55000"/>
    <n v="172681"/>
    <n v="37990"/>
  </r>
  <r>
    <s v="Amara Diallo"/>
    <x v="11"/>
    <s v="Afrique de l'Ouest"/>
    <s v="Yaw Dembélé"/>
    <x v="112"/>
    <x v="0"/>
    <n v="5"/>
    <n v="18500"/>
    <n v="89585"/>
    <n v="10750"/>
  </r>
  <r>
    <s v="Aïcha Kouyaté"/>
    <x v="5"/>
    <s v="Afrique de l'Est"/>
    <s v="Emeka Mensah"/>
    <x v="70"/>
    <x v="4"/>
    <n v="9"/>
    <n v="15000"/>
    <n v="131168"/>
    <n v="13117"/>
  </r>
  <r>
    <s v="Fatima Ndiaye"/>
    <x v="7"/>
    <s v="Afrique Centrale"/>
    <s v="Chioma Cissé"/>
    <x v="70"/>
    <x v="4"/>
    <n v="4"/>
    <n v="15000"/>
    <n v="57911"/>
    <n v="5791"/>
  </r>
  <r>
    <s v="Aïcha Kouyaté"/>
    <x v="5"/>
    <s v="Afrique de l'Est"/>
    <s v="Moussa Abubakar"/>
    <x v="234"/>
    <x v="3"/>
    <n v="9"/>
    <n v="55000"/>
    <n v="452741"/>
    <n v="99603"/>
  </r>
  <r>
    <s v="Ibrahim Traoré"/>
    <x v="9"/>
    <s v="Afrique de l'Ouest"/>
    <s v="Seydou Sawadogo"/>
    <x v="45"/>
    <x v="1"/>
    <n v="10"/>
    <n v="12500"/>
    <n v="129510"/>
    <n v="10361"/>
  </r>
  <r>
    <s v="Fatima Ndiaye"/>
    <x v="6"/>
    <s v="Afrique de l'Ouest"/>
    <s v="Adama Kamara"/>
    <x v="286"/>
    <x v="3"/>
    <n v="7"/>
    <n v="55000"/>
    <n v="409417"/>
    <n v="90072"/>
  </r>
  <r>
    <s v="Aïcha Kouyaté"/>
    <x v="0"/>
    <s v="Afrique de l'Ouest"/>
    <s v="Emeka Sawadogo"/>
    <x v="204"/>
    <x v="2"/>
    <n v="8"/>
    <n v="45000"/>
    <n v="391894"/>
    <n v="70541"/>
  </r>
  <r>
    <s v="Ibrahim Traoré"/>
    <x v="12"/>
    <s v="Afrique de l'Est"/>
    <s v="Ngozi Sawadogo"/>
    <x v="287"/>
    <x v="4"/>
    <n v="1"/>
    <n v="15000"/>
    <n v="13982"/>
    <n v="1398"/>
  </r>
  <r>
    <s v="Ibrahim Traoré"/>
    <x v="14"/>
    <s v="Afrique de l'Ouest"/>
    <s v="Emeka Bah"/>
    <x v="200"/>
    <x v="2"/>
    <n v="8"/>
    <n v="45000"/>
    <n v="330340"/>
    <n v="59461"/>
  </r>
  <r>
    <s v="Amara Diallo"/>
    <x v="6"/>
    <s v="Afrique de l'Ouest"/>
    <s v="Awa Asante"/>
    <x v="229"/>
    <x v="3"/>
    <n v="3"/>
    <n v="55000"/>
    <n v="150299"/>
    <n v="33066"/>
  </r>
  <r>
    <s v="Aïcha Kouyaté"/>
    <x v="1"/>
    <s v="Afrique de l'Ouest"/>
    <s v="Awa Dembélé"/>
    <x v="280"/>
    <x v="3"/>
    <n v="9"/>
    <n v="55000"/>
    <n v="524898"/>
    <n v="115478"/>
  </r>
  <r>
    <s v="Fatima Ndiaye"/>
    <x v="3"/>
    <s v="Afrique Centrale"/>
    <s v="Mariama Coulibaly"/>
    <x v="101"/>
    <x v="2"/>
    <n v="4"/>
    <n v="45000"/>
    <n v="184519"/>
    <n v="33213"/>
  </r>
  <r>
    <s v="Ibrahim Traoré"/>
    <x v="11"/>
    <s v="Afrique de l'Ouest"/>
    <s v="Adama Nwosu"/>
    <x v="243"/>
    <x v="0"/>
    <n v="6"/>
    <n v="18500"/>
    <n v="108177"/>
    <n v="12981"/>
  </r>
  <r>
    <s v="Amara Diallo"/>
    <x v="3"/>
    <s v="Afrique Centrale"/>
    <s v="Aminata Mensah"/>
    <x v="120"/>
    <x v="4"/>
    <n v="6"/>
    <n v="15000"/>
    <n v="98159"/>
    <n v="9816"/>
  </r>
  <r>
    <s v="Amara Diallo"/>
    <x v="13"/>
    <s v="Afrique de l'Ouest"/>
    <s v="Oumar Asante"/>
    <x v="209"/>
    <x v="2"/>
    <n v="9"/>
    <n v="45000"/>
    <n v="367900"/>
    <n v="66222"/>
  </r>
  <r>
    <s v="Fatima Ndiaye"/>
    <x v="9"/>
    <s v="Afrique de l'Ouest"/>
    <s v="Kadiatou Coulibaly"/>
    <x v="288"/>
    <x v="4"/>
    <n v="7"/>
    <n v="15000"/>
    <n v="113706"/>
    <n v="11371"/>
  </r>
  <r>
    <s v="Fatima Ndiaye"/>
    <x v="4"/>
    <s v="Afrique de l'Est"/>
    <s v="Awa Kamara"/>
    <x v="3"/>
    <x v="4"/>
    <n v="6"/>
    <n v="15000"/>
    <n v="96911"/>
    <n v="9691"/>
  </r>
  <r>
    <s v="Fatima Ndiaye"/>
    <x v="10"/>
    <s v="Afrique Centrale"/>
    <s v="Awa Bah"/>
    <x v="20"/>
    <x v="2"/>
    <n v="6"/>
    <n v="45000"/>
    <n v="290146"/>
    <n v="52226"/>
  </r>
  <r>
    <s v="Aïcha Kouyaté"/>
    <x v="1"/>
    <s v="Afrique de l'Ouest"/>
    <s v="Aminata Bah"/>
    <x v="176"/>
    <x v="2"/>
    <n v="3"/>
    <n v="45000"/>
    <n v="148006"/>
    <n v="26641"/>
  </r>
  <r>
    <s v="Aïcha Kouyaté"/>
    <x v="8"/>
    <s v="Afrique de l'Est"/>
    <s v="Zainab Coulibaly"/>
    <x v="164"/>
    <x v="4"/>
    <n v="4"/>
    <n v="15000"/>
    <n v="61655"/>
    <n v="6166"/>
  </r>
  <r>
    <s v="Amara Diallo"/>
    <x v="13"/>
    <s v="Afrique de l'Ouest"/>
    <s v="Seydou Cissé"/>
    <x v="203"/>
    <x v="4"/>
    <n v="4"/>
    <n v="15000"/>
    <n v="54276"/>
    <n v="5428"/>
  </r>
  <r>
    <s v="Ibrahim Traoré"/>
    <x v="2"/>
    <s v="Afrique de l'Ouest"/>
    <s v="Kadiatou Cissé"/>
    <x v="97"/>
    <x v="2"/>
    <n v="2"/>
    <n v="45000"/>
    <n v="84473"/>
    <n v="15205"/>
  </r>
  <r>
    <s v="Ibrahim Traoré"/>
    <x v="6"/>
    <s v="Afrique de l'Ouest"/>
    <s v="Awa Touré"/>
    <x v="247"/>
    <x v="3"/>
    <n v="3"/>
    <n v="55000"/>
    <n v="176237"/>
    <n v="38772"/>
  </r>
  <r>
    <s v="Kofi Mensah"/>
    <x v="7"/>
    <s v="Afrique Centrale"/>
    <s v="Chioma Cissé"/>
    <x v="241"/>
    <x v="3"/>
    <n v="10"/>
    <n v="55000"/>
    <n v="594664"/>
    <n v="130826"/>
  </r>
  <r>
    <s v="Fatima Ndiaye"/>
    <x v="5"/>
    <s v="Afrique de l'Est"/>
    <s v="Kwame Okonkwo"/>
    <x v="3"/>
    <x v="4"/>
    <n v="2"/>
    <n v="15000"/>
    <n v="28063"/>
    <n v="2806"/>
  </r>
  <r>
    <s v="Aïcha Kouyaté"/>
    <x v="2"/>
    <s v="Afrique de l'Ouest"/>
    <s v="Chioma Okonkwo"/>
    <x v="143"/>
    <x v="4"/>
    <n v="6"/>
    <n v="15000"/>
    <n v="94968"/>
    <n v="9497"/>
  </r>
  <r>
    <s v="Fatima Ndiaye"/>
    <x v="7"/>
    <s v="Afrique Centrale"/>
    <s v="Emeka Dembélé"/>
    <x v="224"/>
    <x v="3"/>
    <n v="2"/>
    <n v="55000"/>
    <n v="116460"/>
    <n v="25621"/>
  </r>
  <r>
    <s v="Ibrahim Traoré"/>
    <x v="5"/>
    <s v="Afrique de l'Est"/>
    <s v="Aminata Asante"/>
    <x v="270"/>
    <x v="0"/>
    <n v="9"/>
    <n v="18500"/>
    <n v="159781"/>
    <n v="19174"/>
  </r>
  <r>
    <s v="Amara Diallo"/>
    <x v="14"/>
    <s v="Afrique de l'Ouest"/>
    <s v="Zainab Touré"/>
    <x v="240"/>
    <x v="4"/>
    <n v="1"/>
    <n v="15000"/>
    <n v="15673"/>
    <n v="1567"/>
  </r>
  <r>
    <s v="Kofi Mensah"/>
    <x v="12"/>
    <s v="Afrique de l'Est"/>
    <s v="Chioma Dembélé"/>
    <x v="260"/>
    <x v="4"/>
    <n v="6"/>
    <n v="15000"/>
    <n v="81967"/>
    <n v="8197"/>
  </r>
  <r>
    <s v="Fatima Ndiaye"/>
    <x v="7"/>
    <s v="Afrique Centrale"/>
    <s v="Chioma Dembélé"/>
    <x v="289"/>
    <x v="0"/>
    <n v="3"/>
    <n v="18500"/>
    <n v="54357"/>
    <n v="6523"/>
  </r>
  <r>
    <s v="Aïcha Kouyaté"/>
    <x v="4"/>
    <s v="Afrique de l'Est"/>
    <s v="Chidi Abubakar"/>
    <x v="110"/>
    <x v="1"/>
    <n v="4"/>
    <n v="12500"/>
    <n v="51351"/>
    <n v="4108"/>
  </r>
  <r>
    <s v="Fatima Ndiaye"/>
    <x v="14"/>
    <s v="Afrique de l'Ouest"/>
    <s v="Oumar Bah"/>
    <x v="222"/>
    <x v="1"/>
    <n v="7"/>
    <n v="12500"/>
    <n v="86782"/>
    <n v="6943"/>
  </r>
  <r>
    <s v="Kofi Mensah"/>
    <x v="10"/>
    <s v="Afrique Centrale"/>
    <s v="Seydou Ekwueme"/>
    <x v="252"/>
    <x v="3"/>
    <n v="1"/>
    <n v="55000"/>
    <n v="53470"/>
    <n v="11763"/>
  </r>
  <r>
    <s v="Amara Diallo"/>
    <x v="3"/>
    <s v="Afrique Centrale"/>
    <s v="Seydou Dembélé"/>
    <x v="195"/>
    <x v="0"/>
    <n v="9"/>
    <n v="18500"/>
    <n v="182603"/>
    <n v="21912"/>
  </r>
  <r>
    <s v="Fatima Ndiaye"/>
    <x v="11"/>
    <s v="Afrique de l'Ouest"/>
    <s v="Seydou Abubakar"/>
    <x v="290"/>
    <x v="1"/>
    <n v="3"/>
    <n v="12500"/>
    <n v="38906"/>
    <n v="3112"/>
  </r>
  <r>
    <s v="Kofi Mensah"/>
    <x v="4"/>
    <s v="Afrique de l'Est"/>
    <s v="Mariama Coulibaly"/>
    <x v="9"/>
    <x v="2"/>
    <n v="10"/>
    <n v="45000"/>
    <n v="438852"/>
    <n v="78993"/>
  </r>
  <r>
    <s v="Amara Diallo"/>
    <x v="3"/>
    <s v="Afrique Centrale"/>
    <s v="Aminata Nwosu"/>
    <x v="76"/>
    <x v="3"/>
    <n v="2"/>
    <n v="55000"/>
    <n v="112022"/>
    <n v="24645"/>
  </r>
  <r>
    <s v="Amara Diallo"/>
    <x v="2"/>
    <s v="Afrique de l'Ouest"/>
    <s v="Kwame Touré"/>
    <x v="291"/>
    <x v="3"/>
    <n v="6"/>
    <n v="55000"/>
    <n v="356269"/>
    <n v="78379"/>
  </r>
  <r>
    <s v="Fatima Ndiaye"/>
    <x v="0"/>
    <s v="Afrique de l'Ouest"/>
    <s v="Awa Sawadogo"/>
    <x v="77"/>
    <x v="0"/>
    <n v="2"/>
    <n v="18500"/>
    <n v="37226"/>
    <n v="4467"/>
  </r>
  <r>
    <s v="Amara Diallo"/>
    <x v="1"/>
    <s v="Afrique de l'Ouest"/>
    <s v="Adama Keïta"/>
    <x v="285"/>
    <x v="2"/>
    <n v="1"/>
    <n v="45000"/>
    <n v="48702"/>
    <n v="8766"/>
  </r>
  <r>
    <s v="Amara Diallo"/>
    <x v="4"/>
    <s v="Afrique de l'Est"/>
    <s v="Adama Nwosu"/>
    <x v="16"/>
    <x v="2"/>
    <n v="8"/>
    <n v="45000"/>
    <n v="383940"/>
    <n v="69109"/>
  </r>
  <r>
    <s v="Ibrahim Traoré"/>
    <x v="6"/>
    <s v="Afrique de l'Ouest"/>
    <s v="Mariama Nwosu"/>
    <x v="175"/>
    <x v="1"/>
    <n v="9"/>
    <n v="12500"/>
    <n v="107744"/>
    <n v="8620"/>
  </r>
  <r>
    <s v="Aïcha Kouyaté"/>
    <x v="11"/>
    <s v="Afrique de l'Ouest"/>
    <s v="Ngozi Mensah"/>
    <x v="180"/>
    <x v="4"/>
    <n v="5"/>
    <n v="15000"/>
    <n v="81166"/>
    <n v="8117"/>
  </r>
  <r>
    <s v="Aïcha Kouyaté"/>
    <x v="7"/>
    <s v="Afrique Centrale"/>
    <s v="Aminata Asante"/>
    <x v="167"/>
    <x v="4"/>
    <n v="3"/>
    <n v="15000"/>
    <n v="46236"/>
    <n v="4624"/>
  </r>
  <r>
    <s v="Aïcha Kouyaté"/>
    <x v="13"/>
    <s v="Afrique de l'Ouest"/>
    <s v="Seydou Ekwueme"/>
    <x v="279"/>
    <x v="4"/>
    <n v="2"/>
    <n v="15000"/>
    <n v="32205"/>
    <n v="3220"/>
  </r>
  <r>
    <s v="Aïcha Kouyaté"/>
    <x v="7"/>
    <s v="Afrique Centrale"/>
    <s v="Mariama Kamara"/>
    <x v="149"/>
    <x v="1"/>
    <n v="8"/>
    <n v="12500"/>
    <n v="93549"/>
    <n v="7484"/>
  </r>
  <r>
    <s v="Kofi Mensah"/>
    <x v="3"/>
    <s v="Afrique Centrale"/>
    <s v="Kadiatou Mensah"/>
    <x v="24"/>
    <x v="2"/>
    <n v="3"/>
    <n v="45000"/>
    <n v="139616"/>
    <n v="25131"/>
  </r>
  <r>
    <s v="Fatima Ndiaye"/>
    <x v="14"/>
    <s v="Afrique de l'Ouest"/>
    <s v="Chioma Ekwueme"/>
    <x v="146"/>
    <x v="4"/>
    <n v="7"/>
    <n v="15000"/>
    <n v="96544"/>
    <n v="9654"/>
  </r>
  <r>
    <s v="Fatima Ndiaye"/>
    <x v="0"/>
    <s v="Afrique de l'Ouest"/>
    <s v="Seydou Dembélé"/>
    <x v="237"/>
    <x v="1"/>
    <n v="5"/>
    <n v="12500"/>
    <n v="58778"/>
    <n v="4702"/>
  </r>
  <r>
    <s v="Aïcha Kouyaté"/>
    <x v="9"/>
    <s v="Afrique de l'Ouest"/>
    <s v="Zainab Kamara"/>
    <x v="292"/>
    <x v="3"/>
    <n v="8"/>
    <n v="55000"/>
    <n v="455739"/>
    <n v="100263"/>
  </r>
  <r>
    <s v="Kofi Mensah"/>
    <x v="2"/>
    <s v="Afrique de l'Ouest"/>
    <s v="Adama Dembélé"/>
    <x v="49"/>
    <x v="4"/>
    <n v="6"/>
    <n v="15000"/>
    <n v="97108"/>
    <n v="9711"/>
  </r>
  <r>
    <s v="Fatima Ndiaye"/>
    <x v="13"/>
    <s v="Afrique de l'Ouest"/>
    <s v="Yaw Touré"/>
    <x v="167"/>
    <x v="4"/>
    <n v="1"/>
    <n v="15000"/>
    <n v="15320"/>
    <n v="1532"/>
  </r>
  <r>
    <s v="Kofi Mensah"/>
    <x v="10"/>
    <s v="Afrique Centrale"/>
    <s v="Chidi Kamara"/>
    <x v="11"/>
    <x v="0"/>
    <n v="7"/>
    <n v="18500"/>
    <n v="136987"/>
    <n v="16438"/>
  </r>
  <r>
    <s v="Ibrahim Traoré"/>
    <x v="1"/>
    <s v="Afrique de l'Ouest"/>
    <s v="Oumar Diop"/>
    <x v="293"/>
    <x v="0"/>
    <n v="7"/>
    <n v="18500"/>
    <n v="136496"/>
    <n v="16380"/>
  </r>
  <r>
    <s v="Ibrahim Traoré"/>
    <x v="2"/>
    <s v="Afrique de l'Ouest"/>
    <s v="Oumar Cissé"/>
    <x v="66"/>
    <x v="4"/>
    <n v="1"/>
    <n v="15000"/>
    <n v="13539"/>
    <n v="1354"/>
  </r>
  <r>
    <s v="Amara Diallo"/>
    <x v="8"/>
    <s v="Afrique de l'Est"/>
    <s v="Moussa Keïta"/>
    <x v="294"/>
    <x v="3"/>
    <n v="3"/>
    <n v="55000"/>
    <n v="162128"/>
    <n v="35668"/>
  </r>
  <r>
    <s v="Aïcha Kouyaté"/>
    <x v="7"/>
    <s v="Afrique Centrale"/>
    <s v="Zainab Keïta"/>
    <x v="5"/>
    <x v="0"/>
    <n v="7"/>
    <n v="18500"/>
    <n v="141640"/>
    <n v="16997"/>
  </r>
  <r>
    <s v="Amara Diallo"/>
    <x v="4"/>
    <s v="Afrique de l'Est"/>
    <s v="Moussa Bah"/>
    <x v="178"/>
    <x v="2"/>
    <n v="3"/>
    <n v="45000"/>
    <n v="123174"/>
    <n v="22171"/>
  </r>
  <r>
    <s v="Fatima Ndiaye"/>
    <x v="9"/>
    <s v="Afrique de l'Ouest"/>
    <s v="Ngozi Asante"/>
    <x v="211"/>
    <x v="4"/>
    <n v="3"/>
    <n v="15000"/>
    <n v="41774"/>
    <n v="4177"/>
  </r>
  <r>
    <s v="Fatima Ndiaye"/>
    <x v="11"/>
    <s v="Afrique de l'Ouest"/>
    <s v="Zainab Touré"/>
    <x v="128"/>
    <x v="0"/>
    <n v="9"/>
    <n v="18500"/>
    <n v="182387"/>
    <n v="21886"/>
  </r>
  <r>
    <s v="Kofi Mensah"/>
    <x v="10"/>
    <s v="Afrique Centrale"/>
    <s v="Seydou Touré"/>
    <x v="135"/>
    <x v="3"/>
    <n v="2"/>
    <n v="55000"/>
    <n v="111626"/>
    <n v="24558"/>
  </r>
  <r>
    <s v="Ibrahim Traoré"/>
    <x v="7"/>
    <s v="Afrique Centrale"/>
    <s v="Mariama Okonkwo"/>
    <x v="270"/>
    <x v="2"/>
    <n v="4"/>
    <n v="45000"/>
    <n v="167677"/>
    <n v="30182"/>
  </r>
  <r>
    <s v="Amara Diallo"/>
    <x v="11"/>
    <s v="Afrique de l'Ouest"/>
    <s v="Yaw Kamara"/>
    <x v="295"/>
    <x v="3"/>
    <n v="5"/>
    <n v="55000"/>
    <n v="259388"/>
    <n v="57065"/>
  </r>
  <r>
    <s v="Amara Diallo"/>
    <x v="9"/>
    <s v="Afrique de l'Ouest"/>
    <s v="Kwame Diop"/>
    <x v="142"/>
    <x v="1"/>
    <n v="6"/>
    <n v="12500"/>
    <n v="72049"/>
    <n v="5764"/>
  </r>
  <r>
    <s v="Amara Diallo"/>
    <x v="0"/>
    <s v="Afrique de l'Ouest"/>
    <s v="Yaw Asante"/>
    <x v="292"/>
    <x v="3"/>
    <n v="8"/>
    <n v="55000"/>
    <n v="398594"/>
    <n v="87691"/>
  </r>
  <r>
    <s v="Fatima Ndiaye"/>
    <x v="0"/>
    <s v="Afrique de l'Ouest"/>
    <s v="Chioma Kamara"/>
    <x v="286"/>
    <x v="4"/>
    <n v="2"/>
    <n v="15000"/>
    <n v="28745"/>
    <n v="2874"/>
  </r>
  <r>
    <s v="Ibrahim Traoré"/>
    <x v="1"/>
    <s v="Afrique de l'Ouest"/>
    <s v="Moussa Mensah"/>
    <x v="236"/>
    <x v="4"/>
    <n v="4"/>
    <n v="15000"/>
    <n v="54086"/>
    <n v="5409"/>
  </r>
  <r>
    <s v="Aïcha Kouyaté"/>
    <x v="7"/>
    <s v="Afrique Centrale"/>
    <s v="Emeka Keïta"/>
    <x v="138"/>
    <x v="0"/>
    <n v="10"/>
    <n v="18500"/>
    <n v="175111"/>
    <n v="21013"/>
  </r>
  <r>
    <s v="Amara Diallo"/>
    <x v="6"/>
    <s v="Afrique de l'Ouest"/>
    <s v="Yaw Okonkwo"/>
    <x v="134"/>
    <x v="0"/>
    <n v="7"/>
    <n v="18500"/>
    <n v="119320"/>
    <n v="14318"/>
  </r>
  <r>
    <s v="Amara Diallo"/>
    <x v="7"/>
    <s v="Afrique Centrale"/>
    <s v="Chidi Nwosu"/>
    <x v="105"/>
    <x v="2"/>
    <n v="7"/>
    <n v="45000"/>
    <n v="326153"/>
    <n v="58708"/>
  </r>
  <r>
    <s v="Kofi Mensah"/>
    <x v="11"/>
    <s v="Afrique de l'Ouest"/>
    <s v="Ngozi Asante"/>
    <x v="70"/>
    <x v="0"/>
    <n v="9"/>
    <n v="18500"/>
    <n v="175174"/>
    <n v="21021"/>
  </r>
  <r>
    <s v="Aïcha Kouyaté"/>
    <x v="5"/>
    <s v="Afrique de l'Est"/>
    <s v="Adama Dembélé"/>
    <x v="212"/>
    <x v="2"/>
    <n v="7"/>
    <n v="45000"/>
    <n v="312511"/>
    <n v="56252"/>
  </r>
  <r>
    <s v="Ibrahim Traoré"/>
    <x v="11"/>
    <s v="Afrique de l'Ouest"/>
    <s v="Zainab Keïta"/>
    <x v="129"/>
    <x v="0"/>
    <n v="7"/>
    <n v="18500"/>
    <n v="121487"/>
    <n v="14578"/>
  </r>
  <r>
    <s v="Kofi Mensah"/>
    <x v="8"/>
    <s v="Afrique de l'Est"/>
    <s v="Oumar Keïta"/>
    <x v="131"/>
    <x v="3"/>
    <n v="2"/>
    <n v="55000"/>
    <n v="103302"/>
    <n v="22726"/>
  </r>
  <r>
    <s v="Fatima Ndiaye"/>
    <x v="8"/>
    <s v="Afrique de l'Est"/>
    <s v="Aminata Nwosu"/>
    <x v="14"/>
    <x v="1"/>
    <n v="9"/>
    <n v="12500"/>
    <n v="108916"/>
    <n v="8713"/>
  </r>
  <r>
    <s v="Amara Diallo"/>
    <x v="5"/>
    <s v="Afrique de l'Est"/>
    <s v="Emeka Cissé"/>
    <x v="272"/>
    <x v="0"/>
    <n v="7"/>
    <n v="18500"/>
    <n v="128245"/>
    <n v="15389"/>
  </r>
  <r>
    <s v="Kofi Mensah"/>
    <x v="13"/>
    <s v="Afrique de l'Ouest"/>
    <s v="Ngozi Dembélé"/>
    <x v="188"/>
    <x v="1"/>
    <n v="8"/>
    <n v="12500"/>
    <n v="104904"/>
    <n v="8392"/>
  </r>
  <r>
    <s v="Aïcha Kouyaté"/>
    <x v="1"/>
    <s v="Afrique de l'Ouest"/>
    <s v="Seydou Sawadogo"/>
    <x v="296"/>
    <x v="0"/>
    <n v="10"/>
    <n v="18500"/>
    <n v="199217"/>
    <n v="23906"/>
  </r>
  <r>
    <s v="Aïcha Kouyaté"/>
    <x v="1"/>
    <s v="Afrique de l'Ouest"/>
    <s v="Kwame Ekwueme"/>
    <x v="33"/>
    <x v="4"/>
    <n v="3"/>
    <n v="15000"/>
    <n v="47410"/>
    <n v="4741"/>
  </r>
  <r>
    <s v="Aïcha Kouyaté"/>
    <x v="0"/>
    <s v="Afrique de l'Ouest"/>
    <s v="Ngozi Ekwueme"/>
    <x v="130"/>
    <x v="1"/>
    <n v="3"/>
    <n v="12500"/>
    <n v="36697"/>
    <n v="2936"/>
  </r>
  <r>
    <s v="Amara Diallo"/>
    <x v="14"/>
    <s v="Afrique de l'Ouest"/>
    <s v="Ngozi Dembélé"/>
    <x v="297"/>
    <x v="3"/>
    <n v="5"/>
    <n v="55000"/>
    <n v="285927"/>
    <n v="62904"/>
  </r>
  <r>
    <s v="Kofi Mensah"/>
    <x v="2"/>
    <s v="Afrique de l'Ouest"/>
    <s v="Adama Sawadogo"/>
    <x v="298"/>
    <x v="3"/>
    <n v="1"/>
    <n v="55000"/>
    <n v="57264"/>
    <n v="12598"/>
  </r>
  <r>
    <s v="Aïcha Kouyaté"/>
    <x v="2"/>
    <s v="Afrique de l'Ouest"/>
    <s v="Mariama Touré"/>
    <x v="112"/>
    <x v="1"/>
    <n v="7"/>
    <n v="12500"/>
    <n v="91962"/>
    <n v="7357"/>
  </r>
  <r>
    <s v="Ibrahim Traoré"/>
    <x v="12"/>
    <s v="Afrique de l'Est"/>
    <s v="Adama Okonkwo"/>
    <x v="213"/>
    <x v="1"/>
    <n v="6"/>
    <n v="12500"/>
    <n v="73647"/>
    <n v="5892"/>
  </r>
  <r>
    <s v="Fatima Ndiaye"/>
    <x v="7"/>
    <s v="Afrique Centrale"/>
    <s v="Seydou Kamara"/>
    <x v="242"/>
    <x v="1"/>
    <n v="8"/>
    <n v="12500"/>
    <n v="94004"/>
    <n v="7520"/>
  </r>
  <r>
    <s v="Fatima Ndiaye"/>
    <x v="5"/>
    <s v="Afrique de l'Est"/>
    <s v="Seydou Sawadogo"/>
    <x v="289"/>
    <x v="1"/>
    <n v="7"/>
    <n v="12500"/>
    <n v="82491"/>
    <n v="6599"/>
  </r>
  <r>
    <s v="Aïcha Kouyaté"/>
    <x v="1"/>
    <s v="Afrique de l'Ouest"/>
    <s v="Oumar Keïta"/>
    <x v="134"/>
    <x v="2"/>
    <n v="5"/>
    <n v="45000"/>
    <n v="209219"/>
    <n v="37659"/>
  </r>
  <r>
    <s v="Ibrahim Traoré"/>
    <x v="4"/>
    <s v="Afrique de l'Est"/>
    <s v="Ngozi Asante"/>
    <x v="299"/>
    <x v="4"/>
    <n v="1"/>
    <n v="15000"/>
    <n v="13516"/>
    <n v="1352"/>
  </r>
  <r>
    <s v="Ibrahim Traoré"/>
    <x v="1"/>
    <s v="Afrique de l'Ouest"/>
    <s v="Adama Coulibaly"/>
    <x v="300"/>
    <x v="3"/>
    <n v="5"/>
    <n v="55000"/>
    <n v="283025"/>
    <n v="62266"/>
  </r>
  <r>
    <s v="Amara Diallo"/>
    <x v="9"/>
    <s v="Afrique de l'Ouest"/>
    <s v="Moussa Ekwueme"/>
    <x v="210"/>
    <x v="3"/>
    <n v="2"/>
    <n v="55000"/>
    <n v="106766"/>
    <n v="23489"/>
  </r>
  <r>
    <s v="Aïcha Kouyaté"/>
    <x v="14"/>
    <s v="Afrique de l'Ouest"/>
    <s v="Chioma Asante"/>
    <x v="301"/>
    <x v="2"/>
    <n v="10"/>
    <n v="45000"/>
    <n v="485340"/>
    <n v="87361"/>
  </r>
  <r>
    <s v="Fatima Ndiaye"/>
    <x v="1"/>
    <s v="Afrique de l'Ouest"/>
    <s v="Kadiatou Kamara"/>
    <x v="291"/>
    <x v="4"/>
    <n v="2"/>
    <n v="15000"/>
    <n v="32842"/>
    <n v="3284"/>
  </r>
  <r>
    <s v="Kofi Mensah"/>
    <x v="2"/>
    <s v="Afrique de l'Ouest"/>
    <s v="Seydou Touré"/>
    <x v="38"/>
    <x v="4"/>
    <n v="7"/>
    <n v="15000"/>
    <n v="106834"/>
    <n v="10683"/>
  </r>
  <r>
    <s v="Aïcha Kouyaté"/>
    <x v="9"/>
    <s v="Afrique de l'Ouest"/>
    <s v="Zainab Cissé"/>
    <x v="198"/>
    <x v="3"/>
    <n v="6"/>
    <n v="55000"/>
    <n v="320981"/>
    <n v="70616"/>
  </r>
  <r>
    <s v="Fatima Ndiaye"/>
    <x v="10"/>
    <s v="Afrique Centrale"/>
    <s v="Awa Nwosu"/>
    <x v="109"/>
    <x v="2"/>
    <n v="8"/>
    <n v="45000"/>
    <n v="389629"/>
    <n v="70133"/>
  </r>
  <r>
    <s v="Amara Diallo"/>
    <x v="7"/>
    <s v="Afrique Centrale"/>
    <s v="Seydou Sawadogo"/>
    <x v="295"/>
    <x v="2"/>
    <n v="2"/>
    <n v="45000"/>
    <n v="86650"/>
    <n v="15597"/>
  </r>
  <r>
    <s v="Ibrahim Traoré"/>
    <x v="12"/>
    <s v="Afrique de l'Est"/>
    <s v="Moussa Mensah"/>
    <x v="114"/>
    <x v="3"/>
    <n v="8"/>
    <n v="55000"/>
    <n v="460851"/>
    <n v="101387"/>
  </r>
  <r>
    <s v="Aïcha Kouyaté"/>
    <x v="7"/>
    <s v="Afrique Centrale"/>
    <s v="Mariama Ekwueme"/>
    <x v="33"/>
    <x v="4"/>
    <n v="8"/>
    <n v="15000"/>
    <n v="130718"/>
    <n v="13072"/>
  </r>
  <r>
    <s v="Kofi Mensah"/>
    <x v="6"/>
    <s v="Afrique de l'Ouest"/>
    <s v="Yaw Keïta"/>
    <x v="242"/>
    <x v="2"/>
    <n v="1"/>
    <n v="45000"/>
    <n v="42115"/>
    <n v="7581"/>
  </r>
  <r>
    <s v="Aïcha Kouyaté"/>
    <x v="5"/>
    <s v="Afrique de l'Est"/>
    <s v="Kwame Touré"/>
    <x v="242"/>
    <x v="4"/>
    <n v="3"/>
    <n v="15000"/>
    <n v="48751"/>
    <n v="4875"/>
  </r>
  <r>
    <s v="Ibrahim Traoré"/>
    <x v="7"/>
    <s v="Afrique Centrale"/>
    <s v="Mariama Sawadogo"/>
    <x v="14"/>
    <x v="1"/>
    <n v="7"/>
    <n v="12500"/>
    <n v="95184"/>
    <n v="7615"/>
  </r>
  <r>
    <s v="Amara Diallo"/>
    <x v="0"/>
    <s v="Afrique de l'Ouest"/>
    <s v="Emeka Asante"/>
    <x v="13"/>
    <x v="1"/>
    <n v="3"/>
    <n v="12500"/>
    <n v="40435"/>
    <n v="3235"/>
  </r>
  <r>
    <s v="Aïcha Kouyaté"/>
    <x v="1"/>
    <s v="Afrique de l'Ouest"/>
    <s v="Zainab Bah"/>
    <x v="302"/>
    <x v="1"/>
    <n v="4"/>
    <n v="12500"/>
    <n v="45282"/>
    <n v="3623"/>
  </r>
  <r>
    <s v="Aïcha Kouyaté"/>
    <x v="5"/>
    <s v="Afrique de l'Est"/>
    <s v="Oumar Abubakar"/>
    <x v="59"/>
    <x v="1"/>
    <n v="5"/>
    <n v="12500"/>
    <n v="62115"/>
    <n v="4969"/>
  </r>
  <r>
    <s v="Aïcha Kouyaté"/>
    <x v="11"/>
    <s v="Afrique de l'Ouest"/>
    <s v="Aminata Touré"/>
    <x v="90"/>
    <x v="3"/>
    <n v="4"/>
    <n v="55000"/>
    <n v="204808"/>
    <n v="45058"/>
  </r>
  <r>
    <s v="Fatima Ndiaye"/>
    <x v="13"/>
    <s v="Afrique de l'Ouest"/>
    <s v="Chioma Ekwueme"/>
    <x v="185"/>
    <x v="1"/>
    <n v="8"/>
    <n v="12500"/>
    <n v="99695"/>
    <n v="7976"/>
  </r>
  <r>
    <s v="Aïcha Kouyaté"/>
    <x v="9"/>
    <s v="Afrique de l'Ouest"/>
    <s v="Chioma Ekwueme"/>
    <x v="303"/>
    <x v="2"/>
    <n v="5"/>
    <n v="45000"/>
    <n v="237270"/>
    <n v="42709"/>
  </r>
  <r>
    <s v="Aïcha Kouyaté"/>
    <x v="0"/>
    <s v="Afrique de l'Ouest"/>
    <s v="Ngozi Touré"/>
    <x v="304"/>
    <x v="3"/>
    <n v="2"/>
    <n v="55000"/>
    <n v="104772"/>
    <n v="23050"/>
  </r>
  <r>
    <s v="Amara Diallo"/>
    <x v="9"/>
    <s v="Afrique de l'Ouest"/>
    <s v="Zainab Touré"/>
    <x v="305"/>
    <x v="1"/>
    <n v="5"/>
    <n v="12500"/>
    <n v="60034"/>
    <n v="4803"/>
  </r>
  <r>
    <s v="Aïcha Kouyaté"/>
    <x v="2"/>
    <s v="Afrique de l'Ouest"/>
    <s v="Aminata Nwosu"/>
    <x v="30"/>
    <x v="1"/>
    <n v="7"/>
    <n v="12500"/>
    <n v="90121"/>
    <n v="7210"/>
  </r>
  <r>
    <s v="Kofi Mensah"/>
    <x v="2"/>
    <s v="Afrique de l'Ouest"/>
    <s v="Oumar Nwosu"/>
    <x v="209"/>
    <x v="1"/>
    <n v="8"/>
    <n v="12500"/>
    <n v="98950"/>
    <n v="7916"/>
  </r>
  <r>
    <s v="Kofi Mensah"/>
    <x v="8"/>
    <s v="Afrique de l'Est"/>
    <s v="Oumar Bah"/>
    <x v="76"/>
    <x v="1"/>
    <n v="9"/>
    <n v="12500"/>
    <n v="117205"/>
    <n v="9376"/>
  </r>
  <r>
    <s v="Fatima Ndiaye"/>
    <x v="7"/>
    <s v="Afrique Centrale"/>
    <s v="Moussa Bah"/>
    <x v="87"/>
    <x v="2"/>
    <n v="4"/>
    <n v="45000"/>
    <n v="182819"/>
    <n v="32907"/>
  </r>
  <r>
    <s v="Kofi Mensah"/>
    <x v="2"/>
    <s v="Afrique de l'Ouest"/>
    <s v="Seydou Diop"/>
    <x v="240"/>
    <x v="3"/>
    <n v="3"/>
    <n v="55000"/>
    <n v="166185"/>
    <n v="36561"/>
  </r>
  <r>
    <s v="Kofi Mensah"/>
    <x v="8"/>
    <s v="Afrique de l'Est"/>
    <s v="Seydou Cissé"/>
    <x v="306"/>
    <x v="3"/>
    <n v="5"/>
    <n v="55000"/>
    <n v="284176"/>
    <n v="62519"/>
  </r>
  <r>
    <s v="Kofi Mensah"/>
    <x v="6"/>
    <s v="Afrique de l'Ouest"/>
    <s v="Zainab Abubakar"/>
    <x v="26"/>
    <x v="3"/>
    <n v="2"/>
    <n v="55000"/>
    <n v="108897"/>
    <n v="23957"/>
  </r>
  <r>
    <s v="Aïcha Kouyaté"/>
    <x v="13"/>
    <s v="Afrique de l'Ouest"/>
    <s v="Awa Okonkwo"/>
    <x v="293"/>
    <x v="3"/>
    <n v="4"/>
    <n v="55000"/>
    <n v="238044"/>
    <n v="52370"/>
  </r>
  <r>
    <s v="Fatima Ndiaye"/>
    <x v="2"/>
    <s v="Afrique de l'Ouest"/>
    <s v="Ngozi Cissé"/>
    <x v="291"/>
    <x v="1"/>
    <n v="3"/>
    <n v="12500"/>
    <n v="38901"/>
    <n v="3112"/>
  </r>
  <r>
    <s v="Aïcha Kouyaté"/>
    <x v="13"/>
    <s v="Afrique de l'Ouest"/>
    <s v="Aminata Touré"/>
    <x v="307"/>
    <x v="3"/>
    <n v="3"/>
    <n v="55000"/>
    <n v="162824"/>
    <n v="35821"/>
  </r>
  <r>
    <s v="Ibrahim Traoré"/>
    <x v="4"/>
    <s v="Afrique de l'Est"/>
    <s v="Ngozi Ekwueme"/>
    <x v="247"/>
    <x v="4"/>
    <n v="6"/>
    <n v="15000"/>
    <n v="96207"/>
    <n v="9621"/>
  </r>
  <r>
    <s v="Aïcha Kouyaté"/>
    <x v="1"/>
    <s v="Afrique de l'Ouest"/>
    <s v="Kadiatou Cissé"/>
    <x v="162"/>
    <x v="0"/>
    <n v="8"/>
    <n v="18500"/>
    <n v="135221"/>
    <n v="16227"/>
  </r>
  <r>
    <s v="Kofi Mensah"/>
    <x v="9"/>
    <s v="Afrique de l'Ouest"/>
    <s v="Ngozi Abubakar"/>
    <x v="35"/>
    <x v="1"/>
    <n v="5"/>
    <n v="12500"/>
    <n v="64818"/>
    <n v="5185"/>
  </r>
  <r>
    <s v="Kofi Mensah"/>
    <x v="6"/>
    <s v="Afrique de l'Ouest"/>
    <s v="Awa Cissé"/>
    <x v="246"/>
    <x v="2"/>
    <n v="7"/>
    <n v="45000"/>
    <n v="296904"/>
    <n v="53443"/>
  </r>
  <r>
    <s v="Kofi Mensah"/>
    <x v="10"/>
    <s v="Afrique Centrale"/>
    <s v="Chioma Kamara"/>
    <x v="240"/>
    <x v="3"/>
    <n v="6"/>
    <n v="55000"/>
    <n v="331089"/>
    <n v="72840"/>
  </r>
  <r>
    <s v="Amara Diallo"/>
    <x v="0"/>
    <s v="Afrique de l'Ouest"/>
    <s v="Aminata Bah"/>
    <x v="273"/>
    <x v="1"/>
    <n v="9"/>
    <n v="12500"/>
    <n v="122376"/>
    <n v="9790"/>
  </r>
  <r>
    <s v="Ibrahim Traoré"/>
    <x v="3"/>
    <s v="Afrique Centrale"/>
    <s v="Kwame Ekwueme"/>
    <x v="239"/>
    <x v="1"/>
    <n v="9"/>
    <n v="12500"/>
    <n v="103157"/>
    <n v="8253"/>
  </r>
  <r>
    <s v="Ibrahim Traoré"/>
    <x v="6"/>
    <s v="Afrique de l'Ouest"/>
    <s v="Emeka Bah"/>
    <x v="20"/>
    <x v="1"/>
    <n v="1"/>
    <n v="12500"/>
    <n v="12143"/>
    <n v="971"/>
  </r>
  <r>
    <s v="Aïcha Kouyaté"/>
    <x v="3"/>
    <s v="Afrique Centrale"/>
    <s v="Zainab Okonkwo"/>
    <x v="126"/>
    <x v="0"/>
    <n v="9"/>
    <n v="18500"/>
    <n v="181602"/>
    <n v="21792"/>
  </r>
  <r>
    <s v="Amara Diallo"/>
    <x v="6"/>
    <s v="Afrique de l'Ouest"/>
    <s v="Adama Cissé"/>
    <x v="136"/>
    <x v="4"/>
    <n v="10"/>
    <n v="15000"/>
    <n v="153272"/>
    <n v="15327"/>
  </r>
  <r>
    <s v="Fatima Ndiaye"/>
    <x v="6"/>
    <s v="Afrique de l'Ouest"/>
    <s v="Aminata Asante"/>
    <x v="227"/>
    <x v="1"/>
    <n v="6"/>
    <n v="12500"/>
    <n v="74046"/>
    <n v="5924"/>
  </r>
  <r>
    <s v="Fatima Ndiaye"/>
    <x v="13"/>
    <s v="Afrique de l'Ouest"/>
    <s v="Awa Nwosu"/>
    <x v="277"/>
    <x v="0"/>
    <n v="3"/>
    <n v="18500"/>
    <n v="55288"/>
    <n v="6635"/>
  </r>
  <r>
    <s v="Kofi Mensah"/>
    <x v="13"/>
    <s v="Afrique de l'Ouest"/>
    <s v="Zainab Cissé"/>
    <x v="162"/>
    <x v="1"/>
    <n v="1"/>
    <n v="12500"/>
    <n v="11668"/>
    <n v="933"/>
  </r>
  <r>
    <s v="Fatima Ndiaye"/>
    <x v="10"/>
    <s v="Afrique Centrale"/>
    <s v="Aminata Nwosu"/>
    <x v="308"/>
    <x v="1"/>
    <n v="3"/>
    <n v="12500"/>
    <n v="33940"/>
    <n v="2715"/>
  </r>
  <r>
    <s v="Aïcha Kouyaté"/>
    <x v="12"/>
    <s v="Afrique de l'Est"/>
    <s v="Mariama Abubakar"/>
    <x v="47"/>
    <x v="4"/>
    <n v="1"/>
    <n v="15000"/>
    <n v="15067"/>
    <n v="1507"/>
  </r>
  <r>
    <s v="Kofi Mensah"/>
    <x v="8"/>
    <s v="Afrique de l'Est"/>
    <s v="Chioma Okonkwo"/>
    <x v="240"/>
    <x v="4"/>
    <n v="4"/>
    <n v="15000"/>
    <n v="55032"/>
    <n v="5503"/>
  </r>
  <r>
    <s v="Amara Diallo"/>
    <x v="6"/>
    <s v="Afrique de l'Ouest"/>
    <s v="Yaw Bah"/>
    <x v="187"/>
    <x v="0"/>
    <n v="9"/>
    <n v="18500"/>
    <n v="166074"/>
    <n v="19929"/>
  </r>
  <r>
    <s v="Ibrahim Traoré"/>
    <x v="9"/>
    <s v="Afrique de l'Ouest"/>
    <s v="Adama Cissé"/>
    <x v="175"/>
    <x v="3"/>
    <n v="8"/>
    <n v="55000"/>
    <n v="432575"/>
    <n v="95166"/>
  </r>
  <r>
    <s v="Aïcha Kouyaté"/>
    <x v="4"/>
    <s v="Afrique de l'Est"/>
    <s v="Kwame Asante"/>
    <x v="187"/>
    <x v="0"/>
    <n v="2"/>
    <n v="18500"/>
    <n v="36347"/>
    <n v="4362"/>
  </r>
  <r>
    <s v="Kofi Mensah"/>
    <x v="13"/>
    <s v="Afrique de l'Ouest"/>
    <s v="Kadiatou Sawadogo"/>
    <x v="103"/>
    <x v="0"/>
    <n v="10"/>
    <n v="18500"/>
    <n v="174490"/>
    <n v="20939"/>
  </r>
  <r>
    <s v="Aïcha Kouyaté"/>
    <x v="6"/>
    <s v="Afrique de l'Ouest"/>
    <s v="Emeka Abubakar"/>
    <x v="60"/>
    <x v="1"/>
    <n v="2"/>
    <n v="12500"/>
    <n v="27195"/>
    <n v="2176"/>
  </r>
  <r>
    <s v="Amara Diallo"/>
    <x v="2"/>
    <s v="Afrique de l'Ouest"/>
    <s v="Chidi Sawadogo"/>
    <x v="134"/>
    <x v="3"/>
    <n v="2"/>
    <n v="55000"/>
    <n v="101781"/>
    <n v="22392"/>
  </r>
  <r>
    <s v="Fatima Ndiaye"/>
    <x v="10"/>
    <s v="Afrique Centrale"/>
    <s v="Zainab Okonkwo"/>
    <x v="71"/>
    <x v="2"/>
    <n v="7"/>
    <n v="45000"/>
    <n v="325126"/>
    <n v="58523"/>
  </r>
  <r>
    <s v="Ibrahim Traoré"/>
    <x v="10"/>
    <s v="Afrique Centrale"/>
    <s v="Yaw Keïta"/>
    <x v="303"/>
    <x v="1"/>
    <n v="10"/>
    <n v="12500"/>
    <n v="125047"/>
    <n v="10004"/>
  </r>
  <r>
    <s v="Aïcha Kouyaté"/>
    <x v="11"/>
    <s v="Afrique de l'Ouest"/>
    <s v="Moussa Touré"/>
    <x v="137"/>
    <x v="0"/>
    <n v="3"/>
    <n v="18500"/>
    <n v="53732"/>
    <n v="6448"/>
  </r>
  <r>
    <s v="Ibrahim Traoré"/>
    <x v="4"/>
    <s v="Afrique de l'Est"/>
    <s v="Aminata Bah"/>
    <x v="50"/>
    <x v="1"/>
    <n v="8"/>
    <n v="12500"/>
    <n v="102634"/>
    <n v="8211"/>
  </r>
  <r>
    <s v="Aïcha Kouyaté"/>
    <x v="10"/>
    <s v="Afrique Centrale"/>
    <s v="Zainab Sawadogo"/>
    <x v="56"/>
    <x v="1"/>
    <n v="9"/>
    <n v="12500"/>
    <n v="114852"/>
    <n v="9188"/>
  </r>
  <r>
    <s v="Ibrahim Traoré"/>
    <x v="2"/>
    <s v="Afrique de l'Ouest"/>
    <s v="Moussa Dembélé"/>
    <x v="309"/>
    <x v="0"/>
    <n v="8"/>
    <n v="18500"/>
    <n v="150729"/>
    <n v="18087"/>
  </r>
  <r>
    <s v="Ibrahim Traoré"/>
    <x v="13"/>
    <s v="Afrique de l'Ouest"/>
    <s v="Oumar Okonkwo"/>
    <x v="290"/>
    <x v="1"/>
    <n v="4"/>
    <n v="12500"/>
    <n v="50803"/>
    <n v="4064"/>
  </r>
  <r>
    <s v="Fatima Ndiaye"/>
    <x v="8"/>
    <s v="Afrique de l'Est"/>
    <s v="Aminata Abubakar"/>
    <x v="105"/>
    <x v="1"/>
    <n v="4"/>
    <n v="12500"/>
    <n v="47343"/>
    <n v="3787"/>
  </r>
  <r>
    <s v="Aïcha Kouyaté"/>
    <x v="7"/>
    <s v="Afrique Centrale"/>
    <s v="Yaw Ekwueme"/>
    <x v="294"/>
    <x v="1"/>
    <n v="4"/>
    <n v="12500"/>
    <n v="51655"/>
    <n v="4132"/>
  </r>
  <r>
    <s v="Aïcha Kouyaté"/>
    <x v="13"/>
    <s v="Afrique de l'Ouest"/>
    <s v="Kwame Keïta"/>
    <x v="64"/>
    <x v="4"/>
    <n v="1"/>
    <n v="15000"/>
    <n v="16133"/>
    <n v="1613"/>
  </r>
  <r>
    <s v="Aïcha Kouyaté"/>
    <x v="14"/>
    <s v="Afrique de l'Ouest"/>
    <s v="Zainab Nwosu"/>
    <x v="4"/>
    <x v="3"/>
    <n v="7"/>
    <n v="55000"/>
    <n v="350238"/>
    <n v="77052"/>
  </r>
  <r>
    <s v="Kofi Mensah"/>
    <x v="13"/>
    <s v="Afrique de l'Ouest"/>
    <s v="Yaw Sawadogo"/>
    <x v="58"/>
    <x v="0"/>
    <n v="3"/>
    <n v="18500"/>
    <n v="51779"/>
    <n v="6213"/>
  </r>
  <r>
    <s v="Kofi Mensah"/>
    <x v="6"/>
    <s v="Afrique de l'Ouest"/>
    <s v="Chidi Bah"/>
    <x v="74"/>
    <x v="4"/>
    <n v="10"/>
    <n v="15000"/>
    <n v="136186"/>
    <n v="13619"/>
  </r>
  <r>
    <s v="Fatima Ndiaye"/>
    <x v="11"/>
    <s v="Afrique de l'Ouest"/>
    <s v="Chioma Keïta"/>
    <x v="112"/>
    <x v="1"/>
    <n v="3"/>
    <n v="12500"/>
    <n v="39328"/>
    <n v="3146"/>
  </r>
  <r>
    <s v="Aïcha Kouyaté"/>
    <x v="2"/>
    <s v="Afrique de l'Ouest"/>
    <s v="Kadiatou Kamara"/>
    <x v="162"/>
    <x v="0"/>
    <n v="5"/>
    <n v="18500"/>
    <n v="91947"/>
    <n v="11034"/>
  </r>
  <r>
    <s v="Kofi Mensah"/>
    <x v="10"/>
    <s v="Afrique Centrale"/>
    <s v="Chioma Asante"/>
    <x v="87"/>
    <x v="4"/>
    <n v="10"/>
    <n v="15000"/>
    <n v="140266"/>
    <n v="14027"/>
  </r>
  <r>
    <s v="Aïcha Kouyaté"/>
    <x v="6"/>
    <s v="Afrique de l'Ouest"/>
    <s v="Seydou Asante"/>
    <x v="11"/>
    <x v="2"/>
    <n v="4"/>
    <n v="45000"/>
    <n v="188659"/>
    <n v="33959"/>
  </r>
  <r>
    <s v="Fatima Ndiaye"/>
    <x v="4"/>
    <s v="Afrique de l'Est"/>
    <s v="Kadiatou Diop"/>
    <x v="79"/>
    <x v="2"/>
    <n v="4"/>
    <n v="45000"/>
    <n v="194490"/>
    <n v="35008"/>
  </r>
  <r>
    <s v="Aïcha Kouyaté"/>
    <x v="8"/>
    <s v="Afrique de l'Est"/>
    <s v="Kwame Kamara"/>
    <x v="247"/>
    <x v="0"/>
    <n v="5"/>
    <n v="18500"/>
    <n v="100097"/>
    <n v="12012"/>
  </r>
  <r>
    <s v="Ibrahim Traoré"/>
    <x v="0"/>
    <s v="Afrique de l'Ouest"/>
    <s v="Seydou Bah"/>
    <x v="238"/>
    <x v="2"/>
    <n v="3"/>
    <n v="45000"/>
    <n v="145865"/>
    <n v="26256"/>
  </r>
  <r>
    <s v="Amara Diallo"/>
    <x v="14"/>
    <s v="Afrique de l'Ouest"/>
    <s v="Seydou Keïta"/>
    <x v="70"/>
    <x v="1"/>
    <n v="4"/>
    <n v="12500"/>
    <n v="52400"/>
    <n v="4192"/>
  </r>
  <r>
    <s v="Aïcha Kouyaté"/>
    <x v="14"/>
    <s v="Afrique de l'Ouest"/>
    <s v="Chioma Mensah"/>
    <x v="162"/>
    <x v="3"/>
    <n v="5"/>
    <n v="55000"/>
    <n v="247945"/>
    <n v="54548"/>
  </r>
  <r>
    <s v="Aïcha Kouyaté"/>
    <x v="5"/>
    <s v="Afrique de l'Est"/>
    <s v="Zainab Bah"/>
    <x v="287"/>
    <x v="4"/>
    <n v="7"/>
    <n v="15000"/>
    <n v="105566"/>
    <n v="10557"/>
  </r>
  <r>
    <s v="Amara Diallo"/>
    <x v="11"/>
    <s v="Afrique de l'Ouest"/>
    <s v="Seydou Kamara"/>
    <x v="65"/>
    <x v="4"/>
    <n v="1"/>
    <n v="15000"/>
    <n v="15579"/>
    <n v="1558"/>
  </r>
  <r>
    <s v="Aïcha Kouyaté"/>
    <x v="0"/>
    <s v="Afrique de l'Ouest"/>
    <s v="Chioma Mensah"/>
    <x v="5"/>
    <x v="0"/>
    <n v="8"/>
    <n v="18500"/>
    <n v="134517"/>
    <n v="16142"/>
  </r>
  <r>
    <s v="Aïcha Kouyaté"/>
    <x v="3"/>
    <s v="Afrique Centrale"/>
    <s v="Kwame Mensah"/>
    <x v="310"/>
    <x v="1"/>
    <n v="2"/>
    <n v="12500"/>
    <n v="25057"/>
    <n v="2005"/>
  </r>
  <r>
    <s v="Ibrahim Traoré"/>
    <x v="14"/>
    <s v="Afrique de l'Ouest"/>
    <s v="Aminata Abubakar"/>
    <x v="74"/>
    <x v="1"/>
    <n v="2"/>
    <n v="12500"/>
    <n v="27342"/>
    <n v="2187"/>
  </r>
  <r>
    <s v="Ibrahim Traoré"/>
    <x v="10"/>
    <s v="Afrique Centrale"/>
    <s v="Mariama Cissé"/>
    <x v="143"/>
    <x v="4"/>
    <n v="5"/>
    <n v="15000"/>
    <n v="79438"/>
    <n v="7944"/>
  </r>
  <r>
    <s v="Fatima Ndiaye"/>
    <x v="3"/>
    <s v="Afrique Centrale"/>
    <s v="Yaw Nwosu"/>
    <x v="304"/>
    <x v="2"/>
    <n v="8"/>
    <n v="45000"/>
    <n v="354781"/>
    <n v="63861"/>
  </r>
  <r>
    <s v="Ibrahim Traoré"/>
    <x v="13"/>
    <s v="Afrique de l'Ouest"/>
    <s v="Chioma Nwosu"/>
    <x v="51"/>
    <x v="2"/>
    <n v="10"/>
    <n v="45000"/>
    <n v="413976"/>
    <n v="74516"/>
  </r>
  <r>
    <s v="Fatima Ndiaye"/>
    <x v="8"/>
    <s v="Afrique de l'Est"/>
    <s v="Chioma Asante"/>
    <x v="129"/>
    <x v="4"/>
    <n v="5"/>
    <n v="15000"/>
    <n v="67628"/>
    <n v="6763"/>
  </r>
  <r>
    <s v="Amara Diallo"/>
    <x v="11"/>
    <s v="Afrique de l'Ouest"/>
    <s v="Ngozi Okonkwo"/>
    <x v="129"/>
    <x v="1"/>
    <n v="6"/>
    <n v="12500"/>
    <n v="80844"/>
    <n v="6468"/>
  </r>
  <r>
    <s v="Kofi Mensah"/>
    <x v="13"/>
    <s v="Afrique de l'Ouest"/>
    <s v="Moussa Dembélé"/>
    <x v="159"/>
    <x v="2"/>
    <n v="3"/>
    <n v="45000"/>
    <n v="134903"/>
    <n v="24283"/>
  </r>
  <r>
    <s v="Aïcha Kouyaté"/>
    <x v="9"/>
    <s v="Afrique de l'Ouest"/>
    <s v="Aminata Okonkwo"/>
    <x v="178"/>
    <x v="4"/>
    <n v="8"/>
    <n v="15000"/>
    <n v="121457"/>
    <n v="12146"/>
  </r>
  <r>
    <s v="Aïcha Kouyaté"/>
    <x v="10"/>
    <s v="Afrique Centrale"/>
    <s v="Oumar Ekwueme"/>
    <x v="146"/>
    <x v="3"/>
    <n v="2"/>
    <n v="55000"/>
    <n v="110980"/>
    <n v="24416"/>
  </r>
  <r>
    <s v="Kofi Mensah"/>
    <x v="10"/>
    <s v="Afrique Centrale"/>
    <s v="Kadiatou Bah"/>
    <x v="163"/>
    <x v="3"/>
    <n v="2"/>
    <n v="55000"/>
    <n v="114425"/>
    <n v="25174"/>
  </r>
  <r>
    <s v="Fatima Ndiaye"/>
    <x v="11"/>
    <s v="Afrique de l'Ouest"/>
    <s v="Emeka Mensah"/>
    <x v="11"/>
    <x v="1"/>
    <n v="1"/>
    <n v="12500"/>
    <n v="13409"/>
    <n v="1073"/>
  </r>
  <r>
    <s v="Aïcha Kouyaté"/>
    <x v="11"/>
    <s v="Afrique de l'Ouest"/>
    <s v="Emeka Ekwueme"/>
    <x v="187"/>
    <x v="0"/>
    <n v="8"/>
    <n v="18500"/>
    <n v="133659"/>
    <n v="16039"/>
  </r>
  <r>
    <s v="Ibrahim Traoré"/>
    <x v="14"/>
    <s v="Afrique de l'Ouest"/>
    <s v="Kwame Dembélé"/>
    <x v="60"/>
    <x v="0"/>
    <n v="7"/>
    <n v="18500"/>
    <n v="121120"/>
    <n v="14534"/>
  </r>
  <r>
    <s v="Aïcha Kouyaté"/>
    <x v="12"/>
    <s v="Afrique de l'Est"/>
    <s v="Yaw Asante"/>
    <x v="239"/>
    <x v="2"/>
    <n v="10"/>
    <n v="45000"/>
    <n v="460486"/>
    <n v="82887"/>
  </r>
  <r>
    <s v="Kofi Mensah"/>
    <x v="10"/>
    <s v="Afrique Centrale"/>
    <s v="Chidi Kamara"/>
    <x v="59"/>
    <x v="0"/>
    <n v="1"/>
    <n v="18500"/>
    <n v="16821"/>
    <n v="2019"/>
  </r>
  <r>
    <s v="Aïcha Kouyaté"/>
    <x v="3"/>
    <s v="Afrique Centrale"/>
    <s v="Moussa Nwosu"/>
    <x v="65"/>
    <x v="4"/>
    <n v="7"/>
    <n v="15000"/>
    <n v="99129"/>
    <n v="9913"/>
  </r>
  <r>
    <s v="Kofi Mensah"/>
    <x v="6"/>
    <s v="Afrique de l'Ouest"/>
    <s v="Chioma Mensah"/>
    <x v="196"/>
    <x v="2"/>
    <n v="6"/>
    <n v="45000"/>
    <n v="272184"/>
    <n v="48993"/>
  </r>
  <r>
    <s v="Ibrahim Traoré"/>
    <x v="10"/>
    <s v="Afrique Centrale"/>
    <s v="Oumar Bah"/>
    <x v="173"/>
    <x v="1"/>
    <n v="4"/>
    <n v="12500"/>
    <n v="46971"/>
    <n v="3758"/>
  </r>
  <r>
    <s v="Ibrahim Traoré"/>
    <x v="13"/>
    <s v="Afrique de l'Ouest"/>
    <s v="Chidi Coulibaly"/>
    <x v="128"/>
    <x v="3"/>
    <n v="9"/>
    <n v="55000"/>
    <n v="485801"/>
    <n v="106876"/>
  </r>
  <r>
    <s v="Fatima Ndiaye"/>
    <x v="10"/>
    <s v="Afrique Centrale"/>
    <s v="Kadiatou Dembélé"/>
    <x v="91"/>
    <x v="2"/>
    <n v="3"/>
    <n v="45000"/>
    <n v="145706"/>
    <n v="26227"/>
  </r>
  <r>
    <s v="Ibrahim Traoré"/>
    <x v="7"/>
    <s v="Afrique Centrale"/>
    <s v="Chidi Mensah"/>
    <x v="140"/>
    <x v="1"/>
    <n v="7"/>
    <n v="12500"/>
    <n v="80146"/>
    <n v="6412"/>
  </r>
  <r>
    <s v="Aïcha Kouyaté"/>
    <x v="7"/>
    <s v="Afrique Centrale"/>
    <s v="Moussa Cissé"/>
    <x v="247"/>
    <x v="1"/>
    <n v="3"/>
    <n v="12500"/>
    <n v="36547"/>
    <n v="2924"/>
  </r>
  <r>
    <s v="Fatima Ndiaye"/>
    <x v="3"/>
    <s v="Afrique Centrale"/>
    <s v="Emeka Ekwueme"/>
    <x v="153"/>
    <x v="3"/>
    <n v="4"/>
    <n v="55000"/>
    <n v="201344"/>
    <n v="44296"/>
  </r>
  <r>
    <s v="Kofi Mensah"/>
    <x v="11"/>
    <s v="Afrique de l'Ouest"/>
    <s v="Chidi Dembélé"/>
    <x v="4"/>
    <x v="2"/>
    <n v="6"/>
    <n v="45000"/>
    <n v="251246"/>
    <n v="45224"/>
  </r>
  <r>
    <s v="Amara Diallo"/>
    <x v="13"/>
    <s v="Afrique de l'Ouest"/>
    <s v="Ngozi Okonkwo"/>
    <x v="311"/>
    <x v="0"/>
    <n v="2"/>
    <n v="18500"/>
    <n v="37348"/>
    <n v="4482"/>
  </r>
  <r>
    <s v="Amara Diallo"/>
    <x v="4"/>
    <s v="Afrique de l'Est"/>
    <s v="Mariama Sawadogo"/>
    <x v="79"/>
    <x v="2"/>
    <n v="1"/>
    <n v="45000"/>
    <n v="44185"/>
    <n v="7953"/>
  </r>
  <r>
    <s v="Aïcha Kouyaté"/>
    <x v="13"/>
    <s v="Afrique de l'Ouest"/>
    <s v="Chidi Keïta"/>
    <x v="150"/>
    <x v="2"/>
    <n v="8"/>
    <n v="45000"/>
    <n v="345628"/>
    <n v="62213"/>
  </r>
  <r>
    <s v="Ibrahim Traoré"/>
    <x v="9"/>
    <s v="Afrique de l'Ouest"/>
    <s v="Kwame Bah"/>
    <x v="312"/>
    <x v="2"/>
    <n v="3"/>
    <n v="45000"/>
    <n v="135717"/>
    <n v="24429"/>
  </r>
  <r>
    <s v="Fatima Ndiaye"/>
    <x v="0"/>
    <s v="Afrique de l'Ouest"/>
    <s v="Chioma Keïta"/>
    <x v="291"/>
    <x v="2"/>
    <n v="8"/>
    <n v="45000"/>
    <n v="326937"/>
    <n v="58849"/>
  </r>
  <r>
    <s v="Kofi Mensah"/>
    <x v="7"/>
    <s v="Afrique Centrale"/>
    <s v="Chioma Cissé"/>
    <x v="8"/>
    <x v="1"/>
    <n v="6"/>
    <n v="12500"/>
    <n v="69515"/>
    <n v="5561"/>
  </r>
  <r>
    <s v="Fatima Ndiaye"/>
    <x v="3"/>
    <s v="Afrique Centrale"/>
    <s v="Seydou Asante"/>
    <x v="226"/>
    <x v="1"/>
    <n v="8"/>
    <n v="12500"/>
    <n v="109485"/>
    <n v="8759"/>
  </r>
  <r>
    <s v="Fatima Ndiaye"/>
    <x v="7"/>
    <s v="Afrique Centrale"/>
    <s v="Kwame Abubakar"/>
    <x v="229"/>
    <x v="4"/>
    <n v="8"/>
    <n v="15000"/>
    <n v="119762"/>
    <n v="11976"/>
  </r>
  <r>
    <s v="Ibrahim Traoré"/>
    <x v="10"/>
    <s v="Afrique Centrale"/>
    <s v="Chioma Diop"/>
    <x v="201"/>
    <x v="2"/>
    <n v="8"/>
    <n v="45000"/>
    <n v="354168"/>
    <n v="63750"/>
  </r>
  <r>
    <s v="Aïcha Kouyaté"/>
    <x v="12"/>
    <s v="Afrique de l'Est"/>
    <s v="Seydou Keïta"/>
    <x v="209"/>
    <x v="4"/>
    <n v="5"/>
    <n v="15000"/>
    <n v="72335"/>
    <n v="7234"/>
  </r>
  <r>
    <s v="Fatima Ndiaye"/>
    <x v="13"/>
    <s v="Afrique de l'Ouest"/>
    <s v="Chioma Okonkwo"/>
    <x v="124"/>
    <x v="0"/>
    <n v="4"/>
    <n v="18500"/>
    <n v="74306"/>
    <n v="8917"/>
  </r>
  <r>
    <s v="Amara Diallo"/>
    <x v="4"/>
    <s v="Afrique de l'Est"/>
    <s v="Mariama Dembélé"/>
    <x v="182"/>
    <x v="1"/>
    <n v="4"/>
    <n v="12500"/>
    <n v="51071"/>
    <n v="4086"/>
  </r>
  <r>
    <s v="Fatima Ndiaye"/>
    <x v="14"/>
    <s v="Afrique de l'Ouest"/>
    <s v="Ngozi Nwosu"/>
    <x v="313"/>
    <x v="3"/>
    <n v="2"/>
    <n v="55000"/>
    <n v="116662"/>
    <n v="25666"/>
  </r>
  <r>
    <s v="Kofi Mensah"/>
    <x v="2"/>
    <s v="Afrique de l'Ouest"/>
    <s v="Awa Nwosu"/>
    <x v="263"/>
    <x v="4"/>
    <n v="9"/>
    <n v="15000"/>
    <n v="134800"/>
    <n v="13480"/>
  </r>
  <r>
    <s v="Ibrahim Traoré"/>
    <x v="5"/>
    <s v="Afrique de l'Est"/>
    <s v="Kwame Dembélé"/>
    <x v="289"/>
    <x v="1"/>
    <n v="3"/>
    <n v="12500"/>
    <n v="35239"/>
    <n v="2819"/>
  </r>
  <r>
    <s v="Fatima Ndiaye"/>
    <x v="4"/>
    <s v="Afrique de l'Est"/>
    <s v="Adama Nwosu"/>
    <x v="168"/>
    <x v="4"/>
    <n v="10"/>
    <n v="15000"/>
    <n v="139641"/>
    <n v="13964"/>
  </r>
  <r>
    <s v="Fatima Ndiaye"/>
    <x v="6"/>
    <s v="Afrique de l'Ouest"/>
    <s v="Adama Abubakar"/>
    <x v="314"/>
    <x v="0"/>
    <n v="2"/>
    <n v="18500"/>
    <n v="33609"/>
    <n v="4033"/>
  </r>
  <r>
    <s v="Aïcha Kouyaté"/>
    <x v="10"/>
    <s v="Afrique Centrale"/>
    <s v="Aminata Kamara"/>
    <x v="107"/>
    <x v="0"/>
    <n v="5"/>
    <n v="18500"/>
    <n v="93763"/>
    <n v="11252"/>
  </r>
  <r>
    <s v="Kofi Mensah"/>
    <x v="6"/>
    <s v="Afrique de l'Ouest"/>
    <s v="Mariama Asante"/>
    <x v="315"/>
    <x v="0"/>
    <n v="5"/>
    <n v="18500"/>
    <n v="92479"/>
    <n v="11097"/>
  </r>
  <r>
    <s v="Amara Diallo"/>
    <x v="11"/>
    <s v="Afrique de l'Ouest"/>
    <s v="Aminata Ekwueme"/>
    <x v="267"/>
    <x v="1"/>
    <n v="6"/>
    <n v="12500"/>
    <n v="70405"/>
    <n v="5632"/>
  </r>
  <r>
    <s v="Fatima Ndiaye"/>
    <x v="2"/>
    <s v="Afrique de l'Ouest"/>
    <s v="Chioma Asante"/>
    <x v="311"/>
    <x v="2"/>
    <n v="3"/>
    <n v="45000"/>
    <n v="126738"/>
    <n v="22813"/>
  </r>
  <r>
    <s v="Ibrahim Traoré"/>
    <x v="6"/>
    <s v="Afrique de l'Ouest"/>
    <s v="Ngozi Coulibaly"/>
    <x v="214"/>
    <x v="3"/>
    <n v="6"/>
    <n v="55000"/>
    <n v="316691"/>
    <n v="69672"/>
  </r>
  <r>
    <s v="Amara Diallo"/>
    <x v="6"/>
    <s v="Afrique de l'Ouest"/>
    <s v="Chidi Bah"/>
    <x v="273"/>
    <x v="3"/>
    <n v="4"/>
    <n v="55000"/>
    <n v="240358"/>
    <n v="52879"/>
  </r>
  <r>
    <s v="Ibrahim Traoré"/>
    <x v="9"/>
    <s v="Afrique de l'Ouest"/>
    <s v="Oumar Bah"/>
    <x v="20"/>
    <x v="2"/>
    <n v="3"/>
    <n v="45000"/>
    <n v="121688"/>
    <n v="21904"/>
  </r>
  <r>
    <s v="Ibrahim Traoré"/>
    <x v="0"/>
    <s v="Afrique de l'Ouest"/>
    <s v="Zainab Ekwueme"/>
    <x v="73"/>
    <x v="0"/>
    <n v="5"/>
    <n v="18500"/>
    <n v="94872"/>
    <n v="11385"/>
  </r>
  <r>
    <s v="Ibrahim Traoré"/>
    <x v="13"/>
    <s v="Afrique de l'Ouest"/>
    <s v="Mariama Abubakar"/>
    <x v="154"/>
    <x v="4"/>
    <n v="4"/>
    <n v="15000"/>
    <n v="62909"/>
    <n v="6291"/>
  </r>
  <r>
    <s v="Fatima Ndiaye"/>
    <x v="1"/>
    <s v="Afrique de l'Ouest"/>
    <s v="Mariama Cissé"/>
    <x v="92"/>
    <x v="1"/>
    <n v="3"/>
    <n v="12500"/>
    <n v="41157"/>
    <n v="3293"/>
  </r>
  <r>
    <s v="Ibrahim Traoré"/>
    <x v="1"/>
    <s v="Afrique de l'Ouest"/>
    <s v="Chidi Bah"/>
    <x v="272"/>
    <x v="0"/>
    <n v="8"/>
    <n v="18500"/>
    <n v="140120"/>
    <n v="16814"/>
  </r>
  <r>
    <s v="Fatima Ndiaye"/>
    <x v="8"/>
    <s v="Afrique de l'Est"/>
    <s v="Moussa Diop"/>
    <x v="236"/>
    <x v="3"/>
    <n v="2"/>
    <n v="55000"/>
    <n v="115224"/>
    <n v="25349"/>
  </r>
  <r>
    <s v="Aïcha Kouyaté"/>
    <x v="10"/>
    <s v="Afrique Centrale"/>
    <s v="Adama Dembélé"/>
    <x v="205"/>
    <x v="3"/>
    <n v="8"/>
    <n v="55000"/>
    <n v="468842"/>
    <n v="103145"/>
  </r>
  <r>
    <s v="Fatima Ndiaye"/>
    <x v="4"/>
    <s v="Afrique de l'Est"/>
    <s v="Mariama Asante"/>
    <x v="316"/>
    <x v="0"/>
    <n v="6"/>
    <n v="18500"/>
    <n v="102517"/>
    <n v="12302"/>
  </r>
  <r>
    <s v="Fatima Ndiaye"/>
    <x v="5"/>
    <s v="Afrique de l'Est"/>
    <s v="Oumar Coulibaly"/>
    <x v="317"/>
    <x v="2"/>
    <n v="9"/>
    <n v="45000"/>
    <n v="388685"/>
    <n v="69963"/>
  </r>
  <r>
    <s v="Ibrahim Traoré"/>
    <x v="10"/>
    <s v="Afrique Centrale"/>
    <s v="Awa Okonkwo"/>
    <x v="124"/>
    <x v="0"/>
    <n v="7"/>
    <n v="18500"/>
    <n v="138828"/>
    <n v="16659"/>
  </r>
  <r>
    <s v="Ibrahim Traoré"/>
    <x v="13"/>
    <s v="Afrique de l'Ouest"/>
    <s v="Aminata Abubakar"/>
    <x v="122"/>
    <x v="2"/>
    <n v="7"/>
    <n v="45000"/>
    <n v="289584"/>
    <n v="52125"/>
  </r>
  <r>
    <s v="Fatima Ndiaye"/>
    <x v="12"/>
    <s v="Afrique de l'Est"/>
    <s v="Chidi Kamara"/>
    <x v="176"/>
    <x v="3"/>
    <n v="6"/>
    <n v="55000"/>
    <n v="309005"/>
    <n v="67981"/>
  </r>
  <r>
    <s v="Fatima Ndiaye"/>
    <x v="12"/>
    <s v="Afrique de l'Est"/>
    <s v="Mariama Asante"/>
    <x v="318"/>
    <x v="2"/>
    <n v="3"/>
    <n v="45000"/>
    <n v="125750"/>
    <n v="22635"/>
  </r>
  <r>
    <s v="Fatima Ndiaye"/>
    <x v="4"/>
    <s v="Afrique de l'Est"/>
    <s v="Yaw Ekwueme"/>
    <x v="74"/>
    <x v="2"/>
    <n v="10"/>
    <n v="45000"/>
    <n v="418599"/>
    <n v="75348"/>
  </r>
  <r>
    <s v="Amara Diallo"/>
    <x v="13"/>
    <s v="Afrique de l'Ouest"/>
    <s v="Zainab Abubakar"/>
    <x v="278"/>
    <x v="4"/>
    <n v="1"/>
    <n v="15000"/>
    <n v="15771"/>
    <n v="1577"/>
  </r>
  <r>
    <s v="Aïcha Kouyaté"/>
    <x v="1"/>
    <s v="Afrique de l'Ouest"/>
    <s v="Seydou Dembélé"/>
    <x v="310"/>
    <x v="1"/>
    <n v="5"/>
    <n v="12500"/>
    <n v="67793"/>
    <n v="5423"/>
  </r>
  <r>
    <s v="Amara Diallo"/>
    <x v="3"/>
    <s v="Afrique Centrale"/>
    <s v="Oumar Coulibaly"/>
    <x v="319"/>
    <x v="0"/>
    <n v="6"/>
    <n v="18500"/>
    <n v="112514"/>
    <n v="13502"/>
  </r>
  <r>
    <s v="Fatima Ndiaye"/>
    <x v="5"/>
    <s v="Afrique de l'Est"/>
    <s v="Kadiatou Abubakar"/>
    <x v="4"/>
    <x v="1"/>
    <n v="8"/>
    <n v="12500"/>
    <n v="92883"/>
    <n v="7431"/>
  </r>
  <r>
    <s v="Ibrahim Traoré"/>
    <x v="10"/>
    <s v="Afrique Centrale"/>
    <s v="Adama Touré"/>
    <x v="117"/>
    <x v="3"/>
    <n v="7"/>
    <n v="55000"/>
    <n v="365847"/>
    <n v="80486"/>
  </r>
  <r>
    <s v="Amara Diallo"/>
    <x v="5"/>
    <s v="Afrique de l'Est"/>
    <s v="Ngozi Nwosu"/>
    <x v="320"/>
    <x v="3"/>
    <n v="8"/>
    <n v="55000"/>
    <n v="473916"/>
    <n v="104262"/>
  </r>
  <r>
    <s v="Amara Diallo"/>
    <x v="14"/>
    <s v="Afrique de l'Ouest"/>
    <s v="Chioma Kamara"/>
    <x v="37"/>
    <x v="2"/>
    <n v="9"/>
    <n v="45000"/>
    <n v="401646"/>
    <n v="72296"/>
  </r>
  <r>
    <s v="Kofi Mensah"/>
    <x v="11"/>
    <s v="Afrique de l'Ouest"/>
    <s v="Zainab Touré"/>
    <x v="193"/>
    <x v="1"/>
    <n v="5"/>
    <n v="12500"/>
    <n v="67254"/>
    <n v="5380"/>
  </r>
  <r>
    <s v="Amara Diallo"/>
    <x v="10"/>
    <s v="Afrique Centrale"/>
    <s v="Seydou Mensah"/>
    <x v="321"/>
    <x v="3"/>
    <n v="7"/>
    <n v="55000"/>
    <n v="376397"/>
    <n v="82807"/>
  </r>
  <r>
    <s v="Kofi Mensah"/>
    <x v="2"/>
    <s v="Afrique de l'Ouest"/>
    <s v="Yaw Touré"/>
    <x v="322"/>
    <x v="3"/>
    <n v="2"/>
    <n v="55000"/>
    <n v="100141"/>
    <n v="22031"/>
  </r>
  <r>
    <s v="Fatima Ndiaye"/>
    <x v="9"/>
    <s v="Afrique de l'Ouest"/>
    <s v="Adama Sawadogo"/>
    <x v="230"/>
    <x v="0"/>
    <n v="6"/>
    <n v="18500"/>
    <n v="102718"/>
    <n v="12326"/>
  </r>
  <r>
    <s v="Kofi Mensah"/>
    <x v="8"/>
    <s v="Afrique de l'Est"/>
    <s v="Adama Nwosu"/>
    <x v="15"/>
    <x v="4"/>
    <n v="8"/>
    <n v="15000"/>
    <n v="122953"/>
    <n v="12295"/>
  </r>
  <r>
    <s v="Aïcha Kouyaté"/>
    <x v="5"/>
    <s v="Afrique de l'Est"/>
    <s v="Zainab Ekwueme"/>
    <x v="311"/>
    <x v="3"/>
    <n v="7"/>
    <n v="55000"/>
    <n v="381237"/>
    <n v="83872"/>
  </r>
  <r>
    <s v="Ibrahim Traoré"/>
    <x v="12"/>
    <s v="Afrique de l'Est"/>
    <s v="Zainab Kamara"/>
    <x v="36"/>
    <x v="2"/>
    <n v="5"/>
    <n v="45000"/>
    <n v="206446"/>
    <n v="37160"/>
  </r>
  <r>
    <s v="Ibrahim Traoré"/>
    <x v="13"/>
    <s v="Afrique de l'Ouest"/>
    <s v="Moussa Diop"/>
    <x v="261"/>
    <x v="0"/>
    <n v="9"/>
    <n v="18500"/>
    <n v="174720"/>
    <n v="20966"/>
  </r>
  <r>
    <s v="Ibrahim Traoré"/>
    <x v="11"/>
    <s v="Afrique de l'Ouest"/>
    <s v="Mariama Okonkwo"/>
    <x v="238"/>
    <x v="2"/>
    <n v="9"/>
    <n v="45000"/>
    <n v="422271"/>
    <n v="76009"/>
  </r>
  <r>
    <s v="Kofi Mensah"/>
    <x v="12"/>
    <s v="Afrique de l'Est"/>
    <s v="Emeka Okonkwo"/>
    <x v="145"/>
    <x v="0"/>
    <n v="7"/>
    <n v="18500"/>
    <n v="128119"/>
    <n v="15374"/>
  </r>
  <r>
    <s v="Ibrahim Traoré"/>
    <x v="14"/>
    <s v="Afrique de l'Ouest"/>
    <s v="Ngozi Bah"/>
    <x v="190"/>
    <x v="0"/>
    <n v="3"/>
    <n v="18500"/>
    <n v="50415"/>
    <n v="6050"/>
  </r>
  <r>
    <s v="Kofi Mensah"/>
    <x v="5"/>
    <s v="Afrique de l'Est"/>
    <s v="Awa Bah"/>
    <x v="314"/>
    <x v="1"/>
    <n v="3"/>
    <n v="12500"/>
    <n v="37648"/>
    <n v="3012"/>
  </r>
  <r>
    <s v="Ibrahim Traoré"/>
    <x v="14"/>
    <s v="Afrique de l'Ouest"/>
    <s v="Kwame Coulibaly"/>
    <x v="186"/>
    <x v="4"/>
    <n v="4"/>
    <n v="15000"/>
    <n v="54352"/>
    <n v="5435"/>
  </r>
  <r>
    <s v="Ibrahim Traoré"/>
    <x v="4"/>
    <s v="Afrique de l'Est"/>
    <s v="Ngozi Sawadogo"/>
    <x v="75"/>
    <x v="3"/>
    <n v="10"/>
    <n v="55000"/>
    <n v="509609"/>
    <n v="112114"/>
  </r>
  <r>
    <s v="Aïcha Kouyaté"/>
    <x v="13"/>
    <s v="Afrique de l'Ouest"/>
    <s v="Emeka Touré"/>
    <x v="230"/>
    <x v="3"/>
    <n v="9"/>
    <n v="55000"/>
    <n v="541159"/>
    <n v="119055"/>
  </r>
  <r>
    <s v="Kofi Mensah"/>
    <x v="13"/>
    <s v="Afrique de l'Ouest"/>
    <s v="Chidi Diop"/>
    <x v="21"/>
    <x v="2"/>
    <n v="5"/>
    <n v="45000"/>
    <n v="205392"/>
    <n v="36971"/>
  </r>
  <r>
    <s v="Ibrahim Traoré"/>
    <x v="13"/>
    <s v="Afrique de l'Ouest"/>
    <s v="Ngozi Bah"/>
    <x v="89"/>
    <x v="0"/>
    <n v="8"/>
    <n v="18500"/>
    <n v="146265"/>
    <n v="17552"/>
  </r>
  <r>
    <s v="Kofi Mensah"/>
    <x v="13"/>
    <s v="Afrique de l'Ouest"/>
    <s v="Kadiatou Kamara"/>
    <x v="323"/>
    <x v="3"/>
    <n v="1"/>
    <n v="55000"/>
    <n v="52198"/>
    <n v="11484"/>
  </r>
  <r>
    <s v="Ibrahim Traoré"/>
    <x v="10"/>
    <s v="Afrique Centrale"/>
    <s v="Aminata Bah"/>
    <x v="9"/>
    <x v="4"/>
    <n v="2"/>
    <n v="15000"/>
    <n v="27715"/>
    <n v="2772"/>
  </r>
  <r>
    <s v="Fatima Ndiaye"/>
    <x v="14"/>
    <s v="Afrique de l'Ouest"/>
    <s v="Kwame Dembélé"/>
    <x v="324"/>
    <x v="2"/>
    <n v="4"/>
    <n v="45000"/>
    <n v="165247"/>
    <n v="29744"/>
  </r>
  <r>
    <s v="Kofi Mensah"/>
    <x v="1"/>
    <s v="Afrique de l'Ouest"/>
    <s v="Ngozi Ekwueme"/>
    <x v="325"/>
    <x v="4"/>
    <n v="5"/>
    <n v="15000"/>
    <n v="80677"/>
    <n v="8068"/>
  </r>
  <r>
    <s v="Ibrahim Traoré"/>
    <x v="3"/>
    <s v="Afrique Centrale"/>
    <s v="Kadiatou Kamara"/>
    <x v="326"/>
    <x v="4"/>
    <n v="6"/>
    <n v="15000"/>
    <n v="85632"/>
    <n v="8563"/>
  </r>
  <r>
    <s v="Aïcha Kouyaté"/>
    <x v="11"/>
    <s v="Afrique de l'Ouest"/>
    <s v="Aminata Diop"/>
    <x v="327"/>
    <x v="4"/>
    <n v="9"/>
    <n v="15000"/>
    <n v="121944"/>
    <n v="12194"/>
  </r>
  <r>
    <s v="Kofi Mensah"/>
    <x v="14"/>
    <s v="Afrique de l'Ouest"/>
    <s v="Chioma Coulibaly"/>
    <x v="165"/>
    <x v="1"/>
    <n v="6"/>
    <n v="12500"/>
    <n v="70882"/>
    <n v="5671"/>
  </r>
  <r>
    <s v="Aïcha Kouyaté"/>
    <x v="5"/>
    <s v="Afrique de l'Est"/>
    <s v="Kwame Asante"/>
    <x v="93"/>
    <x v="0"/>
    <n v="8"/>
    <n v="18500"/>
    <n v="141131"/>
    <n v="16936"/>
  </r>
  <r>
    <s v="Ibrahim Traoré"/>
    <x v="0"/>
    <s v="Afrique de l'Ouest"/>
    <s v="Seydou Abubakar"/>
    <x v="131"/>
    <x v="0"/>
    <n v="9"/>
    <n v="18500"/>
    <n v="173084"/>
    <n v="20770"/>
  </r>
  <r>
    <s v="Fatima Ndiaye"/>
    <x v="6"/>
    <s v="Afrique de l'Ouest"/>
    <s v="Seydou Keïta"/>
    <x v="211"/>
    <x v="4"/>
    <n v="1"/>
    <n v="15000"/>
    <n v="15324"/>
    <n v="1532"/>
  </r>
  <r>
    <s v="Kofi Mensah"/>
    <x v="3"/>
    <s v="Afrique Centrale"/>
    <s v="Emeka Okonkwo"/>
    <x v="60"/>
    <x v="4"/>
    <n v="7"/>
    <n v="15000"/>
    <n v="110168"/>
    <n v="11017"/>
  </r>
  <r>
    <s v="Fatima Ndiaye"/>
    <x v="13"/>
    <s v="Afrique de l'Ouest"/>
    <s v="Ngozi Diop"/>
    <x v="185"/>
    <x v="3"/>
    <n v="5"/>
    <n v="55000"/>
    <n v="261360"/>
    <n v="57499"/>
  </r>
  <r>
    <s v="Fatima Ndiaye"/>
    <x v="7"/>
    <s v="Afrique Centrale"/>
    <s v="Aminata Touré"/>
    <x v="237"/>
    <x v="0"/>
    <n v="4"/>
    <n v="18500"/>
    <n v="76885"/>
    <n v="9226"/>
  </r>
  <r>
    <s v="Ibrahim Traoré"/>
    <x v="8"/>
    <s v="Afrique de l'Est"/>
    <s v="Seydou Keïta"/>
    <x v="277"/>
    <x v="2"/>
    <n v="6"/>
    <n v="45000"/>
    <n v="250503"/>
    <n v="45091"/>
  </r>
  <r>
    <s v="Aïcha Kouyaté"/>
    <x v="11"/>
    <s v="Afrique de l'Ouest"/>
    <s v="Ngozi Coulibaly"/>
    <x v="88"/>
    <x v="4"/>
    <n v="8"/>
    <n v="15000"/>
    <n v="123823"/>
    <n v="12382"/>
  </r>
  <r>
    <s v="Kofi Mensah"/>
    <x v="7"/>
    <s v="Afrique Centrale"/>
    <s v="Zainab Bah"/>
    <x v="234"/>
    <x v="2"/>
    <n v="4"/>
    <n v="45000"/>
    <n v="176122"/>
    <n v="31702"/>
  </r>
  <r>
    <s v="Fatima Ndiaye"/>
    <x v="1"/>
    <s v="Afrique de l'Ouest"/>
    <s v="Chidi Kamara"/>
    <x v="328"/>
    <x v="4"/>
    <n v="8"/>
    <n v="15000"/>
    <n v="131919"/>
    <n v="13192"/>
  </r>
  <r>
    <s v="Kofi Mensah"/>
    <x v="14"/>
    <s v="Afrique de l'Ouest"/>
    <s v="Awa Okonkwo"/>
    <x v="320"/>
    <x v="4"/>
    <n v="7"/>
    <n v="15000"/>
    <n v="95314"/>
    <n v="9531"/>
  </r>
  <r>
    <s v="Aïcha Kouyaté"/>
    <x v="6"/>
    <s v="Afrique de l'Ouest"/>
    <s v="Emeka Touré"/>
    <x v="180"/>
    <x v="0"/>
    <n v="10"/>
    <n v="18500"/>
    <n v="180439"/>
    <n v="21653"/>
  </r>
  <r>
    <s v="Fatima Ndiaye"/>
    <x v="5"/>
    <s v="Afrique de l'Est"/>
    <s v="Zainab Sawadogo"/>
    <x v="268"/>
    <x v="3"/>
    <n v="8"/>
    <n v="55000"/>
    <n v="408511"/>
    <n v="89872"/>
  </r>
  <r>
    <s v="Kofi Mensah"/>
    <x v="12"/>
    <s v="Afrique de l'Est"/>
    <s v="Zainab Abubakar"/>
    <x v="329"/>
    <x v="3"/>
    <n v="9"/>
    <n v="55000"/>
    <n v="481712"/>
    <n v="105977"/>
  </r>
  <r>
    <s v="Ibrahim Traoré"/>
    <x v="3"/>
    <s v="Afrique Centrale"/>
    <s v="Awa Asante"/>
    <x v="223"/>
    <x v="1"/>
    <n v="5"/>
    <n v="12500"/>
    <n v="60256"/>
    <n v="4820"/>
  </r>
  <r>
    <s v="Aïcha Kouyaté"/>
    <x v="8"/>
    <s v="Afrique de l'Est"/>
    <s v="Kadiatou Mensah"/>
    <x v="293"/>
    <x v="0"/>
    <n v="7"/>
    <n v="18500"/>
    <n v="121222"/>
    <n v="14547"/>
  </r>
  <r>
    <s v="Kofi Mensah"/>
    <x v="11"/>
    <s v="Afrique de l'Ouest"/>
    <s v="Ngozi Cissé"/>
    <x v="330"/>
    <x v="3"/>
    <n v="3"/>
    <n v="55000"/>
    <n v="176188"/>
    <n v="38761"/>
  </r>
  <r>
    <s v="Amara Diallo"/>
    <x v="5"/>
    <s v="Afrique de l'Est"/>
    <s v="Chidi Touré"/>
    <x v="292"/>
    <x v="1"/>
    <n v="7"/>
    <n v="12500"/>
    <n v="91674"/>
    <n v="7334"/>
  </r>
  <r>
    <s v="Aïcha Kouyaté"/>
    <x v="7"/>
    <s v="Afrique Centrale"/>
    <s v="Seydou Kamara"/>
    <x v="183"/>
    <x v="2"/>
    <n v="3"/>
    <n v="45000"/>
    <n v="128592"/>
    <n v="23147"/>
  </r>
  <r>
    <s v="Kofi Mensah"/>
    <x v="13"/>
    <s v="Afrique de l'Ouest"/>
    <s v="Kwame Okonkwo"/>
    <x v="11"/>
    <x v="4"/>
    <n v="10"/>
    <n v="15000"/>
    <n v="143006"/>
    <n v="14301"/>
  </r>
  <r>
    <s v="Kofi Mensah"/>
    <x v="14"/>
    <s v="Afrique de l'Ouest"/>
    <s v="Emeka Abubakar"/>
    <x v="117"/>
    <x v="1"/>
    <n v="7"/>
    <n v="12500"/>
    <n v="92235"/>
    <n v="7379"/>
  </r>
  <r>
    <s v="Amara Diallo"/>
    <x v="11"/>
    <s v="Afrique de l'Ouest"/>
    <s v="Chidi Touré"/>
    <x v="86"/>
    <x v="3"/>
    <n v="2"/>
    <n v="55000"/>
    <n v="116064"/>
    <n v="25534"/>
  </r>
  <r>
    <s v="Ibrahim Traoré"/>
    <x v="6"/>
    <s v="Afrique de l'Ouest"/>
    <s v="Oumar Okonkwo"/>
    <x v="331"/>
    <x v="4"/>
    <n v="7"/>
    <n v="15000"/>
    <n v="95522"/>
    <n v="9552"/>
  </r>
  <r>
    <s v="Kofi Mensah"/>
    <x v="4"/>
    <s v="Afrique de l'Est"/>
    <s v="Chidi Abubakar"/>
    <x v="319"/>
    <x v="2"/>
    <n v="1"/>
    <n v="45000"/>
    <n v="41993"/>
    <n v="7559"/>
  </r>
  <r>
    <s v="Ibrahim Traoré"/>
    <x v="5"/>
    <s v="Afrique de l'Est"/>
    <s v="Zainab Cissé"/>
    <x v="89"/>
    <x v="1"/>
    <n v="8"/>
    <n v="12500"/>
    <n v="90618"/>
    <n v="7249"/>
  </r>
  <r>
    <s v="Fatima Ndiaye"/>
    <x v="9"/>
    <s v="Afrique de l'Ouest"/>
    <s v="Ngozi Mensah"/>
    <x v="29"/>
    <x v="1"/>
    <n v="10"/>
    <n v="12500"/>
    <n v="118621"/>
    <n v="9490"/>
  </r>
  <r>
    <s v="Ibrahim Traoré"/>
    <x v="4"/>
    <s v="Afrique de l'Est"/>
    <s v="Aminata Diop"/>
    <x v="332"/>
    <x v="1"/>
    <n v="5"/>
    <n v="12500"/>
    <n v="60538"/>
    <n v="4843"/>
  </r>
  <r>
    <s v="Amara Diallo"/>
    <x v="8"/>
    <s v="Afrique de l'Est"/>
    <s v="Moussa Cissé"/>
    <x v="276"/>
    <x v="0"/>
    <n v="3"/>
    <n v="18500"/>
    <n v="50969"/>
    <n v="6116"/>
  </r>
  <r>
    <s v="Aïcha Kouyaté"/>
    <x v="8"/>
    <s v="Afrique de l'Est"/>
    <s v="Aminata Touré"/>
    <x v="66"/>
    <x v="2"/>
    <n v="4"/>
    <n v="45000"/>
    <n v="187140"/>
    <n v="33685"/>
  </r>
  <r>
    <s v="Aïcha Kouyaté"/>
    <x v="8"/>
    <s v="Afrique de l'Est"/>
    <s v="Aminata Sawadogo"/>
    <x v="79"/>
    <x v="3"/>
    <n v="6"/>
    <n v="55000"/>
    <n v="350560"/>
    <n v="77123"/>
  </r>
  <r>
    <s v="Kofi Mensah"/>
    <x v="0"/>
    <s v="Afrique de l'Ouest"/>
    <s v="Kadiatou Coulibaly"/>
    <x v="172"/>
    <x v="2"/>
    <n v="8"/>
    <n v="45000"/>
    <n v="337796"/>
    <n v="60803"/>
  </r>
  <r>
    <s v="Aïcha Kouyaté"/>
    <x v="9"/>
    <s v="Afrique de l'Ouest"/>
    <s v="Emeka Cissé"/>
    <x v="169"/>
    <x v="2"/>
    <n v="10"/>
    <n v="45000"/>
    <n v="418718"/>
    <n v="75369"/>
  </r>
  <r>
    <s v="Aïcha Kouyaté"/>
    <x v="4"/>
    <s v="Afrique de l'Est"/>
    <s v="Chioma Ekwueme"/>
    <x v="61"/>
    <x v="3"/>
    <n v="2"/>
    <n v="55000"/>
    <n v="104502"/>
    <n v="22990"/>
  </r>
  <r>
    <s v="Fatima Ndiaye"/>
    <x v="7"/>
    <s v="Afrique Centrale"/>
    <s v="Seydou Sawadogo"/>
    <x v="133"/>
    <x v="4"/>
    <n v="3"/>
    <n v="15000"/>
    <n v="40894"/>
    <n v="4089"/>
  </r>
  <r>
    <s v="Kofi Mensah"/>
    <x v="1"/>
    <s v="Afrique de l'Ouest"/>
    <s v="Seydou Mensah"/>
    <x v="131"/>
    <x v="0"/>
    <n v="7"/>
    <n v="18500"/>
    <n v="121844"/>
    <n v="14621"/>
  </r>
  <r>
    <s v="Kofi Mensah"/>
    <x v="14"/>
    <s v="Afrique de l'Ouest"/>
    <s v="Zainab Keïta"/>
    <x v="258"/>
    <x v="2"/>
    <n v="2"/>
    <n v="45000"/>
    <n v="90307"/>
    <n v="16255"/>
  </r>
  <r>
    <s v="Aïcha Kouyaté"/>
    <x v="1"/>
    <s v="Afrique de l'Ouest"/>
    <s v="Moussa Diop"/>
    <x v="46"/>
    <x v="0"/>
    <n v="10"/>
    <n v="18500"/>
    <n v="202114"/>
    <n v="24254"/>
  </r>
  <r>
    <s v="Aïcha Kouyaté"/>
    <x v="3"/>
    <s v="Afrique Centrale"/>
    <s v="Adama Touré"/>
    <x v="163"/>
    <x v="0"/>
    <n v="6"/>
    <n v="18500"/>
    <n v="105199"/>
    <n v="12624"/>
  </r>
  <r>
    <s v="Ibrahim Traoré"/>
    <x v="13"/>
    <s v="Afrique de l'Ouest"/>
    <s v="Oumar Bah"/>
    <x v="3"/>
    <x v="4"/>
    <n v="2"/>
    <n v="15000"/>
    <n v="31295"/>
    <n v="3130"/>
  </r>
  <r>
    <s v="Ibrahim Traoré"/>
    <x v="14"/>
    <s v="Afrique de l'Ouest"/>
    <s v="Ngozi Bah"/>
    <x v="196"/>
    <x v="0"/>
    <n v="5"/>
    <n v="18500"/>
    <n v="83445"/>
    <n v="10013"/>
  </r>
  <r>
    <s v="Aïcha Kouyaté"/>
    <x v="6"/>
    <s v="Afrique de l'Ouest"/>
    <s v="Mariama Okonkwo"/>
    <x v="13"/>
    <x v="0"/>
    <n v="9"/>
    <n v="18500"/>
    <n v="166262"/>
    <n v="19951"/>
  </r>
  <r>
    <s v="Kofi Mensah"/>
    <x v="4"/>
    <s v="Afrique de l'Est"/>
    <s v="Moussa Nwosu"/>
    <x v="322"/>
    <x v="4"/>
    <n v="9"/>
    <n v="15000"/>
    <n v="134247"/>
    <n v="13425"/>
  </r>
  <r>
    <s v="Fatima Ndiaye"/>
    <x v="10"/>
    <s v="Afrique Centrale"/>
    <s v="Yaw Kamara"/>
    <x v="333"/>
    <x v="0"/>
    <n v="4"/>
    <n v="18500"/>
    <n v="70841"/>
    <n v="8501"/>
  </r>
  <r>
    <s v="Ibrahim Traoré"/>
    <x v="10"/>
    <s v="Afrique Centrale"/>
    <s v="Seydou Mensah"/>
    <x v="203"/>
    <x v="3"/>
    <n v="4"/>
    <n v="55000"/>
    <n v="202039"/>
    <n v="44449"/>
  </r>
  <r>
    <s v="Kofi Mensah"/>
    <x v="6"/>
    <s v="Afrique de l'Ouest"/>
    <s v="Emeka Ekwueme"/>
    <x v="334"/>
    <x v="3"/>
    <n v="2"/>
    <n v="55000"/>
    <n v="107489"/>
    <n v="23648"/>
  </r>
  <r>
    <s v="Ibrahim Traoré"/>
    <x v="13"/>
    <s v="Afrique de l'Ouest"/>
    <s v="Yaw Diop"/>
    <x v="72"/>
    <x v="4"/>
    <n v="3"/>
    <n v="15000"/>
    <n v="41091"/>
    <n v="4109"/>
  </r>
  <r>
    <s v="Aïcha Kouyaté"/>
    <x v="1"/>
    <s v="Afrique de l'Ouest"/>
    <s v="Oumar Mensah"/>
    <x v="335"/>
    <x v="3"/>
    <n v="9"/>
    <n v="55000"/>
    <n v="509723"/>
    <n v="112139"/>
  </r>
  <r>
    <s v="Amara Diallo"/>
    <x v="5"/>
    <s v="Afrique de l'Est"/>
    <s v="Emeka Okonkwo"/>
    <x v="82"/>
    <x v="2"/>
    <n v="6"/>
    <n v="45000"/>
    <n v="293550"/>
    <n v="52839"/>
  </r>
  <r>
    <s v="Kofi Mensah"/>
    <x v="9"/>
    <s v="Afrique de l'Ouest"/>
    <s v="Mariama Abubakar"/>
    <x v="0"/>
    <x v="2"/>
    <n v="9"/>
    <n v="45000"/>
    <n v="403556"/>
    <n v="72640"/>
  </r>
  <r>
    <s v="Fatima Ndiaye"/>
    <x v="5"/>
    <s v="Afrique de l'Est"/>
    <s v="Chidi Okonkwo"/>
    <x v="37"/>
    <x v="2"/>
    <n v="8"/>
    <n v="45000"/>
    <n v="394518"/>
    <n v="71013"/>
  </r>
  <r>
    <s v="Amara Diallo"/>
    <x v="3"/>
    <s v="Afrique Centrale"/>
    <s v="Emeka Okonkwo"/>
    <x v="92"/>
    <x v="1"/>
    <n v="4"/>
    <n v="12500"/>
    <n v="51281"/>
    <n v="4102"/>
  </r>
  <r>
    <s v="Aïcha Kouyaté"/>
    <x v="14"/>
    <s v="Afrique de l'Ouest"/>
    <s v="Seydou Keïta"/>
    <x v="161"/>
    <x v="1"/>
    <n v="3"/>
    <n v="12500"/>
    <n v="40991"/>
    <n v="3279"/>
  </r>
  <r>
    <s v="Fatima Ndiaye"/>
    <x v="2"/>
    <s v="Afrique de l'Ouest"/>
    <s v="Yaw Bah"/>
    <x v="130"/>
    <x v="3"/>
    <n v="6"/>
    <n v="55000"/>
    <n v="361266"/>
    <n v="79479"/>
  </r>
  <r>
    <s v="Amara Diallo"/>
    <x v="0"/>
    <s v="Afrique de l'Ouest"/>
    <s v="Emeka Nwosu"/>
    <x v="261"/>
    <x v="4"/>
    <n v="6"/>
    <n v="15000"/>
    <n v="81755"/>
    <n v="8176"/>
  </r>
  <r>
    <s v="Amara Diallo"/>
    <x v="1"/>
    <s v="Afrique de l'Ouest"/>
    <s v="Mariama Okonkwo"/>
    <x v="49"/>
    <x v="1"/>
    <n v="6"/>
    <n v="12500"/>
    <n v="70267"/>
    <n v="5621"/>
  </r>
  <r>
    <s v="Fatima Ndiaye"/>
    <x v="7"/>
    <s v="Afrique Centrale"/>
    <s v="Awa Mensah"/>
    <x v="104"/>
    <x v="4"/>
    <n v="8"/>
    <n v="15000"/>
    <n v="118506"/>
    <n v="11851"/>
  </r>
  <r>
    <s v="Fatima Ndiaye"/>
    <x v="10"/>
    <s v="Afrique Centrale"/>
    <s v="Kwame Asante"/>
    <x v="290"/>
    <x v="1"/>
    <n v="9"/>
    <n v="12500"/>
    <n v="109673"/>
    <n v="8774"/>
  </r>
  <r>
    <s v="Amara Diallo"/>
    <x v="12"/>
    <s v="Afrique de l'Est"/>
    <s v="Seydou Ekwueme"/>
    <x v="250"/>
    <x v="0"/>
    <n v="4"/>
    <n v="18500"/>
    <n v="71634"/>
    <n v="8596"/>
  </r>
  <r>
    <s v="Kofi Mensah"/>
    <x v="8"/>
    <s v="Afrique de l'Est"/>
    <s v="Aminata Asante"/>
    <x v="51"/>
    <x v="2"/>
    <n v="9"/>
    <n v="45000"/>
    <n v="418302"/>
    <n v="75294"/>
  </r>
  <r>
    <s v="Ibrahim Traoré"/>
    <x v="13"/>
    <s v="Afrique de l'Ouest"/>
    <s v="Kadiatou Cissé"/>
    <x v="55"/>
    <x v="0"/>
    <n v="3"/>
    <n v="18500"/>
    <n v="54094"/>
    <n v="6491"/>
  </r>
  <r>
    <s v="Kofi Mensah"/>
    <x v="12"/>
    <s v="Afrique de l'Est"/>
    <s v="Chioma Okonkwo"/>
    <x v="13"/>
    <x v="4"/>
    <n v="10"/>
    <n v="15000"/>
    <n v="154542"/>
    <n v="15454"/>
  </r>
  <r>
    <s v="Ibrahim Traoré"/>
    <x v="9"/>
    <s v="Afrique de l'Ouest"/>
    <s v="Chioma Kamara"/>
    <x v="231"/>
    <x v="4"/>
    <n v="6"/>
    <n v="15000"/>
    <n v="82297"/>
    <n v="8230"/>
  </r>
  <r>
    <s v="Kofi Mensah"/>
    <x v="6"/>
    <s v="Afrique de l'Ouest"/>
    <s v="Moussa Abubakar"/>
    <x v="288"/>
    <x v="1"/>
    <n v="8"/>
    <n v="12500"/>
    <n v="98091"/>
    <n v="7847"/>
  </r>
  <r>
    <s v="Aïcha Kouyaté"/>
    <x v="4"/>
    <s v="Afrique de l'Est"/>
    <s v="Ngozi Nwosu"/>
    <x v="102"/>
    <x v="1"/>
    <n v="3"/>
    <n v="12500"/>
    <n v="35677"/>
    <n v="2854"/>
  </r>
  <r>
    <s v="Fatima Ndiaye"/>
    <x v="1"/>
    <s v="Afrique de l'Ouest"/>
    <s v="Kwame Cissé"/>
    <x v="242"/>
    <x v="2"/>
    <n v="9"/>
    <n v="45000"/>
    <n v="421956"/>
    <n v="75952"/>
  </r>
  <r>
    <s v="Fatima Ndiaye"/>
    <x v="13"/>
    <s v="Afrique de l'Ouest"/>
    <s v="Moussa Asante"/>
    <x v="334"/>
    <x v="4"/>
    <n v="2"/>
    <n v="15000"/>
    <n v="28239"/>
    <n v="2824"/>
  </r>
  <r>
    <s v="Fatima Ndiaye"/>
    <x v="14"/>
    <s v="Afrique de l'Ouest"/>
    <s v="Ngozi Touré"/>
    <x v="267"/>
    <x v="4"/>
    <n v="5"/>
    <n v="15000"/>
    <n v="72662"/>
    <n v="7266"/>
  </r>
  <r>
    <s v="Kofi Mensah"/>
    <x v="2"/>
    <s v="Afrique de l'Ouest"/>
    <s v="Adama Diop"/>
    <x v="199"/>
    <x v="2"/>
    <n v="9"/>
    <n v="45000"/>
    <n v="388334"/>
    <n v="69900"/>
  </r>
  <r>
    <s v="Kofi Mensah"/>
    <x v="6"/>
    <s v="Afrique de l'Ouest"/>
    <s v="Zainab Nwosu"/>
    <x v="67"/>
    <x v="2"/>
    <n v="7"/>
    <n v="45000"/>
    <n v="305160"/>
    <n v="54929"/>
  </r>
  <r>
    <s v="Ibrahim Traoré"/>
    <x v="2"/>
    <s v="Afrique de l'Ouest"/>
    <s v="Oumar Diop"/>
    <x v="45"/>
    <x v="0"/>
    <n v="10"/>
    <n v="18500"/>
    <n v="185781"/>
    <n v="22294"/>
  </r>
  <r>
    <s v="Aïcha Kouyaté"/>
    <x v="4"/>
    <s v="Afrique de l'Est"/>
    <s v="Kadiatou Bah"/>
    <x v="238"/>
    <x v="0"/>
    <n v="4"/>
    <n v="18500"/>
    <n v="79396"/>
    <n v="9528"/>
  </r>
  <r>
    <s v="Fatima Ndiaye"/>
    <x v="8"/>
    <s v="Afrique de l'Est"/>
    <s v="Emeka Kamara"/>
    <x v="152"/>
    <x v="1"/>
    <n v="3"/>
    <n v="12500"/>
    <n v="38462"/>
    <n v="3077"/>
  </r>
  <r>
    <s v="Aïcha Kouyaté"/>
    <x v="4"/>
    <s v="Afrique de l'Est"/>
    <s v="Chidi Keïta"/>
    <x v="86"/>
    <x v="1"/>
    <n v="2"/>
    <n v="12500"/>
    <n v="23442"/>
    <n v="1875"/>
  </r>
  <r>
    <s v="Kofi Mensah"/>
    <x v="12"/>
    <s v="Afrique de l'Est"/>
    <s v="Emeka Diop"/>
    <x v="44"/>
    <x v="1"/>
    <n v="1"/>
    <n v="12500"/>
    <n v="12537"/>
    <n v="1003"/>
  </r>
  <r>
    <s v="Fatima Ndiaye"/>
    <x v="1"/>
    <s v="Afrique de l'Ouest"/>
    <s v="Awa Keïta"/>
    <x v="245"/>
    <x v="3"/>
    <n v="3"/>
    <n v="55000"/>
    <n v="156524"/>
    <n v="34435"/>
  </r>
  <r>
    <s v="Ibrahim Traoré"/>
    <x v="12"/>
    <s v="Afrique de l'Est"/>
    <s v="Awa Ekwueme"/>
    <x v="17"/>
    <x v="4"/>
    <n v="2"/>
    <n v="15000"/>
    <n v="29038"/>
    <n v="2904"/>
  </r>
  <r>
    <s v="Kofi Mensah"/>
    <x v="1"/>
    <s v="Afrique de l'Ouest"/>
    <s v="Zainab Kamara"/>
    <x v="158"/>
    <x v="4"/>
    <n v="1"/>
    <n v="15000"/>
    <n v="14611"/>
    <n v="1461"/>
  </r>
  <r>
    <s v="Aïcha Kouyaté"/>
    <x v="0"/>
    <s v="Afrique de l'Ouest"/>
    <s v="Chidi Ekwueme"/>
    <x v="336"/>
    <x v="1"/>
    <n v="6"/>
    <n v="12500"/>
    <n v="73365"/>
    <n v="5869"/>
  </r>
  <r>
    <s v="Aïcha Kouyaté"/>
    <x v="5"/>
    <s v="Afrique de l'Est"/>
    <s v="Moussa Ekwueme"/>
    <x v="101"/>
    <x v="3"/>
    <n v="9"/>
    <n v="55000"/>
    <n v="487148"/>
    <n v="107173"/>
  </r>
  <r>
    <s v="Ibrahim Traoré"/>
    <x v="13"/>
    <s v="Afrique de l'Ouest"/>
    <s v="Ngozi Abubakar"/>
    <x v="268"/>
    <x v="4"/>
    <n v="4"/>
    <n v="15000"/>
    <n v="60922"/>
    <n v="6092"/>
  </r>
  <r>
    <s v="Fatima Ndiaye"/>
    <x v="5"/>
    <s v="Afrique de l'Est"/>
    <s v="Adama Ekwueme"/>
    <x v="337"/>
    <x v="2"/>
    <n v="3"/>
    <n v="45000"/>
    <n v="147495"/>
    <n v="26549"/>
  </r>
  <r>
    <s v="Aïcha Kouyaté"/>
    <x v="11"/>
    <s v="Afrique de l'Ouest"/>
    <s v="Oumar Asante"/>
    <x v="70"/>
    <x v="3"/>
    <n v="3"/>
    <n v="55000"/>
    <n v="168674"/>
    <n v="37108"/>
  </r>
  <r>
    <s v="Amara Diallo"/>
    <x v="7"/>
    <s v="Afrique Centrale"/>
    <s v="Awa Nwosu"/>
    <x v="271"/>
    <x v="4"/>
    <n v="4"/>
    <n v="15000"/>
    <n v="59008"/>
    <n v="5901"/>
  </r>
  <r>
    <s v="Aïcha Kouyaté"/>
    <x v="6"/>
    <s v="Afrique de l'Ouest"/>
    <s v="Kadiatou Abubakar"/>
    <x v="221"/>
    <x v="2"/>
    <n v="1"/>
    <n v="45000"/>
    <n v="49037"/>
    <n v="8827"/>
  </r>
  <r>
    <s v="Fatima Ndiaye"/>
    <x v="3"/>
    <s v="Afrique Centrale"/>
    <s v="Awa Asante"/>
    <x v="307"/>
    <x v="0"/>
    <n v="9"/>
    <n v="18500"/>
    <n v="155391"/>
    <n v="18647"/>
  </r>
  <r>
    <s v="Amara Diallo"/>
    <x v="13"/>
    <s v="Afrique de l'Ouest"/>
    <s v="Awa Dembélé"/>
    <x v="122"/>
    <x v="0"/>
    <n v="6"/>
    <n v="18500"/>
    <n v="119939"/>
    <n v="14393"/>
  </r>
  <r>
    <s v="Ibrahim Traoré"/>
    <x v="2"/>
    <s v="Afrique de l'Ouest"/>
    <s v="Awa Keïta"/>
    <x v="306"/>
    <x v="4"/>
    <n v="1"/>
    <n v="15000"/>
    <n v="16372"/>
    <n v="1637"/>
  </r>
  <r>
    <s v="Amara Diallo"/>
    <x v="10"/>
    <s v="Afrique Centrale"/>
    <s v="Emeka Diop"/>
    <x v="289"/>
    <x v="3"/>
    <n v="7"/>
    <n v="55000"/>
    <n v="408721"/>
    <n v="89919"/>
  </r>
  <r>
    <s v="Aïcha Kouyaté"/>
    <x v="0"/>
    <s v="Afrique de l'Ouest"/>
    <s v="Kwame Sawadogo"/>
    <x v="338"/>
    <x v="3"/>
    <n v="9"/>
    <n v="55000"/>
    <n v="456990"/>
    <n v="100538"/>
  </r>
  <r>
    <s v="Fatima Ndiaye"/>
    <x v="4"/>
    <s v="Afrique de l'Est"/>
    <s v="Seydou Okonkwo"/>
    <x v="27"/>
    <x v="1"/>
    <n v="9"/>
    <n v="12500"/>
    <n v="110991"/>
    <n v="8879"/>
  </r>
  <r>
    <s v="Ibrahim Traoré"/>
    <x v="7"/>
    <s v="Afrique Centrale"/>
    <s v="Yaw Touré"/>
    <x v="195"/>
    <x v="4"/>
    <n v="1"/>
    <n v="15000"/>
    <n v="15334"/>
    <n v="1533"/>
  </r>
  <r>
    <s v="Ibrahim Traoré"/>
    <x v="13"/>
    <s v="Afrique de l'Ouest"/>
    <s v="Ngozi Cissé"/>
    <x v="339"/>
    <x v="1"/>
    <n v="6"/>
    <n v="12500"/>
    <n v="79171"/>
    <n v="6334"/>
  </r>
  <r>
    <s v="Aïcha Kouyaté"/>
    <x v="10"/>
    <s v="Afrique Centrale"/>
    <s v="Zainab Ekwueme"/>
    <x v="224"/>
    <x v="3"/>
    <n v="4"/>
    <n v="55000"/>
    <n v="209518"/>
    <n v="46094"/>
  </r>
  <r>
    <s v="Ibrahim Traoré"/>
    <x v="14"/>
    <s v="Afrique de l'Ouest"/>
    <s v="Zainab Coulibaly"/>
    <x v="274"/>
    <x v="3"/>
    <n v="2"/>
    <n v="55000"/>
    <n v="117141"/>
    <n v="25771"/>
  </r>
  <r>
    <s v="Ibrahim Traoré"/>
    <x v="11"/>
    <s v="Afrique de l'Ouest"/>
    <s v="Zainab Kamara"/>
    <x v="231"/>
    <x v="4"/>
    <n v="5"/>
    <n v="15000"/>
    <n v="81193"/>
    <n v="8119"/>
  </r>
  <r>
    <s v="Kofi Mensah"/>
    <x v="4"/>
    <s v="Afrique de l'Est"/>
    <s v="Awa Kamara"/>
    <x v="284"/>
    <x v="2"/>
    <n v="3"/>
    <n v="45000"/>
    <n v="127281"/>
    <n v="22911"/>
  </r>
  <r>
    <s v="Fatima Ndiaye"/>
    <x v="6"/>
    <s v="Afrique de l'Ouest"/>
    <s v="Zainab Asante"/>
    <x v="137"/>
    <x v="3"/>
    <n v="2"/>
    <n v="55000"/>
    <n v="105584"/>
    <n v="23228"/>
  </r>
  <r>
    <s v="Fatima Ndiaye"/>
    <x v="8"/>
    <s v="Afrique de l'Est"/>
    <s v="Chidi Ekwueme"/>
    <x v="172"/>
    <x v="4"/>
    <n v="4"/>
    <n v="15000"/>
    <n v="58963"/>
    <n v="5896"/>
  </r>
  <r>
    <s v="Kofi Mensah"/>
    <x v="13"/>
    <s v="Afrique de l'Ouest"/>
    <s v="Chioma Dembélé"/>
    <x v="192"/>
    <x v="3"/>
    <n v="1"/>
    <n v="55000"/>
    <n v="57157"/>
    <n v="12575"/>
  </r>
  <r>
    <s v="Aïcha Kouyaté"/>
    <x v="3"/>
    <s v="Afrique Centrale"/>
    <s v="Zainab Dembélé"/>
    <x v="340"/>
    <x v="1"/>
    <n v="7"/>
    <n v="12500"/>
    <n v="78777"/>
    <n v="6302"/>
  </r>
  <r>
    <s v="Aïcha Kouyaté"/>
    <x v="9"/>
    <s v="Afrique de l'Ouest"/>
    <s v="Kadiatou Sawadogo"/>
    <x v="135"/>
    <x v="0"/>
    <n v="9"/>
    <n v="18500"/>
    <n v="152453"/>
    <n v="18294"/>
  </r>
  <r>
    <s v="Aïcha Kouyaté"/>
    <x v="11"/>
    <s v="Afrique de l'Ouest"/>
    <s v="Chidi Diop"/>
    <x v="153"/>
    <x v="0"/>
    <n v="9"/>
    <n v="18500"/>
    <n v="157527"/>
    <n v="18903"/>
  </r>
  <r>
    <s v="Amara Diallo"/>
    <x v="7"/>
    <s v="Afrique Centrale"/>
    <s v="Oumar Mensah"/>
    <x v="264"/>
    <x v="4"/>
    <n v="1"/>
    <n v="15000"/>
    <n v="14576"/>
    <n v="1458"/>
  </r>
  <r>
    <s v="Kofi Mensah"/>
    <x v="13"/>
    <s v="Afrique de l'Ouest"/>
    <s v="Ngozi Diop"/>
    <x v="310"/>
    <x v="1"/>
    <n v="3"/>
    <n v="12500"/>
    <n v="40012"/>
    <n v="3201"/>
  </r>
  <r>
    <s v="Aïcha Kouyaté"/>
    <x v="8"/>
    <s v="Afrique de l'Est"/>
    <s v="Chioma Touré"/>
    <x v="44"/>
    <x v="1"/>
    <n v="9"/>
    <n v="12500"/>
    <n v="112242"/>
    <n v="8979"/>
  </r>
  <r>
    <s v="Ibrahim Traoré"/>
    <x v="3"/>
    <s v="Afrique Centrale"/>
    <s v="Moussa Coulibaly"/>
    <x v="309"/>
    <x v="1"/>
    <n v="4"/>
    <n v="12500"/>
    <n v="52673"/>
    <n v="4214"/>
  </r>
  <r>
    <s v="Fatima Ndiaye"/>
    <x v="11"/>
    <s v="Afrique de l'Ouest"/>
    <s v="Zainab Okonkwo"/>
    <x v="112"/>
    <x v="1"/>
    <n v="5"/>
    <n v="12500"/>
    <n v="65073"/>
    <n v="5206"/>
  </r>
  <r>
    <s v="Amara Diallo"/>
    <x v="10"/>
    <s v="Afrique Centrale"/>
    <s v="Emeka Diop"/>
    <x v="137"/>
    <x v="2"/>
    <n v="3"/>
    <n v="45000"/>
    <n v="145619"/>
    <n v="26211"/>
  </r>
  <r>
    <s v="Ibrahim Traoré"/>
    <x v="12"/>
    <s v="Afrique de l'Est"/>
    <s v="Kadiatou Touré"/>
    <x v="282"/>
    <x v="1"/>
    <n v="6"/>
    <n v="12500"/>
    <n v="73709"/>
    <n v="5897"/>
  </r>
  <r>
    <s v="Aïcha Kouyaté"/>
    <x v="0"/>
    <s v="Afrique de l'Ouest"/>
    <s v="Seydou Mensah"/>
    <x v="340"/>
    <x v="4"/>
    <n v="6"/>
    <n v="15000"/>
    <n v="89173"/>
    <n v="8917"/>
  </r>
  <r>
    <s v="Ibrahim Traoré"/>
    <x v="8"/>
    <s v="Afrique de l'Est"/>
    <s v="Mariama Kamara"/>
    <x v="266"/>
    <x v="4"/>
    <n v="4"/>
    <n v="15000"/>
    <n v="58295"/>
    <n v="5830"/>
  </r>
  <r>
    <s v="Ibrahim Traoré"/>
    <x v="14"/>
    <s v="Afrique de l'Ouest"/>
    <s v="Yaw Ekwueme"/>
    <x v="38"/>
    <x v="4"/>
    <n v="5"/>
    <n v="15000"/>
    <n v="75255"/>
    <n v="7526"/>
  </r>
  <r>
    <s v="Aïcha Kouyaté"/>
    <x v="0"/>
    <s v="Afrique de l'Ouest"/>
    <s v="Awa Bah"/>
    <x v="285"/>
    <x v="3"/>
    <n v="1"/>
    <n v="55000"/>
    <n v="51468"/>
    <n v="11323"/>
  </r>
  <r>
    <s v="Aïcha Kouyaté"/>
    <x v="4"/>
    <s v="Afrique de l'Est"/>
    <s v="Moussa Asante"/>
    <x v="203"/>
    <x v="3"/>
    <n v="1"/>
    <n v="55000"/>
    <n v="50731"/>
    <n v="11161"/>
  </r>
  <r>
    <s v="Fatima Ndiaye"/>
    <x v="14"/>
    <s v="Afrique de l'Ouest"/>
    <s v="Adama Nwosu"/>
    <x v="303"/>
    <x v="2"/>
    <n v="2"/>
    <n v="45000"/>
    <n v="93345"/>
    <n v="16802"/>
  </r>
  <r>
    <s v="Amara Diallo"/>
    <x v="13"/>
    <s v="Afrique de l'Ouest"/>
    <s v="Oumar Mensah"/>
    <x v="1"/>
    <x v="1"/>
    <n v="7"/>
    <n v="12500"/>
    <n v="93105"/>
    <n v="7448"/>
  </r>
  <r>
    <s v="Aïcha Kouyaté"/>
    <x v="5"/>
    <s v="Afrique de l'Est"/>
    <s v="Chidi Sawadogo"/>
    <x v="226"/>
    <x v="3"/>
    <n v="9"/>
    <n v="55000"/>
    <n v="519105"/>
    <n v="114203"/>
  </r>
  <r>
    <s v="Ibrahim Traoré"/>
    <x v="12"/>
    <s v="Afrique de l'Est"/>
    <s v="Emeka Bah"/>
    <x v="145"/>
    <x v="4"/>
    <n v="4"/>
    <n v="15000"/>
    <n v="60758"/>
    <n v="6076"/>
  </r>
  <r>
    <s v="Aïcha Kouyaté"/>
    <x v="6"/>
    <s v="Afrique de l'Ouest"/>
    <s v="Yaw Bah"/>
    <x v="81"/>
    <x v="4"/>
    <n v="5"/>
    <n v="15000"/>
    <n v="67888"/>
    <n v="6789"/>
  </r>
  <r>
    <s v="Aïcha Kouyaté"/>
    <x v="13"/>
    <s v="Afrique de l'Ouest"/>
    <s v="Kadiatou Touré"/>
    <x v="260"/>
    <x v="4"/>
    <n v="4"/>
    <n v="15000"/>
    <n v="61496"/>
    <n v="6150"/>
  </r>
  <r>
    <s v="Kofi Mensah"/>
    <x v="4"/>
    <s v="Afrique de l'Est"/>
    <s v="Oumar Abubakar"/>
    <x v="252"/>
    <x v="2"/>
    <n v="1"/>
    <n v="45000"/>
    <n v="41829"/>
    <n v="7529"/>
  </r>
  <r>
    <s v="Ibrahim Traoré"/>
    <x v="0"/>
    <s v="Afrique de l'Ouest"/>
    <s v="Ngozi Ekwueme"/>
    <x v="181"/>
    <x v="1"/>
    <n v="3"/>
    <n v="12500"/>
    <n v="37093"/>
    <n v="2967"/>
  </r>
  <r>
    <s v="Aïcha Kouyaté"/>
    <x v="0"/>
    <s v="Afrique de l'Ouest"/>
    <s v="Adama Bah"/>
    <x v="191"/>
    <x v="1"/>
    <n v="7"/>
    <n v="12500"/>
    <n v="89847"/>
    <n v="7188"/>
  </r>
  <r>
    <s v="Amara Diallo"/>
    <x v="14"/>
    <s v="Afrique de l'Ouest"/>
    <s v="Oumar Coulibaly"/>
    <x v="318"/>
    <x v="3"/>
    <n v="6"/>
    <n v="55000"/>
    <n v="362733"/>
    <n v="79801"/>
  </r>
  <r>
    <s v="Fatima Ndiaye"/>
    <x v="14"/>
    <s v="Afrique de l'Ouest"/>
    <s v="Chioma Keïta"/>
    <x v="318"/>
    <x v="0"/>
    <n v="7"/>
    <n v="18500"/>
    <n v="138729"/>
    <n v="16647"/>
  </r>
  <r>
    <s v="Amara Diallo"/>
    <x v="9"/>
    <s v="Afrique de l'Ouest"/>
    <s v="Moussa Mensah"/>
    <x v="96"/>
    <x v="3"/>
    <n v="2"/>
    <n v="55000"/>
    <n v="112581"/>
    <n v="24768"/>
  </r>
  <r>
    <s v="Fatima Ndiaye"/>
    <x v="9"/>
    <s v="Afrique de l'Ouest"/>
    <s v="Adama Cissé"/>
    <x v="210"/>
    <x v="4"/>
    <n v="5"/>
    <n v="15000"/>
    <n v="78509"/>
    <n v="7851"/>
  </r>
  <r>
    <s v="Aïcha Kouyaté"/>
    <x v="4"/>
    <s v="Afrique de l'Est"/>
    <s v="Yaw Kamara"/>
    <x v="206"/>
    <x v="1"/>
    <n v="3"/>
    <n v="12500"/>
    <n v="40749"/>
    <n v="3260"/>
  </r>
  <r>
    <s v="Amara Diallo"/>
    <x v="10"/>
    <s v="Afrique Centrale"/>
    <s v="Chioma Okonkwo"/>
    <x v="128"/>
    <x v="2"/>
    <n v="2"/>
    <n v="45000"/>
    <n v="98255"/>
    <n v="17686"/>
  </r>
  <r>
    <s v="Ibrahim Traoré"/>
    <x v="7"/>
    <s v="Afrique Centrale"/>
    <s v="Yaw Sawadogo"/>
    <x v="125"/>
    <x v="3"/>
    <n v="3"/>
    <n v="55000"/>
    <n v="164846"/>
    <n v="36266"/>
  </r>
  <r>
    <s v="Aïcha Kouyaté"/>
    <x v="2"/>
    <s v="Afrique de l'Ouest"/>
    <s v="Seydou Ekwueme"/>
    <x v="189"/>
    <x v="1"/>
    <n v="10"/>
    <n v="12500"/>
    <n v="137251"/>
    <n v="10980"/>
  </r>
  <r>
    <s v="Aïcha Kouyaté"/>
    <x v="7"/>
    <s v="Afrique Centrale"/>
    <s v="Yaw Ekwueme"/>
    <x v="341"/>
    <x v="1"/>
    <n v="2"/>
    <n v="12500"/>
    <n v="26158"/>
    <n v="2093"/>
  </r>
  <r>
    <s v="Fatima Ndiaye"/>
    <x v="8"/>
    <s v="Afrique de l'Est"/>
    <s v="Mariama Abubakar"/>
    <x v="114"/>
    <x v="0"/>
    <n v="6"/>
    <n v="18500"/>
    <n v="116663"/>
    <n v="14000"/>
  </r>
  <r>
    <s v="Amara Diallo"/>
    <x v="5"/>
    <s v="Afrique de l'Est"/>
    <s v="Chioma Diop"/>
    <x v="205"/>
    <x v="1"/>
    <n v="10"/>
    <n v="12500"/>
    <n v="128282"/>
    <n v="10263"/>
  </r>
  <r>
    <s v="Aïcha Kouyaté"/>
    <x v="10"/>
    <s v="Afrique Centrale"/>
    <s v="Ngozi Keïta"/>
    <x v="171"/>
    <x v="3"/>
    <n v="4"/>
    <n v="55000"/>
    <n v="220492"/>
    <n v="48508"/>
  </r>
  <r>
    <s v="Kofi Mensah"/>
    <x v="10"/>
    <s v="Afrique Centrale"/>
    <s v="Chidi Okonkwo"/>
    <x v="166"/>
    <x v="4"/>
    <n v="7"/>
    <n v="15000"/>
    <n v="106279"/>
    <n v="10628"/>
  </r>
  <r>
    <s v="Kofi Mensah"/>
    <x v="5"/>
    <s v="Afrique de l'Est"/>
    <s v="Kadiatou Ekwueme"/>
    <x v="120"/>
    <x v="2"/>
    <n v="2"/>
    <n v="45000"/>
    <n v="87079"/>
    <n v="15674"/>
  </r>
  <r>
    <s v="Fatima Ndiaye"/>
    <x v="9"/>
    <s v="Afrique de l'Ouest"/>
    <s v="Kadiatou Abubakar"/>
    <x v="139"/>
    <x v="0"/>
    <n v="6"/>
    <n v="18500"/>
    <n v="119937"/>
    <n v="14392"/>
  </r>
  <r>
    <s v="Aïcha Kouyaté"/>
    <x v="8"/>
    <s v="Afrique de l'Est"/>
    <s v="Oumar Keïta"/>
    <x v="103"/>
    <x v="2"/>
    <n v="2"/>
    <n v="45000"/>
    <n v="92849"/>
    <n v="16713"/>
  </r>
  <r>
    <s v="Amara Diallo"/>
    <x v="3"/>
    <s v="Afrique Centrale"/>
    <s v="Oumar Okonkwo"/>
    <x v="250"/>
    <x v="0"/>
    <n v="1"/>
    <n v="18500"/>
    <n v="18117"/>
    <n v="2174"/>
  </r>
  <r>
    <s v="Fatima Ndiaye"/>
    <x v="4"/>
    <s v="Afrique de l'Est"/>
    <s v="Chidi Sawadogo"/>
    <x v="296"/>
    <x v="4"/>
    <n v="3"/>
    <n v="15000"/>
    <n v="49083"/>
    <n v="4908"/>
  </r>
  <r>
    <s v="Fatima Ndiaye"/>
    <x v="9"/>
    <s v="Afrique de l'Ouest"/>
    <s v="Chidi Coulibaly"/>
    <x v="138"/>
    <x v="3"/>
    <n v="3"/>
    <n v="55000"/>
    <n v="152032"/>
    <n v="33447"/>
  </r>
  <r>
    <s v="Fatima Ndiaye"/>
    <x v="8"/>
    <s v="Afrique de l'Est"/>
    <s v="Ngozi Dembélé"/>
    <x v="241"/>
    <x v="4"/>
    <n v="5"/>
    <n v="15000"/>
    <n v="68861"/>
    <n v="6886"/>
  </r>
  <r>
    <s v="Ibrahim Traoré"/>
    <x v="11"/>
    <s v="Afrique de l'Ouest"/>
    <s v="Adama Coulibaly"/>
    <x v="293"/>
    <x v="1"/>
    <n v="7"/>
    <n v="12500"/>
    <n v="93807"/>
    <n v="7505"/>
  </r>
  <r>
    <s v="Aïcha Kouyaté"/>
    <x v="13"/>
    <s v="Afrique de l'Ouest"/>
    <s v="Awa Touré"/>
    <x v="242"/>
    <x v="2"/>
    <n v="4"/>
    <n v="45000"/>
    <n v="192527"/>
    <n v="34655"/>
  </r>
  <r>
    <s v="Kofi Mensah"/>
    <x v="7"/>
    <s v="Afrique Centrale"/>
    <s v="Emeka Okonkwo"/>
    <x v="254"/>
    <x v="4"/>
    <n v="6"/>
    <n v="15000"/>
    <n v="93786"/>
    <n v="9379"/>
  </r>
  <r>
    <s v="Ibrahim Traoré"/>
    <x v="6"/>
    <s v="Afrique de l'Ouest"/>
    <s v="Mariama Ekwueme"/>
    <x v="85"/>
    <x v="1"/>
    <n v="10"/>
    <n v="12500"/>
    <n v="118034"/>
    <n v="9443"/>
  </r>
  <r>
    <s v="Amara Diallo"/>
    <x v="3"/>
    <s v="Afrique Centrale"/>
    <s v="Zainab Diop"/>
    <x v="243"/>
    <x v="0"/>
    <n v="8"/>
    <n v="18500"/>
    <n v="140832"/>
    <n v="16900"/>
  </r>
  <r>
    <s v="Amara Diallo"/>
    <x v="1"/>
    <s v="Afrique de l'Ouest"/>
    <s v="Moussa Cissé"/>
    <x v="236"/>
    <x v="3"/>
    <n v="6"/>
    <n v="55000"/>
    <n v="359530"/>
    <n v="79097"/>
  </r>
  <r>
    <s v="Amara Diallo"/>
    <x v="1"/>
    <s v="Afrique de l'Ouest"/>
    <s v="Chioma Abubakar"/>
    <x v="286"/>
    <x v="3"/>
    <n v="7"/>
    <n v="55000"/>
    <n v="406761"/>
    <n v="89487"/>
  </r>
  <r>
    <s v="Amara Diallo"/>
    <x v="10"/>
    <s v="Afrique Centrale"/>
    <s v="Adama Mensah"/>
    <x v="342"/>
    <x v="4"/>
    <n v="3"/>
    <n v="15000"/>
    <n v="44269"/>
    <n v="4427"/>
  </r>
  <r>
    <s v="Aïcha Kouyaté"/>
    <x v="12"/>
    <s v="Afrique de l'Est"/>
    <s v="Yaw Okonkwo"/>
    <x v="178"/>
    <x v="1"/>
    <n v="2"/>
    <n v="12500"/>
    <n v="23611"/>
    <n v="1889"/>
  </r>
  <r>
    <s v="Amara Diallo"/>
    <x v="1"/>
    <s v="Afrique de l'Ouest"/>
    <s v="Kadiatou Kamara"/>
    <x v="339"/>
    <x v="2"/>
    <n v="4"/>
    <n v="45000"/>
    <n v="196515"/>
    <n v="35373"/>
  </r>
  <r>
    <s v="Ibrahim Traoré"/>
    <x v="14"/>
    <s v="Afrique de l'Ouest"/>
    <s v="Mariama Mensah"/>
    <x v="194"/>
    <x v="3"/>
    <n v="6"/>
    <n v="55000"/>
    <n v="352601"/>
    <n v="77572"/>
  </r>
  <r>
    <s v="Aïcha Kouyaté"/>
    <x v="14"/>
    <s v="Afrique de l'Ouest"/>
    <s v="Awa Bah"/>
    <x v="245"/>
    <x v="4"/>
    <n v="5"/>
    <n v="15000"/>
    <n v="78323"/>
    <n v="7832"/>
  </r>
  <r>
    <s v="Fatima Ndiaye"/>
    <x v="14"/>
    <s v="Afrique de l'Ouest"/>
    <s v="Kadiatou Okonkwo"/>
    <x v="266"/>
    <x v="3"/>
    <n v="8"/>
    <n v="55000"/>
    <n v="444924"/>
    <n v="97883"/>
  </r>
  <r>
    <s v="Fatima Ndiaye"/>
    <x v="11"/>
    <s v="Afrique de l'Ouest"/>
    <s v="Emeka Keïta"/>
    <x v="90"/>
    <x v="0"/>
    <n v="10"/>
    <n v="18500"/>
    <n v="188143"/>
    <n v="22577"/>
  </r>
  <r>
    <s v="Aïcha Kouyaté"/>
    <x v="12"/>
    <s v="Afrique de l'Est"/>
    <s v="Emeka Touré"/>
    <x v="85"/>
    <x v="3"/>
    <n v="3"/>
    <n v="55000"/>
    <n v="173915"/>
    <n v="38261"/>
  </r>
  <r>
    <s v="Fatima Ndiaye"/>
    <x v="7"/>
    <s v="Afrique Centrale"/>
    <s v="Yaw Diop"/>
    <x v="343"/>
    <x v="1"/>
    <n v="7"/>
    <n v="12500"/>
    <n v="83510"/>
    <n v="6681"/>
  </r>
  <r>
    <s v="Fatima Ndiaye"/>
    <x v="4"/>
    <s v="Afrique de l'Est"/>
    <s v="Zainab Kamara"/>
    <x v="120"/>
    <x v="2"/>
    <n v="7"/>
    <n v="45000"/>
    <n v="285260"/>
    <n v="51347"/>
  </r>
  <r>
    <s v="Amara Diallo"/>
    <x v="10"/>
    <s v="Afrique Centrale"/>
    <s v="Kadiatou Abubakar"/>
    <x v="14"/>
    <x v="4"/>
    <n v="10"/>
    <n v="15000"/>
    <n v="150212"/>
    <n v="15021"/>
  </r>
  <r>
    <s v="Kofi Mensah"/>
    <x v="7"/>
    <s v="Afrique Centrale"/>
    <s v="Mariama Keïta"/>
    <x v="57"/>
    <x v="4"/>
    <n v="8"/>
    <n v="15000"/>
    <n v="127409"/>
    <n v="12741"/>
  </r>
  <r>
    <s v="Kofi Mensah"/>
    <x v="0"/>
    <s v="Afrique de l'Ouest"/>
    <s v="Adama Keïta"/>
    <x v="199"/>
    <x v="2"/>
    <n v="2"/>
    <n v="45000"/>
    <n v="83751"/>
    <n v="15075"/>
  </r>
  <r>
    <s v="Aïcha Kouyaté"/>
    <x v="10"/>
    <s v="Afrique Centrale"/>
    <s v="Chioma Keïta"/>
    <x v="308"/>
    <x v="1"/>
    <n v="4"/>
    <n v="12500"/>
    <n v="54318"/>
    <n v="4345"/>
  </r>
  <r>
    <s v="Ibrahim Traoré"/>
    <x v="13"/>
    <s v="Afrique de l'Ouest"/>
    <s v="Aminata Ekwueme"/>
    <x v="187"/>
    <x v="0"/>
    <n v="2"/>
    <n v="18500"/>
    <n v="34674"/>
    <n v="4161"/>
  </r>
  <r>
    <s v="Kofi Mensah"/>
    <x v="7"/>
    <s v="Afrique Centrale"/>
    <s v="Chioma Diop"/>
    <x v="292"/>
    <x v="2"/>
    <n v="8"/>
    <n v="45000"/>
    <n v="369653"/>
    <n v="66538"/>
  </r>
  <r>
    <s v="Amara Diallo"/>
    <x v="9"/>
    <s v="Afrique de l'Ouest"/>
    <s v="Adama Coulibaly"/>
    <x v="78"/>
    <x v="4"/>
    <n v="10"/>
    <n v="15000"/>
    <n v="154126"/>
    <n v="15413"/>
  </r>
  <r>
    <s v="Amara Diallo"/>
    <x v="12"/>
    <s v="Afrique de l'Est"/>
    <s v="Aminata Abubakar"/>
    <x v="342"/>
    <x v="3"/>
    <n v="10"/>
    <n v="55000"/>
    <n v="542892"/>
    <n v="119436"/>
  </r>
  <r>
    <s v="Ibrahim Traoré"/>
    <x v="6"/>
    <s v="Afrique de l'Ouest"/>
    <s v="Chidi Kamara"/>
    <x v="332"/>
    <x v="3"/>
    <n v="1"/>
    <n v="55000"/>
    <n v="56281"/>
    <n v="12382"/>
  </r>
  <r>
    <s v="Aïcha Kouyaté"/>
    <x v="5"/>
    <s v="Afrique de l'Est"/>
    <s v="Zainab Dembélé"/>
    <x v="173"/>
    <x v="2"/>
    <n v="5"/>
    <n v="45000"/>
    <n v="227399"/>
    <n v="40932"/>
  </r>
  <r>
    <s v="Aïcha Kouyaté"/>
    <x v="3"/>
    <s v="Afrique Centrale"/>
    <s v="Emeka Abubakar"/>
    <x v="26"/>
    <x v="3"/>
    <n v="6"/>
    <n v="55000"/>
    <n v="299668"/>
    <n v="65927"/>
  </r>
  <r>
    <s v="Aïcha Kouyaté"/>
    <x v="4"/>
    <s v="Afrique de l'Est"/>
    <s v="Kwame Bah"/>
    <x v="110"/>
    <x v="4"/>
    <n v="3"/>
    <n v="15000"/>
    <n v="43357"/>
    <n v="4336"/>
  </r>
  <r>
    <s v="Kofi Mensah"/>
    <x v="10"/>
    <s v="Afrique Centrale"/>
    <s v="Ngozi Touré"/>
    <x v="9"/>
    <x v="1"/>
    <n v="2"/>
    <n v="12500"/>
    <n v="22548"/>
    <n v="1804"/>
  </r>
  <r>
    <s v="Aïcha Kouyaté"/>
    <x v="0"/>
    <s v="Afrique de l'Ouest"/>
    <s v="Moussa Mensah"/>
    <x v="256"/>
    <x v="0"/>
    <n v="10"/>
    <n v="18500"/>
    <n v="182936"/>
    <n v="21952"/>
  </r>
  <r>
    <s v="Kofi Mensah"/>
    <x v="3"/>
    <s v="Afrique Centrale"/>
    <s v="Kwame Sawadogo"/>
    <x v="82"/>
    <x v="0"/>
    <n v="1"/>
    <n v="18500"/>
    <n v="18759"/>
    <n v="2251"/>
  </r>
  <r>
    <s v="Fatima Ndiaye"/>
    <x v="11"/>
    <s v="Afrique de l'Ouest"/>
    <s v="Chioma Okonkwo"/>
    <x v="206"/>
    <x v="2"/>
    <n v="5"/>
    <n v="45000"/>
    <n v="221439"/>
    <n v="39859"/>
  </r>
  <r>
    <s v="Amara Diallo"/>
    <x v="4"/>
    <s v="Afrique de l'Est"/>
    <s v="Awa Mensah"/>
    <x v="53"/>
    <x v="0"/>
    <n v="5"/>
    <n v="18500"/>
    <n v="95452"/>
    <n v="11454"/>
  </r>
  <r>
    <s v="Amara Diallo"/>
    <x v="0"/>
    <s v="Afrique de l'Ouest"/>
    <s v="Emeka Diop"/>
    <x v="152"/>
    <x v="1"/>
    <n v="3"/>
    <n v="12500"/>
    <n v="39213"/>
    <n v="3137"/>
  </r>
  <r>
    <s v="Ibrahim Traoré"/>
    <x v="6"/>
    <s v="Afrique de l'Ouest"/>
    <s v="Chioma Kamara"/>
    <x v="335"/>
    <x v="1"/>
    <n v="2"/>
    <n v="12500"/>
    <n v="25387"/>
    <n v="2031"/>
  </r>
  <r>
    <s v="Amara Diallo"/>
    <x v="2"/>
    <s v="Afrique de l'Ouest"/>
    <s v="Yaw Abubakar"/>
    <x v="283"/>
    <x v="0"/>
    <n v="4"/>
    <n v="18500"/>
    <n v="71184"/>
    <n v="8542"/>
  </r>
  <r>
    <s v="Kofi Mensah"/>
    <x v="11"/>
    <s v="Afrique de l'Ouest"/>
    <s v="Chidi Keïta"/>
    <x v="75"/>
    <x v="2"/>
    <n v="2"/>
    <n v="45000"/>
    <n v="83837"/>
    <n v="15091"/>
  </r>
  <r>
    <s v="Kofi Mensah"/>
    <x v="7"/>
    <s v="Afrique Centrale"/>
    <s v="Zainab Abubakar"/>
    <x v="20"/>
    <x v="0"/>
    <n v="4"/>
    <n v="18500"/>
    <n v="69601"/>
    <n v="8352"/>
  </r>
  <r>
    <s v="Fatima Ndiaye"/>
    <x v="14"/>
    <s v="Afrique de l'Ouest"/>
    <s v="Chioma Keïta"/>
    <x v="259"/>
    <x v="2"/>
    <n v="8"/>
    <n v="45000"/>
    <n v="349571"/>
    <n v="62923"/>
  </r>
  <r>
    <s v="Ibrahim Traoré"/>
    <x v="1"/>
    <s v="Afrique de l'Ouest"/>
    <s v="Moussa Okonkwo"/>
    <x v="272"/>
    <x v="2"/>
    <n v="3"/>
    <n v="45000"/>
    <n v="139838"/>
    <n v="25171"/>
  </r>
  <r>
    <s v="Amara Diallo"/>
    <x v="2"/>
    <s v="Afrique de l'Ouest"/>
    <s v="Kwame Ekwueme"/>
    <x v="51"/>
    <x v="1"/>
    <n v="7"/>
    <n v="12500"/>
    <n v="85154"/>
    <n v="6812"/>
  </r>
  <r>
    <s v="Kofi Mensah"/>
    <x v="2"/>
    <s v="Afrique de l'Ouest"/>
    <s v="Moussa Bah"/>
    <x v="188"/>
    <x v="3"/>
    <n v="5"/>
    <n v="55000"/>
    <n v="270765"/>
    <n v="59568"/>
  </r>
  <r>
    <s v="Fatima Ndiaye"/>
    <x v="3"/>
    <s v="Afrique Centrale"/>
    <s v="Emeka Touré"/>
    <x v="36"/>
    <x v="0"/>
    <n v="8"/>
    <n v="18500"/>
    <n v="146897"/>
    <n v="17628"/>
  </r>
  <r>
    <s v="Aïcha Kouyaté"/>
    <x v="13"/>
    <s v="Afrique de l'Ouest"/>
    <s v="Zainab Kamara"/>
    <x v="25"/>
    <x v="4"/>
    <n v="6"/>
    <n v="15000"/>
    <n v="95924"/>
    <n v="9592"/>
  </r>
  <r>
    <s v="Kofi Mensah"/>
    <x v="7"/>
    <s v="Afrique Centrale"/>
    <s v="Aminata Dembélé"/>
    <x v="215"/>
    <x v="3"/>
    <n v="3"/>
    <n v="55000"/>
    <n v="164613"/>
    <n v="36215"/>
  </r>
  <r>
    <s v="Fatima Ndiaye"/>
    <x v="8"/>
    <s v="Afrique de l'Est"/>
    <s v="Oumar Diop"/>
    <x v="99"/>
    <x v="0"/>
    <n v="2"/>
    <n v="18500"/>
    <n v="35055"/>
    <n v="4207"/>
  </r>
  <r>
    <s v="Fatima Ndiaye"/>
    <x v="5"/>
    <s v="Afrique de l'Est"/>
    <s v="Moussa Sawadogo"/>
    <x v="253"/>
    <x v="3"/>
    <n v="4"/>
    <n v="55000"/>
    <n v="224698"/>
    <n v="49434"/>
  </r>
  <r>
    <s v="Ibrahim Traoré"/>
    <x v="2"/>
    <s v="Afrique de l'Ouest"/>
    <s v="Chioma Touré"/>
    <x v="162"/>
    <x v="3"/>
    <n v="5"/>
    <n v="55000"/>
    <n v="282758"/>
    <n v="62207"/>
  </r>
  <r>
    <s v="Kofi Mensah"/>
    <x v="7"/>
    <s v="Afrique Centrale"/>
    <s v="Zainab Asante"/>
    <x v="342"/>
    <x v="0"/>
    <n v="7"/>
    <n v="18500"/>
    <n v="117680"/>
    <n v="14122"/>
  </r>
  <r>
    <s v="Kofi Mensah"/>
    <x v="4"/>
    <s v="Afrique de l'Est"/>
    <s v="Yaw Cissé"/>
    <x v="290"/>
    <x v="2"/>
    <n v="8"/>
    <n v="45000"/>
    <n v="336208"/>
    <n v="60517"/>
  </r>
  <r>
    <s v="Aïcha Kouyaté"/>
    <x v="4"/>
    <s v="Afrique de l'Est"/>
    <s v="Ngozi Nwosu"/>
    <x v="73"/>
    <x v="3"/>
    <n v="10"/>
    <n v="55000"/>
    <n v="595750"/>
    <n v="131065"/>
  </r>
  <r>
    <s v="Aïcha Kouyaté"/>
    <x v="7"/>
    <s v="Afrique Centrale"/>
    <s v="Awa Keïta"/>
    <x v="344"/>
    <x v="0"/>
    <n v="10"/>
    <n v="18500"/>
    <n v="170035"/>
    <n v="20404"/>
  </r>
  <r>
    <s v="Fatima Ndiaye"/>
    <x v="4"/>
    <s v="Afrique de l'Est"/>
    <s v="Moussa Diop"/>
    <x v="100"/>
    <x v="1"/>
    <n v="8"/>
    <n v="12500"/>
    <n v="102383"/>
    <n v="8191"/>
  </r>
  <r>
    <s v="Aïcha Kouyaté"/>
    <x v="8"/>
    <s v="Afrique de l'Est"/>
    <s v="Chioma Dembélé"/>
    <x v="155"/>
    <x v="3"/>
    <n v="7"/>
    <n v="55000"/>
    <n v="365287"/>
    <n v="80363"/>
  </r>
  <r>
    <s v="Kofi Mensah"/>
    <x v="0"/>
    <s v="Afrique de l'Ouest"/>
    <s v="Mariama Mensah"/>
    <x v="33"/>
    <x v="1"/>
    <n v="4"/>
    <n v="12500"/>
    <n v="45280"/>
    <n v="3622"/>
  </r>
  <r>
    <s v="Ibrahim Traoré"/>
    <x v="14"/>
    <s v="Afrique de l'Ouest"/>
    <s v="Emeka Cissé"/>
    <x v="107"/>
    <x v="1"/>
    <n v="1"/>
    <n v="12500"/>
    <n v="11550"/>
    <n v="924"/>
  </r>
  <r>
    <s v="Ibrahim Traoré"/>
    <x v="8"/>
    <s v="Afrique de l'Est"/>
    <s v="Emeka Asante"/>
    <x v="182"/>
    <x v="0"/>
    <n v="3"/>
    <n v="18500"/>
    <n v="60748"/>
    <n v="7290"/>
  </r>
  <r>
    <s v="Aïcha Kouyaté"/>
    <x v="4"/>
    <s v="Afrique de l'Est"/>
    <s v="Chidi Nwosu"/>
    <x v="332"/>
    <x v="0"/>
    <n v="9"/>
    <n v="18500"/>
    <n v="155745"/>
    <n v="18689"/>
  </r>
  <r>
    <s v="Ibrahim Traoré"/>
    <x v="1"/>
    <s v="Afrique de l'Ouest"/>
    <s v="Adama Diop"/>
    <x v="101"/>
    <x v="0"/>
    <n v="5"/>
    <n v="18500"/>
    <n v="100934"/>
    <n v="12112"/>
  </r>
  <r>
    <s v="Ibrahim Traoré"/>
    <x v="6"/>
    <s v="Afrique de l'Ouest"/>
    <s v="Kadiatou Nwosu"/>
    <x v="218"/>
    <x v="3"/>
    <n v="1"/>
    <n v="55000"/>
    <n v="59686"/>
    <n v="13131"/>
  </r>
  <r>
    <s v="Fatima Ndiaye"/>
    <x v="10"/>
    <s v="Afrique Centrale"/>
    <s v="Chioma Kamara"/>
    <x v="318"/>
    <x v="4"/>
    <n v="5"/>
    <n v="15000"/>
    <n v="78786"/>
    <n v="7879"/>
  </r>
  <r>
    <s v="Ibrahim Traoré"/>
    <x v="11"/>
    <s v="Afrique de l'Ouest"/>
    <s v="Emeka Asante"/>
    <x v="345"/>
    <x v="0"/>
    <n v="8"/>
    <n v="18500"/>
    <n v="133328"/>
    <n v="15999"/>
  </r>
  <r>
    <s v="Amara Diallo"/>
    <x v="6"/>
    <s v="Afrique de l'Ouest"/>
    <s v="Seydou Asante"/>
    <x v="226"/>
    <x v="2"/>
    <n v="2"/>
    <n v="45000"/>
    <n v="90677"/>
    <n v="16322"/>
  </r>
  <r>
    <s v="Aïcha Kouyaté"/>
    <x v="7"/>
    <s v="Afrique Centrale"/>
    <s v="Chidi Dembélé"/>
    <x v="331"/>
    <x v="1"/>
    <n v="1"/>
    <n v="12500"/>
    <n v="12823"/>
    <n v="1026"/>
  </r>
  <r>
    <s v="Fatima Ndiaye"/>
    <x v="3"/>
    <s v="Afrique Centrale"/>
    <s v="Mariama Okonkwo"/>
    <x v="132"/>
    <x v="0"/>
    <n v="8"/>
    <n v="18500"/>
    <n v="149247"/>
    <n v="17910"/>
  </r>
  <r>
    <s v="Kofi Mensah"/>
    <x v="11"/>
    <s v="Afrique de l'Ouest"/>
    <s v="Ngozi Keïta"/>
    <x v="346"/>
    <x v="2"/>
    <n v="5"/>
    <n v="45000"/>
    <n v="217460"/>
    <n v="39143"/>
  </r>
  <r>
    <s v="Kofi Mensah"/>
    <x v="9"/>
    <s v="Afrique de l'Ouest"/>
    <s v="Awa Asante"/>
    <x v="214"/>
    <x v="2"/>
    <n v="5"/>
    <n v="45000"/>
    <n v="245126"/>
    <n v="44123"/>
  </r>
  <r>
    <s v="Kofi Mensah"/>
    <x v="14"/>
    <s v="Afrique de l'Ouest"/>
    <s v="Kwame Mensah"/>
    <x v="109"/>
    <x v="2"/>
    <n v="3"/>
    <n v="45000"/>
    <n v="143016"/>
    <n v="25743"/>
  </r>
  <r>
    <s v="Amara Diallo"/>
    <x v="0"/>
    <s v="Afrique de l'Ouest"/>
    <s v="Kwame Sawadogo"/>
    <x v="347"/>
    <x v="1"/>
    <n v="2"/>
    <n v="12500"/>
    <n v="27470"/>
    <n v="2198"/>
  </r>
  <r>
    <s v="Aïcha Kouyaté"/>
    <x v="5"/>
    <s v="Afrique de l'Est"/>
    <s v="Oumar Keïta"/>
    <x v="281"/>
    <x v="0"/>
    <n v="8"/>
    <n v="18500"/>
    <n v="134528"/>
    <n v="16143"/>
  </r>
  <r>
    <s v="Ibrahim Traoré"/>
    <x v="12"/>
    <s v="Afrique de l'Est"/>
    <s v="Emeka Keïta"/>
    <x v="322"/>
    <x v="1"/>
    <n v="6"/>
    <n v="12500"/>
    <n v="82001"/>
    <n v="6560"/>
  </r>
  <r>
    <s v="Kofi Mensah"/>
    <x v="11"/>
    <s v="Afrique de l'Ouest"/>
    <s v="Ngozi Nwosu"/>
    <x v="130"/>
    <x v="1"/>
    <n v="6"/>
    <n v="12500"/>
    <n v="68752"/>
    <n v="5500"/>
  </r>
  <r>
    <s v="Kofi Mensah"/>
    <x v="0"/>
    <s v="Afrique de l'Ouest"/>
    <s v="Kadiatou Dembélé"/>
    <x v="121"/>
    <x v="0"/>
    <n v="8"/>
    <n v="18500"/>
    <n v="134493"/>
    <n v="16139"/>
  </r>
  <r>
    <s v="Ibrahim Traoré"/>
    <x v="9"/>
    <s v="Afrique de l'Ouest"/>
    <s v="Seydou Mensah"/>
    <x v="275"/>
    <x v="2"/>
    <n v="10"/>
    <n v="45000"/>
    <n v="492969"/>
    <n v="88734"/>
  </r>
  <r>
    <s v="Aïcha Kouyaté"/>
    <x v="14"/>
    <s v="Afrique de l'Ouest"/>
    <s v="Kwame Dembélé"/>
    <x v="53"/>
    <x v="0"/>
    <n v="8"/>
    <n v="18500"/>
    <n v="155019"/>
    <n v="18602"/>
  </r>
  <r>
    <s v="Amara Diallo"/>
    <x v="6"/>
    <s v="Afrique de l'Ouest"/>
    <s v="Chioma Coulibaly"/>
    <x v="224"/>
    <x v="3"/>
    <n v="9"/>
    <n v="55000"/>
    <n v="544058"/>
    <n v="119693"/>
  </r>
  <r>
    <s v="Aïcha Kouyaté"/>
    <x v="5"/>
    <s v="Afrique de l'Est"/>
    <s v="Awa Asante"/>
    <x v="222"/>
    <x v="0"/>
    <n v="8"/>
    <n v="18500"/>
    <n v="160220"/>
    <n v="19226"/>
  </r>
  <r>
    <s v="Ibrahim Traoré"/>
    <x v="6"/>
    <s v="Afrique de l'Ouest"/>
    <s v="Yaw Dembélé"/>
    <x v="87"/>
    <x v="3"/>
    <n v="4"/>
    <n v="55000"/>
    <n v="207188"/>
    <n v="45581"/>
  </r>
  <r>
    <s v="Amara Diallo"/>
    <x v="4"/>
    <s v="Afrique de l'Est"/>
    <s v="Ngozi Kamara"/>
    <x v="246"/>
    <x v="0"/>
    <n v="2"/>
    <n v="18500"/>
    <n v="35917"/>
    <n v="4310"/>
  </r>
  <r>
    <s v="Aïcha Kouyaté"/>
    <x v="2"/>
    <s v="Afrique de l'Ouest"/>
    <s v="Ngozi Touré"/>
    <x v="20"/>
    <x v="1"/>
    <n v="6"/>
    <n v="12500"/>
    <n v="79753"/>
    <n v="6380"/>
  </r>
  <r>
    <s v="Fatima Ndiaye"/>
    <x v="6"/>
    <s v="Afrique de l'Ouest"/>
    <s v="Kwame Abubakar"/>
    <x v="126"/>
    <x v="4"/>
    <n v="10"/>
    <n v="15000"/>
    <n v="143953"/>
    <n v="14395"/>
  </r>
  <r>
    <s v="Aïcha Kouyaté"/>
    <x v="13"/>
    <s v="Afrique de l'Ouest"/>
    <s v="Mariama Bah"/>
    <x v="96"/>
    <x v="2"/>
    <n v="2"/>
    <n v="45000"/>
    <n v="84935"/>
    <n v="15288"/>
  </r>
  <r>
    <s v="Ibrahim Traoré"/>
    <x v="11"/>
    <s v="Afrique de l'Ouest"/>
    <s v="Seydou Coulibaly"/>
    <x v="151"/>
    <x v="0"/>
    <n v="9"/>
    <n v="18500"/>
    <n v="171808"/>
    <n v="20617"/>
  </r>
  <r>
    <s v="Ibrahim Traoré"/>
    <x v="6"/>
    <s v="Afrique de l'Ouest"/>
    <s v="Zainab Diop"/>
    <x v="196"/>
    <x v="4"/>
    <n v="10"/>
    <n v="15000"/>
    <n v="136778"/>
    <n v="13678"/>
  </r>
  <r>
    <s v="Amara Diallo"/>
    <x v="8"/>
    <s v="Afrique de l'Est"/>
    <s v="Aminata Ekwueme"/>
    <x v="269"/>
    <x v="1"/>
    <n v="2"/>
    <n v="12500"/>
    <n v="25071"/>
    <n v="2006"/>
  </r>
  <r>
    <s v="Ibrahim Traoré"/>
    <x v="13"/>
    <s v="Afrique de l'Ouest"/>
    <s v="Yaw Cissé"/>
    <x v="197"/>
    <x v="0"/>
    <n v="4"/>
    <n v="18500"/>
    <n v="78551"/>
    <n v="9426"/>
  </r>
  <r>
    <s v="Fatima Ndiaye"/>
    <x v="0"/>
    <s v="Afrique de l'Ouest"/>
    <s v="Kadiatou Coulibaly"/>
    <x v="103"/>
    <x v="3"/>
    <n v="6"/>
    <n v="55000"/>
    <n v="360582"/>
    <n v="79328"/>
  </r>
  <r>
    <s v="Kofi Mensah"/>
    <x v="6"/>
    <s v="Afrique de l'Ouest"/>
    <s v="Aminata Sawadogo"/>
    <x v="347"/>
    <x v="3"/>
    <n v="7"/>
    <n v="55000"/>
    <n v="400867"/>
    <n v="88191"/>
  </r>
  <r>
    <s v="Amara Diallo"/>
    <x v="9"/>
    <s v="Afrique de l'Ouest"/>
    <s v="Mariama Bah"/>
    <x v="329"/>
    <x v="3"/>
    <n v="5"/>
    <n v="55000"/>
    <n v="257291"/>
    <n v="56604"/>
  </r>
  <r>
    <s v="Ibrahim Traoré"/>
    <x v="10"/>
    <s v="Afrique Centrale"/>
    <s v="Yaw Mensah"/>
    <x v="171"/>
    <x v="0"/>
    <n v="2"/>
    <n v="18500"/>
    <n v="38294"/>
    <n v="4595"/>
  </r>
  <r>
    <s v="Amara Diallo"/>
    <x v="5"/>
    <s v="Afrique de l'Est"/>
    <s v="Oumar Abubakar"/>
    <x v="80"/>
    <x v="3"/>
    <n v="6"/>
    <n v="55000"/>
    <n v="353107"/>
    <n v="77684"/>
  </r>
  <r>
    <s v="Kofi Mensah"/>
    <x v="1"/>
    <s v="Afrique de l'Ouest"/>
    <s v="Zainab Diop"/>
    <x v="81"/>
    <x v="2"/>
    <n v="7"/>
    <n v="45000"/>
    <n v="284227"/>
    <n v="51161"/>
  </r>
  <r>
    <s v="Aïcha Kouyaté"/>
    <x v="9"/>
    <s v="Afrique de l'Ouest"/>
    <s v="Oumar Diop"/>
    <x v="183"/>
    <x v="3"/>
    <n v="3"/>
    <n v="55000"/>
    <n v="178265"/>
    <n v="39218"/>
  </r>
  <r>
    <s v="Aïcha Kouyaté"/>
    <x v="12"/>
    <s v="Afrique de l'Est"/>
    <s v="Kadiatou Bah"/>
    <x v="182"/>
    <x v="0"/>
    <n v="1"/>
    <n v="18500"/>
    <n v="18769"/>
    <n v="2252"/>
  </r>
  <r>
    <s v="Ibrahim Traoré"/>
    <x v="8"/>
    <s v="Afrique de l'Est"/>
    <s v="Kadiatou Cissé"/>
    <x v="341"/>
    <x v="4"/>
    <n v="5"/>
    <n v="15000"/>
    <n v="72296"/>
    <n v="7230"/>
  </r>
  <r>
    <s v="Amara Diallo"/>
    <x v="11"/>
    <s v="Afrique de l'Ouest"/>
    <s v="Yaw Cissé"/>
    <x v="52"/>
    <x v="3"/>
    <n v="3"/>
    <n v="55000"/>
    <n v="165765"/>
    <n v="36468"/>
  </r>
  <r>
    <s v="Ibrahim Traoré"/>
    <x v="13"/>
    <s v="Afrique de l'Ouest"/>
    <s v="Awa Okonkwo"/>
    <x v="309"/>
    <x v="4"/>
    <n v="10"/>
    <n v="15000"/>
    <n v="152480"/>
    <n v="15248"/>
  </r>
  <r>
    <s v="Aïcha Kouyaté"/>
    <x v="6"/>
    <s v="Afrique de l'Ouest"/>
    <s v="Yaw Asante"/>
    <x v="95"/>
    <x v="2"/>
    <n v="3"/>
    <n v="45000"/>
    <n v="128473"/>
    <n v="23125"/>
  </r>
  <r>
    <s v="Aïcha Kouyaté"/>
    <x v="5"/>
    <s v="Afrique de l'Est"/>
    <s v="Kwame Coulibaly"/>
    <x v="279"/>
    <x v="1"/>
    <n v="3"/>
    <n v="12500"/>
    <n v="34342"/>
    <n v="2747"/>
  </r>
  <r>
    <s v="Aïcha Kouyaté"/>
    <x v="9"/>
    <s v="Afrique de l'Ouest"/>
    <s v="Kwame Sawadogo"/>
    <x v="10"/>
    <x v="2"/>
    <n v="2"/>
    <n v="45000"/>
    <n v="86483"/>
    <n v="15567"/>
  </r>
  <r>
    <s v="Kofi Mensah"/>
    <x v="11"/>
    <s v="Afrique de l'Ouest"/>
    <s v="Aminata Touré"/>
    <x v="117"/>
    <x v="4"/>
    <n v="9"/>
    <n v="15000"/>
    <n v="135376"/>
    <n v="13538"/>
  </r>
  <r>
    <s v="Fatima Ndiaye"/>
    <x v="14"/>
    <s v="Afrique de l'Ouest"/>
    <s v="Moussa Bah"/>
    <x v="158"/>
    <x v="2"/>
    <n v="7"/>
    <n v="45000"/>
    <n v="324904"/>
    <n v="58483"/>
  </r>
  <r>
    <s v="Amara Diallo"/>
    <x v="13"/>
    <s v="Afrique de l'Ouest"/>
    <s v="Adama Okonkwo"/>
    <x v="119"/>
    <x v="3"/>
    <n v="10"/>
    <n v="55000"/>
    <n v="522497"/>
    <n v="114949"/>
  </r>
  <r>
    <s v="Ibrahim Traoré"/>
    <x v="13"/>
    <s v="Afrique de l'Ouest"/>
    <s v="Moussa Abubakar"/>
    <x v="69"/>
    <x v="0"/>
    <n v="7"/>
    <n v="18500"/>
    <n v="136739"/>
    <n v="16409"/>
  </r>
  <r>
    <s v="Fatima Ndiaye"/>
    <x v="12"/>
    <s v="Afrique de l'Est"/>
    <s v="Chidi Dembélé"/>
    <x v="103"/>
    <x v="3"/>
    <n v="6"/>
    <n v="55000"/>
    <n v="328667"/>
    <n v="72307"/>
  </r>
  <r>
    <s v="Aïcha Kouyaté"/>
    <x v="11"/>
    <s v="Afrique de l'Ouest"/>
    <s v="Zainab Abubakar"/>
    <x v="251"/>
    <x v="4"/>
    <n v="8"/>
    <n v="15000"/>
    <n v="120020"/>
    <n v="12002"/>
  </r>
  <r>
    <s v="Amara Diallo"/>
    <x v="2"/>
    <s v="Afrique de l'Ouest"/>
    <s v="Mariama Nwosu"/>
    <x v="154"/>
    <x v="3"/>
    <n v="8"/>
    <n v="55000"/>
    <n v="462608"/>
    <n v="101774"/>
  </r>
  <r>
    <s v="Kofi Mensah"/>
    <x v="6"/>
    <s v="Afrique de l'Ouest"/>
    <s v="Adama Dembélé"/>
    <x v="31"/>
    <x v="4"/>
    <n v="2"/>
    <n v="15000"/>
    <n v="27127"/>
    <n v="2713"/>
  </r>
  <r>
    <s v="Ibrahim Traoré"/>
    <x v="0"/>
    <s v="Afrique de l'Ouest"/>
    <s v="Moussa Asante"/>
    <x v="117"/>
    <x v="4"/>
    <n v="5"/>
    <n v="15000"/>
    <n v="68870"/>
    <n v="6887"/>
  </r>
  <r>
    <s v="Aïcha Kouyaté"/>
    <x v="8"/>
    <s v="Afrique de l'Est"/>
    <s v="Zainab Diop"/>
    <x v="242"/>
    <x v="3"/>
    <n v="6"/>
    <n v="55000"/>
    <n v="342193"/>
    <n v="75282"/>
  </r>
  <r>
    <s v="Kofi Mensah"/>
    <x v="0"/>
    <s v="Afrique de l'Ouest"/>
    <s v="Awa Asante"/>
    <x v="140"/>
    <x v="2"/>
    <n v="6"/>
    <n v="45000"/>
    <n v="281205"/>
    <n v="50617"/>
  </r>
  <r>
    <s v="Ibrahim Traoré"/>
    <x v="7"/>
    <s v="Afrique Centrale"/>
    <s v="Kadiatou Dembélé"/>
    <x v="7"/>
    <x v="1"/>
    <n v="8"/>
    <n v="12500"/>
    <n v="95439"/>
    <n v="7635"/>
  </r>
  <r>
    <s v="Kofi Mensah"/>
    <x v="2"/>
    <s v="Afrique de l'Ouest"/>
    <s v="Mariama Cissé"/>
    <x v="260"/>
    <x v="0"/>
    <n v="5"/>
    <n v="18500"/>
    <n v="94756"/>
    <n v="11371"/>
  </r>
  <r>
    <s v="Kofi Mensah"/>
    <x v="12"/>
    <s v="Afrique de l'Est"/>
    <s v="Kwame Nwosu"/>
    <x v="262"/>
    <x v="3"/>
    <n v="10"/>
    <n v="55000"/>
    <n v="564772"/>
    <n v="124250"/>
  </r>
  <r>
    <s v="Kofi Mensah"/>
    <x v="11"/>
    <s v="Afrique de l'Ouest"/>
    <s v="Ngozi Diop"/>
    <x v="278"/>
    <x v="2"/>
    <n v="10"/>
    <n v="45000"/>
    <n v="462718"/>
    <n v="83289"/>
  </r>
  <r>
    <s v="Aïcha Kouyaté"/>
    <x v="14"/>
    <s v="Afrique de l'Ouest"/>
    <s v="Oumar Okonkwo"/>
    <x v="317"/>
    <x v="0"/>
    <n v="1"/>
    <n v="18500"/>
    <n v="18979"/>
    <n v="2277"/>
  </r>
  <r>
    <s v="Aïcha Kouyaté"/>
    <x v="7"/>
    <s v="Afrique Centrale"/>
    <s v="Zainab Diop"/>
    <x v="148"/>
    <x v="4"/>
    <n v="10"/>
    <n v="15000"/>
    <n v="140777"/>
    <n v="14078"/>
  </r>
  <r>
    <s v="Kofi Mensah"/>
    <x v="8"/>
    <s v="Afrique de l'Est"/>
    <s v="Yaw Touré"/>
    <x v="284"/>
    <x v="3"/>
    <n v="10"/>
    <n v="55000"/>
    <n v="551481"/>
    <n v="121326"/>
  </r>
  <r>
    <s v="Fatima Ndiaye"/>
    <x v="7"/>
    <s v="Afrique Centrale"/>
    <s v="Moussa Cissé"/>
    <x v="122"/>
    <x v="3"/>
    <n v="4"/>
    <n v="55000"/>
    <n v="208664"/>
    <n v="45906"/>
  </r>
  <r>
    <s v="Kofi Mensah"/>
    <x v="6"/>
    <s v="Afrique de l'Ouest"/>
    <s v="Zainab Bah"/>
    <x v="81"/>
    <x v="0"/>
    <n v="6"/>
    <n v="18500"/>
    <n v="114449"/>
    <n v="13734"/>
  </r>
  <r>
    <s v="Amara Diallo"/>
    <x v="1"/>
    <s v="Afrique de l'Ouest"/>
    <s v="Seydou Diop"/>
    <x v="237"/>
    <x v="1"/>
    <n v="8"/>
    <n v="12500"/>
    <n v="102008"/>
    <n v="8161"/>
  </r>
  <r>
    <s v="Fatima Ndiaye"/>
    <x v="0"/>
    <s v="Afrique de l'Ouest"/>
    <s v="Kwame Sawadogo"/>
    <x v="348"/>
    <x v="1"/>
    <n v="6"/>
    <n v="12500"/>
    <n v="74913"/>
    <n v="5993"/>
  </r>
  <r>
    <s v="Fatima Ndiaye"/>
    <x v="4"/>
    <s v="Afrique de l'Est"/>
    <s v="Seydou Keïta"/>
    <x v="17"/>
    <x v="1"/>
    <n v="5"/>
    <n v="12500"/>
    <n v="62337"/>
    <n v="4987"/>
  </r>
  <r>
    <s v="Kofi Mensah"/>
    <x v="7"/>
    <s v="Afrique Centrale"/>
    <s v="Seydou Touré"/>
    <x v="294"/>
    <x v="2"/>
    <n v="6"/>
    <n v="45000"/>
    <n v="276202"/>
    <n v="49716"/>
  </r>
  <r>
    <s v="Amara Diallo"/>
    <x v="13"/>
    <s v="Afrique de l'Ouest"/>
    <s v="Emeka Touré"/>
    <x v="111"/>
    <x v="0"/>
    <n v="10"/>
    <n v="18500"/>
    <n v="200488"/>
    <n v="24059"/>
  </r>
  <r>
    <s v="Aïcha Kouyaté"/>
    <x v="7"/>
    <s v="Afrique Centrale"/>
    <s v="Kwame Cissé"/>
    <x v="83"/>
    <x v="1"/>
    <n v="3"/>
    <n v="12500"/>
    <n v="35709"/>
    <n v="2857"/>
  </r>
  <r>
    <s v="Fatima Ndiaye"/>
    <x v="9"/>
    <s v="Afrique de l'Ouest"/>
    <s v="Oumar Okonkwo"/>
    <x v="17"/>
    <x v="2"/>
    <n v="5"/>
    <n v="45000"/>
    <n v="240375"/>
    <n v="43268"/>
  </r>
  <r>
    <s v="Kofi Mensah"/>
    <x v="3"/>
    <s v="Afrique Centrale"/>
    <s v="Chioma Ekwueme"/>
    <x v="197"/>
    <x v="4"/>
    <n v="5"/>
    <n v="15000"/>
    <n v="69441"/>
    <n v="6944"/>
  </r>
  <r>
    <s v="Ibrahim Traoré"/>
    <x v="4"/>
    <s v="Afrique de l'Est"/>
    <s v="Emeka Touré"/>
    <x v="120"/>
    <x v="1"/>
    <n v="3"/>
    <n v="12500"/>
    <n v="40055"/>
    <n v="3204"/>
  </r>
  <r>
    <s v="Amara Diallo"/>
    <x v="9"/>
    <s v="Afrique de l'Ouest"/>
    <s v="Adama Nwosu"/>
    <x v="335"/>
    <x v="4"/>
    <n v="1"/>
    <n v="15000"/>
    <n v="14671"/>
    <n v="1467"/>
  </r>
  <r>
    <s v="Ibrahim Traoré"/>
    <x v="1"/>
    <s v="Afrique de l'Ouest"/>
    <s v="Yaw Sawadogo"/>
    <x v="54"/>
    <x v="1"/>
    <n v="1"/>
    <n v="12500"/>
    <n v="11957"/>
    <n v="957"/>
  </r>
  <r>
    <s v="Fatima Ndiaye"/>
    <x v="0"/>
    <s v="Afrique de l'Ouest"/>
    <s v="Mariama Nwosu"/>
    <x v="114"/>
    <x v="1"/>
    <n v="1"/>
    <n v="12500"/>
    <n v="13138"/>
    <n v="1051"/>
  </r>
  <r>
    <s v="Kofi Mensah"/>
    <x v="8"/>
    <s v="Afrique de l'Est"/>
    <s v="Adama Bah"/>
    <x v="12"/>
    <x v="0"/>
    <n v="3"/>
    <n v="18500"/>
    <n v="51893"/>
    <n v="6227"/>
  </r>
  <r>
    <s v="Ibrahim Traoré"/>
    <x v="10"/>
    <s v="Afrique Centrale"/>
    <s v="Oumar Touré"/>
    <x v="142"/>
    <x v="2"/>
    <n v="9"/>
    <n v="45000"/>
    <n v="438951"/>
    <n v="79011"/>
  </r>
  <r>
    <s v="Amara Diallo"/>
    <x v="5"/>
    <s v="Afrique de l'Est"/>
    <s v="Adama Mensah"/>
    <x v="349"/>
    <x v="1"/>
    <n v="9"/>
    <n v="12500"/>
    <n v="113307"/>
    <n v="9065"/>
  </r>
  <r>
    <s v="Ibrahim Traoré"/>
    <x v="11"/>
    <s v="Afrique de l'Ouest"/>
    <s v="Kwame Diop"/>
    <x v="1"/>
    <x v="2"/>
    <n v="4"/>
    <n v="45000"/>
    <n v="172515"/>
    <n v="31053"/>
  </r>
  <r>
    <s v="Ibrahim Traoré"/>
    <x v="10"/>
    <s v="Afrique Centrale"/>
    <s v="Aminata Mensah"/>
    <x v="192"/>
    <x v="4"/>
    <n v="8"/>
    <n v="15000"/>
    <n v="131696"/>
    <n v="13170"/>
  </r>
  <r>
    <s v="Kofi Mensah"/>
    <x v="10"/>
    <s v="Afrique Centrale"/>
    <s v="Zainab Bah"/>
    <x v="85"/>
    <x v="4"/>
    <n v="4"/>
    <n v="15000"/>
    <n v="55033"/>
    <n v="5503"/>
  </r>
  <r>
    <s v="Aïcha Kouyaté"/>
    <x v="14"/>
    <s v="Afrique de l'Ouest"/>
    <s v="Oumar Coulibaly"/>
    <x v="85"/>
    <x v="1"/>
    <n v="7"/>
    <n v="12500"/>
    <n v="94332"/>
    <n v="7547"/>
  </r>
  <r>
    <s v="Amara Diallo"/>
    <x v="2"/>
    <s v="Afrique de l'Ouest"/>
    <s v="Aminata Keïta"/>
    <x v="190"/>
    <x v="2"/>
    <n v="4"/>
    <n v="45000"/>
    <n v="186744"/>
    <n v="33614"/>
  </r>
  <r>
    <s v="Amara Diallo"/>
    <x v="10"/>
    <s v="Afrique Centrale"/>
    <s v="Mariama Touré"/>
    <x v="142"/>
    <x v="2"/>
    <n v="1"/>
    <n v="45000"/>
    <n v="43700"/>
    <n v="7866"/>
  </r>
  <r>
    <s v="Aïcha Kouyaté"/>
    <x v="9"/>
    <s v="Afrique de l'Ouest"/>
    <s v="Zainab Keïta"/>
    <x v="112"/>
    <x v="0"/>
    <n v="5"/>
    <n v="18500"/>
    <n v="84232"/>
    <n v="10108"/>
  </r>
  <r>
    <s v="Aïcha Kouyaté"/>
    <x v="10"/>
    <s v="Afrique Centrale"/>
    <s v="Kadiatou Ekwueme"/>
    <x v="107"/>
    <x v="2"/>
    <n v="1"/>
    <n v="45000"/>
    <n v="42713"/>
    <n v="7688"/>
  </r>
  <r>
    <s v="Fatima Ndiaye"/>
    <x v="10"/>
    <s v="Afrique Centrale"/>
    <s v="Moussa Bah"/>
    <x v="107"/>
    <x v="2"/>
    <n v="6"/>
    <n v="45000"/>
    <n v="270400"/>
    <n v="48672"/>
  </r>
  <r>
    <s v="Kofi Mensah"/>
    <x v="14"/>
    <s v="Afrique de l'Ouest"/>
    <s v="Chioma Ekwueme"/>
    <x v="31"/>
    <x v="2"/>
    <n v="2"/>
    <n v="45000"/>
    <n v="97058"/>
    <n v="17470"/>
  </r>
  <r>
    <s v="Ibrahim Traoré"/>
    <x v="6"/>
    <s v="Afrique de l'Ouest"/>
    <s v="Chidi Asante"/>
    <x v="37"/>
    <x v="3"/>
    <n v="2"/>
    <n v="55000"/>
    <n v="101240"/>
    <n v="22273"/>
  </r>
  <r>
    <s v="Kofi Mensah"/>
    <x v="11"/>
    <s v="Afrique de l'Ouest"/>
    <s v="Seydou Nwosu"/>
    <x v="8"/>
    <x v="4"/>
    <n v="2"/>
    <n v="15000"/>
    <n v="29433"/>
    <n v="2943"/>
  </r>
  <r>
    <s v="Fatima Ndiaye"/>
    <x v="3"/>
    <s v="Afrique Centrale"/>
    <s v="Moussa Abubakar"/>
    <x v="288"/>
    <x v="0"/>
    <n v="8"/>
    <n v="18500"/>
    <n v="160444"/>
    <n v="19253"/>
  </r>
  <r>
    <s v="Kofi Mensah"/>
    <x v="7"/>
    <s v="Afrique Centrale"/>
    <s v="Zainab Mensah"/>
    <x v="123"/>
    <x v="2"/>
    <n v="1"/>
    <n v="45000"/>
    <n v="41342"/>
    <n v="7442"/>
  </r>
  <r>
    <s v="Ibrahim Traoré"/>
    <x v="7"/>
    <s v="Afrique Centrale"/>
    <s v="Oumar Nwosu"/>
    <x v="134"/>
    <x v="3"/>
    <n v="9"/>
    <n v="55000"/>
    <n v="484538"/>
    <n v="106598"/>
  </r>
  <r>
    <s v="Aïcha Kouyaté"/>
    <x v="10"/>
    <s v="Afrique Centrale"/>
    <s v="Moussa Nwosu"/>
    <x v="123"/>
    <x v="2"/>
    <n v="1"/>
    <n v="45000"/>
    <n v="47379"/>
    <n v="8528"/>
  </r>
  <r>
    <s v="Ibrahim Traoré"/>
    <x v="13"/>
    <s v="Afrique de l'Ouest"/>
    <s v="Moussa Keïta"/>
    <x v="330"/>
    <x v="1"/>
    <n v="5"/>
    <n v="12500"/>
    <n v="63603"/>
    <n v="5088"/>
  </r>
  <r>
    <s v="Kofi Mensah"/>
    <x v="0"/>
    <s v="Afrique de l'Ouest"/>
    <s v="Seydou Diop"/>
    <x v="25"/>
    <x v="1"/>
    <n v="1"/>
    <n v="12500"/>
    <n v="12047"/>
    <n v="964"/>
  </r>
  <r>
    <s v="Amara Diallo"/>
    <x v="11"/>
    <s v="Afrique de l'Ouest"/>
    <s v="Kwame Ekwueme"/>
    <x v="283"/>
    <x v="4"/>
    <n v="5"/>
    <n v="15000"/>
    <n v="76303"/>
    <n v="7630"/>
  </r>
  <r>
    <s v="Amara Diallo"/>
    <x v="14"/>
    <s v="Afrique de l'Ouest"/>
    <s v="Oumar Keïta"/>
    <x v="321"/>
    <x v="4"/>
    <n v="6"/>
    <n v="15000"/>
    <n v="94182"/>
    <n v="9418"/>
  </r>
  <r>
    <s v="Aïcha Kouyaté"/>
    <x v="3"/>
    <s v="Afrique Centrale"/>
    <s v="Yaw Okonkwo"/>
    <x v="252"/>
    <x v="4"/>
    <n v="7"/>
    <n v="15000"/>
    <n v="98580"/>
    <n v="9858"/>
  </r>
  <r>
    <s v="Aïcha Kouyaté"/>
    <x v="3"/>
    <s v="Afrique Centrale"/>
    <s v="Seydou Sawadogo"/>
    <x v="174"/>
    <x v="3"/>
    <n v="10"/>
    <n v="55000"/>
    <n v="508731"/>
    <n v="111921"/>
  </r>
  <r>
    <s v="Kofi Mensah"/>
    <x v="8"/>
    <s v="Afrique de l'Est"/>
    <s v="Aminata Nwosu"/>
    <x v="170"/>
    <x v="4"/>
    <n v="6"/>
    <n v="15000"/>
    <n v="96529"/>
    <n v="9653"/>
  </r>
  <r>
    <s v="Amara Diallo"/>
    <x v="8"/>
    <s v="Afrique de l'Est"/>
    <s v="Seydou Dembélé"/>
    <x v="326"/>
    <x v="4"/>
    <n v="4"/>
    <n v="15000"/>
    <n v="59674"/>
    <n v="5967"/>
  </r>
  <r>
    <s v="Amara Diallo"/>
    <x v="6"/>
    <s v="Afrique de l'Ouest"/>
    <s v="Chidi Kamara"/>
    <x v="258"/>
    <x v="4"/>
    <n v="10"/>
    <n v="15000"/>
    <n v="150833"/>
    <n v="15083"/>
  </r>
  <r>
    <s v="Aïcha Kouyaté"/>
    <x v="13"/>
    <s v="Afrique de l'Ouest"/>
    <s v="Adama Sawadogo"/>
    <x v="239"/>
    <x v="2"/>
    <n v="10"/>
    <n v="45000"/>
    <n v="476646"/>
    <n v="85796"/>
  </r>
  <r>
    <s v="Amara Diallo"/>
    <x v="13"/>
    <s v="Afrique de l'Ouest"/>
    <s v="Yaw Dembélé"/>
    <x v="161"/>
    <x v="4"/>
    <n v="1"/>
    <n v="15000"/>
    <n v="16004"/>
    <n v="1600"/>
  </r>
  <r>
    <s v="Ibrahim Traoré"/>
    <x v="8"/>
    <s v="Afrique de l'Est"/>
    <s v="Kwame Sawadogo"/>
    <x v="68"/>
    <x v="3"/>
    <n v="1"/>
    <n v="55000"/>
    <n v="51443"/>
    <n v="11317"/>
  </r>
  <r>
    <s v="Amara Diallo"/>
    <x v="11"/>
    <s v="Afrique de l'Ouest"/>
    <s v="Emeka Nwosu"/>
    <x v="279"/>
    <x v="3"/>
    <n v="4"/>
    <n v="55000"/>
    <n v="207985"/>
    <n v="45757"/>
  </r>
  <r>
    <s v="Aïcha Kouyaté"/>
    <x v="10"/>
    <s v="Afrique Centrale"/>
    <s v="Yaw Keïta"/>
    <x v="198"/>
    <x v="0"/>
    <n v="1"/>
    <n v="18500"/>
    <n v="19548"/>
    <n v="2346"/>
  </r>
  <r>
    <s v="Aïcha Kouyaté"/>
    <x v="10"/>
    <s v="Afrique Centrale"/>
    <s v="Zainab Kamara"/>
    <x v="52"/>
    <x v="4"/>
    <n v="5"/>
    <n v="15000"/>
    <n v="77799"/>
    <n v="7780"/>
  </r>
  <r>
    <s v="Amara Diallo"/>
    <x v="3"/>
    <s v="Afrique Centrale"/>
    <s v="Chidi Touré"/>
    <x v="258"/>
    <x v="1"/>
    <n v="10"/>
    <n v="12500"/>
    <n v="112808"/>
    <n v="9025"/>
  </r>
  <r>
    <s v="Ibrahim Traoré"/>
    <x v="12"/>
    <s v="Afrique de l'Est"/>
    <s v="Kadiatou Touré"/>
    <x v="25"/>
    <x v="3"/>
    <n v="10"/>
    <n v="55000"/>
    <n v="566011"/>
    <n v="124522"/>
  </r>
  <r>
    <s v="Amara Diallo"/>
    <x v="12"/>
    <s v="Afrique de l'Est"/>
    <s v="Oumar Touré"/>
    <x v="288"/>
    <x v="4"/>
    <n v="7"/>
    <n v="15000"/>
    <n v="111423"/>
    <n v="11142"/>
  </r>
  <r>
    <s v="Aïcha Kouyaté"/>
    <x v="12"/>
    <s v="Afrique de l'Est"/>
    <s v="Zainab Nwosu"/>
    <x v="337"/>
    <x v="4"/>
    <n v="8"/>
    <n v="15000"/>
    <n v="119045"/>
    <n v="11904"/>
  </r>
  <r>
    <s v="Ibrahim Traoré"/>
    <x v="10"/>
    <s v="Afrique Centrale"/>
    <s v="Aminata Ekwueme"/>
    <x v="108"/>
    <x v="2"/>
    <n v="5"/>
    <n v="45000"/>
    <n v="233159"/>
    <n v="41969"/>
  </r>
  <r>
    <s v="Amara Diallo"/>
    <x v="0"/>
    <s v="Afrique de l'Ouest"/>
    <s v="Zainab Nwosu"/>
    <x v="199"/>
    <x v="2"/>
    <n v="4"/>
    <n v="45000"/>
    <n v="179768"/>
    <n v="32358"/>
  </r>
  <r>
    <s v="Amara Diallo"/>
    <x v="3"/>
    <s v="Afrique Centrale"/>
    <s v="Emeka Abubakar"/>
    <x v="133"/>
    <x v="3"/>
    <n v="9"/>
    <n v="55000"/>
    <n v="507273"/>
    <n v="111600"/>
  </r>
  <r>
    <s v="Aïcha Kouyaté"/>
    <x v="4"/>
    <s v="Afrique de l'Est"/>
    <s v="Oumar Touré"/>
    <x v="339"/>
    <x v="3"/>
    <n v="8"/>
    <n v="55000"/>
    <n v="473577"/>
    <n v="104187"/>
  </r>
  <r>
    <s v="Amara Diallo"/>
    <x v="12"/>
    <s v="Afrique de l'Est"/>
    <s v="Zainab Asante"/>
    <x v="147"/>
    <x v="1"/>
    <n v="3"/>
    <n v="12500"/>
    <n v="35071"/>
    <n v="2806"/>
  </r>
  <r>
    <s v="Amara Diallo"/>
    <x v="12"/>
    <s v="Afrique de l'Est"/>
    <s v="Aminata Nwosu"/>
    <x v="102"/>
    <x v="1"/>
    <n v="9"/>
    <n v="12500"/>
    <n v="111679"/>
    <n v="8934"/>
  </r>
  <r>
    <s v="Ibrahim Traoré"/>
    <x v="5"/>
    <s v="Afrique de l'Est"/>
    <s v="Mariama Touré"/>
    <x v="12"/>
    <x v="0"/>
    <n v="1"/>
    <n v="18500"/>
    <n v="17112"/>
    <n v="2053"/>
  </r>
  <r>
    <s v="Ibrahim Traoré"/>
    <x v="9"/>
    <s v="Afrique de l'Ouest"/>
    <s v="Adama Okonkwo"/>
    <x v="12"/>
    <x v="0"/>
    <n v="5"/>
    <n v="18500"/>
    <n v="87012"/>
    <n v="10441"/>
  </r>
  <r>
    <s v="Ibrahim Traoré"/>
    <x v="1"/>
    <s v="Afrique de l'Ouest"/>
    <s v="Yaw Bah"/>
    <x v="227"/>
    <x v="3"/>
    <n v="7"/>
    <n v="55000"/>
    <n v="352679"/>
    <n v="77589"/>
  </r>
  <r>
    <s v="Kofi Mensah"/>
    <x v="14"/>
    <s v="Afrique de l'Ouest"/>
    <s v="Chidi Asante"/>
    <x v="11"/>
    <x v="0"/>
    <n v="5"/>
    <n v="18500"/>
    <n v="99205"/>
    <n v="11905"/>
  </r>
  <r>
    <s v="Amara Diallo"/>
    <x v="3"/>
    <s v="Afrique Centrale"/>
    <s v="Yaw Asante"/>
    <x v="57"/>
    <x v="3"/>
    <n v="9"/>
    <n v="55000"/>
    <n v="508919"/>
    <n v="111962"/>
  </r>
  <r>
    <s v="Aïcha Kouyaté"/>
    <x v="4"/>
    <s v="Afrique de l'Est"/>
    <s v="Kadiatou Ekwueme"/>
    <x v="279"/>
    <x v="2"/>
    <n v="3"/>
    <n v="45000"/>
    <n v="145681"/>
    <n v="26223"/>
  </r>
  <r>
    <s v="Fatima Ndiaye"/>
    <x v="5"/>
    <s v="Afrique de l'Est"/>
    <s v="Kwame Abubakar"/>
    <x v="331"/>
    <x v="4"/>
    <n v="8"/>
    <n v="15000"/>
    <n v="113022"/>
    <n v="11302"/>
  </r>
  <r>
    <s v="Ibrahim Traoré"/>
    <x v="12"/>
    <s v="Afrique de l'Est"/>
    <s v="Yaw Cissé"/>
    <x v="319"/>
    <x v="1"/>
    <n v="8"/>
    <n v="12500"/>
    <n v="100378"/>
    <n v="8030"/>
  </r>
  <r>
    <s v="Aïcha Kouyaté"/>
    <x v="13"/>
    <s v="Afrique de l'Ouest"/>
    <s v="Kwame Keïta"/>
    <x v="344"/>
    <x v="3"/>
    <n v="9"/>
    <n v="55000"/>
    <n v="522658"/>
    <n v="114985"/>
  </r>
  <r>
    <s v="Kofi Mensah"/>
    <x v="13"/>
    <s v="Afrique de l'Ouest"/>
    <s v="Zainab Nwosu"/>
    <x v="143"/>
    <x v="0"/>
    <n v="1"/>
    <n v="18500"/>
    <n v="18864"/>
    <n v="2264"/>
  </r>
  <r>
    <s v="Ibrahim Traoré"/>
    <x v="14"/>
    <s v="Afrique de l'Ouest"/>
    <s v="Chidi Nwosu"/>
    <x v="339"/>
    <x v="2"/>
    <n v="7"/>
    <n v="45000"/>
    <n v="289735"/>
    <n v="52152"/>
  </r>
  <r>
    <s v="Amara Diallo"/>
    <x v="7"/>
    <s v="Afrique Centrale"/>
    <s v="Mariama Bah"/>
    <x v="155"/>
    <x v="2"/>
    <n v="3"/>
    <n v="45000"/>
    <n v="137764"/>
    <n v="24798"/>
  </r>
  <r>
    <s v="Ibrahim Traoré"/>
    <x v="14"/>
    <s v="Afrique de l'Ouest"/>
    <s v="Aminata Kamara"/>
    <x v="279"/>
    <x v="1"/>
    <n v="4"/>
    <n v="12500"/>
    <n v="51554"/>
    <n v="4124"/>
  </r>
  <r>
    <s v="Aïcha Kouyaté"/>
    <x v="3"/>
    <s v="Afrique Centrale"/>
    <s v="Aminata Okonkwo"/>
    <x v="3"/>
    <x v="3"/>
    <n v="2"/>
    <n v="55000"/>
    <n v="116704"/>
    <n v="25675"/>
  </r>
  <r>
    <s v="Kofi Mensah"/>
    <x v="10"/>
    <s v="Afrique Centrale"/>
    <s v="Zainab Touré"/>
    <x v="274"/>
    <x v="2"/>
    <n v="10"/>
    <n v="45000"/>
    <n v="474678"/>
    <n v="85442"/>
  </r>
  <r>
    <s v="Fatima Ndiaye"/>
    <x v="6"/>
    <s v="Afrique de l'Ouest"/>
    <s v="Seydou Abubakar"/>
    <x v="190"/>
    <x v="0"/>
    <n v="6"/>
    <n v="18500"/>
    <n v="103392"/>
    <n v="12407"/>
  </r>
  <r>
    <s v="Fatima Ndiaye"/>
    <x v="13"/>
    <s v="Afrique de l'Ouest"/>
    <s v="Yaw Okonkwo"/>
    <x v="204"/>
    <x v="2"/>
    <n v="10"/>
    <n v="45000"/>
    <n v="483025"/>
    <n v="86944"/>
  </r>
  <r>
    <s v="Aïcha Kouyaté"/>
    <x v="4"/>
    <s v="Afrique de l'Est"/>
    <s v="Zainab Touré"/>
    <x v="80"/>
    <x v="2"/>
    <n v="4"/>
    <n v="45000"/>
    <n v="171885"/>
    <n v="30939"/>
  </r>
  <r>
    <s v="Amara Diallo"/>
    <x v="9"/>
    <s v="Afrique de l'Ouest"/>
    <s v="Zainab Sawadogo"/>
    <x v="102"/>
    <x v="0"/>
    <n v="2"/>
    <n v="18500"/>
    <n v="37731"/>
    <n v="4528"/>
  </r>
  <r>
    <s v="Amara Diallo"/>
    <x v="14"/>
    <s v="Afrique de l'Ouest"/>
    <s v="Chioma Asante"/>
    <x v="333"/>
    <x v="2"/>
    <n v="8"/>
    <n v="45000"/>
    <n v="356774"/>
    <n v="64219"/>
  </r>
  <r>
    <s v="Ibrahim Traoré"/>
    <x v="13"/>
    <s v="Afrique de l'Ouest"/>
    <s v="Adama Mensah"/>
    <x v="311"/>
    <x v="4"/>
    <n v="6"/>
    <n v="15000"/>
    <n v="91392"/>
    <n v="9139"/>
  </r>
  <r>
    <s v="Aïcha Kouyaté"/>
    <x v="13"/>
    <s v="Afrique de l'Ouest"/>
    <s v="Chidi Sawadogo"/>
    <x v="48"/>
    <x v="1"/>
    <n v="10"/>
    <n v="12500"/>
    <n v="114663"/>
    <n v="9173"/>
  </r>
  <r>
    <s v="Kofi Mensah"/>
    <x v="4"/>
    <s v="Afrique de l'Est"/>
    <s v="Awa Asante"/>
    <x v="7"/>
    <x v="3"/>
    <n v="4"/>
    <n v="55000"/>
    <n v="201814"/>
    <n v="44399"/>
  </r>
  <r>
    <s v="Aïcha Kouyaté"/>
    <x v="11"/>
    <s v="Afrique de l'Ouest"/>
    <s v="Aminata Mensah"/>
    <x v="267"/>
    <x v="4"/>
    <n v="1"/>
    <n v="15000"/>
    <n v="13944"/>
    <n v="1394"/>
  </r>
  <r>
    <s v="Ibrahim Traoré"/>
    <x v="10"/>
    <s v="Afrique Centrale"/>
    <s v="Kadiatou Diop"/>
    <x v="288"/>
    <x v="0"/>
    <n v="1"/>
    <n v="18500"/>
    <n v="18349"/>
    <n v="2202"/>
  </r>
  <r>
    <s v="Ibrahim Traoré"/>
    <x v="10"/>
    <s v="Afrique Centrale"/>
    <s v="Zainab Cissé"/>
    <x v="181"/>
    <x v="0"/>
    <n v="8"/>
    <n v="18500"/>
    <n v="148807"/>
    <n v="17857"/>
  </r>
  <r>
    <s v="Ibrahim Traoré"/>
    <x v="7"/>
    <s v="Afrique Centrale"/>
    <s v="Zainab Okonkwo"/>
    <x v="164"/>
    <x v="0"/>
    <n v="1"/>
    <n v="18500"/>
    <n v="19313"/>
    <n v="2318"/>
  </r>
  <r>
    <s v="Ibrahim Traoré"/>
    <x v="2"/>
    <s v="Afrique de l'Ouest"/>
    <s v="Emeka Ekwueme"/>
    <x v="119"/>
    <x v="0"/>
    <n v="3"/>
    <n v="18500"/>
    <n v="52977"/>
    <n v="6357"/>
  </r>
  <r>
    <s v="Aïcha Kouyaté"/>
    <x v="8"/>
    <s v="Afrique de l'Est"/>
    <s v="Yaw Diop"/>
    <x v="183"/>
    <x v="0"/>
    <n v="8"/>
    <n v="18500"/>
    <n v="152553"/>
    <n v="18306"/>
  </r>
  <r>
    <s v="Aïcha Kouyaté"/>
    <x v="4"/>
    <s v="Afrique de l'Est"/>
    <s v="Mariama Dembélé"/>
    <x v="267"/>
    <x v="1"/>
    <n v="2"/>
    <n v="12500"/>
    <n v="27250"/>
    <n v="2180"/>
  </r>
  <r>
    <s v="Fatima Ndiaye"/>
    <x v="7"/>
    <s v="Afrique Centrale"/>
    <s v="Moussa Diop"/>
    <x v="232"/>
    <x v="3"/>
    <n v="9"/>
    <n v="55000"/>
    <n v="467799"/>
    <n v="102916"/>
  </r>
  <r>
    <s v="Amara Diallo"/>
    <x v="4"/>
    <s v="Afrique de l'Est"/>
    <s v="Chidi Abubakar"/>
    <x v="73"/>
    <x v="3"/>
    <n v="10"/>
    <n v="55000"/>
    <n v="513776"/>
    <n v="113031"/>
  </r>
  <r>
    <s v="Fatima Ndiaye"/>
    <x v="3"/>
    <s v="Afrique Centrale"/>
    <s v="Seydou Nwosu"/>
    <x v="294"/>
    <x v="2"/>
    <n v="8"/>
    <n v="45000"/>
    <n v="331452"/>
    <n v="59661"/>
  </r>
  <r>
    <s v="Fatima Ndiaye"/>
    <x v="11"/>
    <s v="Afrique de l'Ouest"/>
    <s v="Kwame Kamara"/>
    <x v="14"/>
    <x v="1"/>
    <n v="7"/>
    <n v="12500"/>
    <n v="85930"/>
    <n v="6874"/>
  </r>
  <r>
    <s v="Amara Diallo"/>
    <x v="9"/>
    <s v="Afrique de l'Ouest"/>
    <s v="Chidi Kamara"/>
    <x v="31"/>
    <x v="1"/>
    <n v="7"/>
    <n v="12500"/>
    <n v="90246"/>
    <n v="7220"/>
  </r>
  <r>
    <s v="Kofi Mensah"/>
    <x v="9"/>
    <s v="Afrique de l'Ouest"/>
    <s v="Aminata Diop"/>
    <x v="34"/>
    <x v="4"/>
    <n v="1"/>
    <n v="15000"/>
    <n v="15770"/>
    <n v="1577"/>
  </r>
  <r>
    <s v="Amara Diallo"/>
    <x v="13"/>
    <s v="Afrique de l'Ouest"/>
    <s v="Awa Kamara"/>
    <x v="79"/>
    <x v="2"/>
    <n v="10"/>
    <n v="45000"/>
    <n v="431041"/>
    <n v="77587"/>
  </r>
  <r>
    <s v="Aïcha Kouyaté"/>
    <x v="6"/>
    <s v="Afrique de l'Ouest"/>
    <s v="Aminata Asante"/>
    <x v="95"/>
    <x v="1"/>
    <n v="9"/>
    <n v="12500"/>
    <n v="117355"/>
    <n v="9388"/>
  </r>
  <r>
    <s v="Aïcha Kouyaté"/>
    <x v="2"/>
    <s v="Afrique de l'Ouest"/>
    <s v="Zainab Bah"/>
    <x v="31"/>
    <x v="3"/>
    <n v="5"/>
    <n v="55000"/>
    <n v="265258"/>
    <n v="58357"/>
  </r>
  <r>
    <s v="Fatima Ndiaye"/>
    <x v="14"/>
    <s v="Afrique de l'Ouest"/>
    <s v="Yaw Coulibaly"/>
    <x v="219"/>
    <x v="0"/>
    <n v="2"/>
    <n v="18500"/>
    <n v="38827"/>
    <n v="4659"/>
  </r>
  <r>
    <s v="Fatima Ndiaye"/>
    <x v="7"/>
    <s v="Afrique Centrale"/>
    <s v="Awa Cissé"/>
    <x v="140"/>
    <x v="3"/>
    <n v="7"/>
    <n v="55000"/>
    <n v="403180"/>
    <n v="88700"/>
  </r>
  <r>
    <s v="Amara Diallo"/>
    <x v="12"/>
    <s v="Afrique de l'Est"/>
    <s v="Emeka Bah"/>
    <x v="84"/>
    <x v="1"/>
    <n v="3"/>
    <n v="12500"/>
    <n v="34377"/>
    <n v="2750"/>
  </r>
  <r>
    <s v="Fatima Ndiaye"/>
    <x v="11"/>
    <s v="Afrique de l'Ouest"/>
    <s v="Ngozi Sawadogo"/>
    <x v="308"/>
    <x v="2"/>
    <n v="3"/>
    <n v="45000"/>
    <n v="123857"/>
    <n v="22294"/>
  </r>
  <r>
    <s v="Aïcha Kouyaté"/>
    <x v="5"/>
    <s v="Afrique de l'Est"/>
    <s v="Chidi Nwosu"/>
    <x v="344"/>
    <x v="4"/>
    <n v="2"/>
    <n v="15000"/>
    <n v="32379"/>
    <n v="3238"/>
  </r>
  <r>
    <s v="Fatima Ndiaye"/>
    <x v="3"/>
    <s v="Afrique Centrale"/>
    <s v="Emeka Bah"/>
    <x v="205"/>
    <x v="3"/>
    <n v="6"/>
    <n v="55000"/>
    <n v="346361"/>
    <n v="76199"/>
  </r>
  <r>
    <s v="Ibrahim Traoré"/>
    <x v="4"/>
    <s v="Afrique de l'Est"/>
    <s v="Chioma Touré"/>
    <x v="107"/>
    <x v="2"/>
    <n v="10"/>
    <n v="45000"/>
    <n v="438553"/>
    <n v="78940"/>
  </r>
  <r>
    <s v="Aïcha Kouyaté"/>
    <x v="10"/>
    <s v="Afrique Centrale"/>
    <s v="Oumar Bah"/>
    <x v="350"/>
    <x v="4"/>
    <n v="10"/>
    <n v="15000"/>
    <n v="153143"/>
    <n v="15314"/>
  </r>
  <r>
    <s v="Amara Diallo"/>
    <x v="0"/>
    <s v="Afrique de l'Ouest"/>
    <s v="Awa Bah"/>
    <x v="56"/>
    <x v="2"/>
    <n v="3"/>
    <n v="45000"/>
    <n v="139488"/>
    <n v="25108"/>
  </r>
  <r>
    <s v="Aïcha Kouyaté"/>
    <x v="12"/>
    <s v="Afrique de l'Est"/>
    <s v="Kadiatou Okonkwo"/>
    <x v="213"/>
    <x v="1"/>
    <n v="6"/>
    <n v="12500"/>
    <n v="78644"/>
    <n v="6292"/>
  </r>
  <r>
    <s v="Ibrahim Traoré"/>
    <x v="7"/>
    <s v="Afrique Centrale"/>
    <s v="Oumar Abubakar"/>
    <x v="64"/>
    <x v="3"/>
    <n v="4"/>
    <n v="55000"/>
    <n v="215614"/>
    <n v="47435"/>
  </r>
  <r>
    <s v="Fatima Ndiaye"/>
    <x v="12"/>
    <s v="Afrique de l'Est"/>
    <s v="Moussa Kamara"/>
    <x v="238"/>
    <x v="1"/>
    <n v="4"/>
    <n v="12500"/>
    <n v="47058"/>
    <n v="3765"/>
  </r>
  <r>
    <s v="Amara Diallo"/>
    <x v="0"/>
    <s v="Afrique de l'Ouest"/>
    <s v="Adama Asante"/>
    <x v="60"/>
    <x v="2"/>
    <n v="8"/>
    <n v="45000"/>
    <n v="331179"/>
    <n v="59612"/>
  </r>
  <r>
    <s v="Fatima Ndiaye"/>
    <x v="3"/>
    <s v="Afrique Centrale"/>
    <s v="Seydou Dembélé"/>
    <x v="199"/>
    <x v="2"/>
    <n v="2"/>
    <n v="45000"/>
    <n v="94329"/>
    <n v="16979"/>
  </r>
  <r>
    <s v="Ibrahim Traoré"/>
    <x v="12"/>
    <s v="Afrique de l'Est"/>
    <s v="Kwame Diop"/>
    <x v="206"/>
    <x v="2"/>
    <n v="1"/>
    <n v="45000"/>
    <n v="48981"/>
    <n v="8817"/>
  </r>
  <r>
    <s v="Ibrahim Traoré"/>
    <x v="7"/>
    <s v="Afrique Centrale"/>
    <s v="Oumar Coulibaly"/>
    <x v="236"/>
    <x v="2"/>
    <n v="3"/>
    <n v="45000"/>
    <n v="123013"/>
    <n v="22142"/>
  </r>
  <r>
    <s v="Ibrahim Traoré"/>
    <x v="11"/>
    <s v="Afrique de l'Ouest"/>
    <s v="Zainab Ekwueme"/>
    <x v="99"/>
    <x v="0"/>
    <n v="3"/>
    <n v="18500"/>
    <n v="55771"/>
    <n v="6693"/>
  </r>
  <r>
    <s v="Amara Diallo"/>
    <x v="1"/>
    <s v="Afrique de l'Ouest"/>
    <s v="Chidi Sawadogo"/>
    <x v="77"/>
    <x v="3"/>
    <n v="9"/>
    <n v="55000"/>
    <n v="519504"/>
    <n v="114291"/>
  </r>
  <r>
    <s v="Amara Diallo"/>
    <x v="6"/>
    <s v="Afrique de l'Ouest"/>
    <s v="Adama Touré"/>
    <x v="270"/>
    <x v="0"/>
    <n v="9"/>
    <n v="18500"/>
    <n v="182881"/>
    <n v="21946"/>
  </r>
  <r>
    <s v="Ibrahim Traoré"/>
    <x v="2"/>
    <s v="Afrique de l'Ouest"/>
    <s v="Ngozi Coulibaly"/>
    <x v="118"/>
    <x v="2"/>
    <n v="9"/>
    <n v="45000"/>
    <n v="364978"/>
    <n v="65696"/>
  </r>
  <r>
    <s v="Fatima Ndiaye"/>
    <x v="4"/>
    <s v="Afrique de l'Est"/>
    <s v="Kadiatou Mensah"/>
    <x v="292"/>
    <x v="1"/>
    <n v="2"/>
    <n v="12500"/>
    <n v="26862"/>
    <n v="2149"/>
  </r>
  <r>
    <s v="Aïcha Kouyaté"/>
    <x v="8"/>
    <s v="Afrique de l'Est"/>
    <s v="Mariama Abubakar"/>
    <x v="171"/>
    <x v="4"/>
    <n v="6"/>
    <n v="15000"/>
    <n v="87909"/>
    <n v="8791"/>
  </r>
  <r>
    <s v="Kofi Mensah"/>
    <x v="11"/>
    <s v="Afrique de l'Ouest"/>
    <s v="Adama Mensah"/>
    <x v="164"/>
    <x v="4"/>
    <n v="10"/>
    <n v="15000"/>
    <n v="148415"/>
    <n v="14842"/>
  </r>
  <r>
    <s v="Kofi Mensah"/>
    <x v="9"/>
    <s v="Afrique de l'Ouest"/>
    <s v="Emeka Keïta"/>
    <x v="173"/>
    <x v="3"/>
    <n v="3"/>
    <n v="55000"/>
    <n v="177089"/>
    <n v="38960"/>
  </r>
  <r>
    <s v="Ibrahim Traoré"/>
    <x v="14"/>
    <s v="Afrique de l'Ouest"/>
    <s v="Kadiatou Ekwueme"/>
    <x v="14"/>
    <x v="0"/>
    <n v="3"/>
    <n v="18500"/>
    <n v="54391"/>
    <n v="6527"/>
  </r>
  <r>
    <s v="Ibrahim Traoré"/>
    <x v="4"/>
    <s v="Afrique de l'Est"/>
    <s v="Ngozi Cissé"/>
    <x v="195"/>
    <x v="0"/>
    <n v="3"/>
    <n v="18500"/>
    <n v="53266"/>
    <n v="6392"/>
  </r>
  <r>
    <s v="Aïcha Kouyaté"/>
    <x v="3"/>
    <s v="Afrique Centrale"/>
    <s v="Ngozi Bah"/>
    <x v="116"/>
    <x v="3"/>
    <n v="7"/>
    <n v="55000"/>
    <n v="377989"/>
    <n v="83158"/>
  </r>
  <r>
    <s v="Ibrahim Traoré"/>
    <x v="11"/>
    <s v="Afrique de l'Ouest"/>
    <s v="Seydou Coulibaly"/>
    <x v="319"/>
    <x v="4"/>
    <n v="4"/>
    <n v="15000"/>
    <n v="56416"/>
    <n v="5642"/>
  </r>
  <r>
    <s v="Amara Diallo"/>
    <x v="9"/>
    <s v="Afrique de l'Ouest"/>
    <s v="Chioma Bah"/>
    <x v="329"/>
    <x v="4"/>
    <n v="3"/>
    <n v="15000"/>
    <n v="43908"/>
    <n v="4391"/>
  </r>
  <r>
    <s v="Ibrahim Traoré"/>
    <x v="0"/>
    <s v="Afrique de l'Ouest"/>
    <s v="Aminata Sawadogo"/>
    <x v="351"/>
    <x v="2"/>
    <n v="2"/>
    <n v="45000"/>
    <n v="97286"/>
    <n v="17511"/>
  </r>
  <r>
    <s v="Ibrahim Traoré"/>
    <x v="11"/>
    <s v="Afrique de l'Ouest"/>
    <s v="Oumar Diop"/>
    <x v="238"/>
    <x v="3"/>
    <n v="9"/>
    <n v="55000"/>
    <n v="513352"/>
    <n v="112937"/>
  </r>
  <r>
    <s v="Fatima Ndiaye"/>
    <x v="3"/>
    <s v="Afrique Centrale"/>
    <s v="Zainab Okonkwo"/>
    <x v="272"/>
    <x v="3"/>
    <n v="2"/>
    <n v="55000"/>
    <n v="119941"/>
    <n v="26387"/>
  </r>
  <r>
    <s v="Ibrahim Traoré"/>
    <x v="13"/>
    <s v="Afrique de l'Ouest"/>
    <s v="Kadiatou Mensah"/>
    <x v="315"/>
    <x v="4"/>
    <n v="8"/>
    <n v="15000"/>
    <n v="112091"/>
    <n v="11209"/>
  </r>
  <r>
    <s v="Fatima Ndiaye"/>
    <x v="3"/>
    <s v="Afrique Centrale"/>
    <s v="Chioma Abubakar"/>
    <x v="163"/>
    <x v="1"/>
    <n v="8"/>
    <n v="12500"/>
    <n v="92487"/>
    <n v="7399"/>
  </r>
  <r>
    <s v="Aïcha Kouyaté"/>
    <x v="2"/>
    <s v="Afrique de l'Ouest"/>
    <s v="Kwame Nwosu"/>
    <x v="296"/>
    <x v="0"/>
    <n v="7"/>
    <n v="18500"/>
    <n v="125535"/>
    <n v="15064"/>
  </r>
  <r>
    <s v="Ibrahim Traoré"/>
    <x v="13"/>
    <s v="Afrique de l'Ouest"/>
    <s v="Seydou Cissé"/>
    <x v="72"/>
    <x v="1"/>
    <n v="6"/>
    <n v="12500"/>
    <n v="71323"/>
    <n v="5706"/>
  </r>
  <r>
    <s v="Amara Diallo"/>
    <x v="14"/>
    <s v="Afrique de l'Ouest"/>
    <s v="Awa Okonkwo"/>
    <x v="235"/>
    <x v="3"/>
    <n v="2"/>
    <n v="55000"/>
    <n v="103907"/>
    <n v="22860"/>
  </r>
  <r>
    <s v="Kofi Mensah"/>
    <x v="7"/>
    <s v="Afrique Centrale"/>
    <s v="Moussa Asante"/>
    <x v="28"/>
    <x v="1"/>
    <n v="9"/>
    <n v="12500"/>
    <n v="115766"/>
    <n v="9261"/>
  </r>
  <r>
    <s v="Ibrahim Traoré"/>
    <x v="0"/>
    <s v="Afrique de l'Ouest"/>
    <s v="Yaw Abubakar"/>
    <x v="127"/>
    <x v="4"/>
    <n v="9"/>
    <n v="15000"/>
    <n v="140955"/>
    <n v="14096"/>
  </r>
  <r>
    <s v="Kofi Mensah"/>
    <x v="3"/>
    <s v="Afrique Centrale"/>
    <s v="Adama Asante"/>
    <x v="352"/>
    <x v="4"/>
    <n v="7"/>
    <n v="15000"/>
    <n v="105818"/>
    <n v="10582"/>
  </r>
  <r>
    <s v="Amara Diallo"/>
    <x v="4"/>
    <s v="Afrique de l'Est"/>
    <s v="Aminata Okonkwo"/>
    <x v="278"/>
    <x v="4"/>
    <n v="2"/>
    <n v="15000"/>
    <n v="27246"/>
    <n v="2725"/>
  </r>
  <r>
    <s v="Amara Diallo"/>
    <x v="9"/>
    <s v="Afrique de l'Ouest"/>
    <s v="Awa Nwosu"/>
    <x v="329"/>
    <x v="2"/>
    <n v="4"/>
    <n v="45000"/>
    <n v="172482"/>
    <n v="31047"/>
  </r>
  <r>
    <s v="Aïcha Kouyaté"/>
    <x v="1"/>
    <s v="Afrique de l'Ouest"/>
    <s v="Kwame Keïta"/>
    <x v="346"/>
    <x v="2"/>
    <n v="2"/>
    <n v="45000"/>
    <n v="96658"/>
    <n v="17398"/>
  </r>
  <r>
    <s v="Amara Diallo"/>
    <x v="10"/>
    <s v="Afrique Centrale"/>
    <s v="Emeka Okonkwo"/>
    <x v="347"/>
    <x v="3"/>
    <n v="3"/>
    <n v="55000"/>
    <n v="148602"/>
    <n v="32692"/>
  </r>
  <r>
    <s v="Fatima Ndiaye"/>
    <x v="4"/>
    <s v="Afrique de l'Est"/>
    <s v="Ngozi Okonkwo"/>
    <x v="351"/>
    <x v="2"/>
    <n v="9"/>
    <n v="45000"/>
    <n v="406695"/>
    <n v="73205"/>
  </r>
  <r>
    <s v="Ibrahim Traoré"/>
    <x v="14"/>
    <s v="Afrique de l'Ouest"/>
    <s v="Seydou Diop"/>
    <x v="131"/>
    <x v="2"/>
    <n v="3"/>
    <n v="45000"/>
    <n v="133369"/>
    <n v="24006"/>
  </r>
  <r>
    <s v="Amara Diallo"/>
    <x v="8"/>
    <s v="Afrique de l'Est"/>
    <s v="Emeka Sawadogo"/>
    <x v="173"/>
    <x v="0"/>
    <n v="1"/>
    <n v="18500"/>
    <n v="17658"/>
    <n v="2119"/>
  </r>
  <r>
    <s v="Amara Diallo"/>
    <x v="12"/>
    <s v="Afrique de l'Est"/>
    <s v="Seydou Asante"/>
    <x v="337"/>
    <x v="0"/>
    <n v="2"/>
    <n v="18500"/>
    <n v="33797"/>
    <n v="4056"/>
  </r>
  <r>
    <s v="Amara Diallo"/>
    <x v="0"/>
    <s v="Afrique de l'Ouest"/>
    <s v="Aminata Touré"/>
    <x v="67"/>
    <x v="3"/>
    <n v="4"/>
    <n v="55000"/>
    <n v="205488"/>
    <n v="45207"/>
  </r>
  <r>
    <s v="Kofi Mensah"/>
    <x v="2"/>
    <s v="Afrique de l'Ouest"/>
    <s v="Chidi Dembélé"/>
    <x v="150"/>
    <x v="1"/>
    <n v="3"/>
    <n v="12500"/>
    <n v="35083"/>
    <n v="2807"/>
  </r>
  <r>
    <s v="Kofi Mensah"/>
    <x v="5"/>
    <s v="Afrique de l'Est"/>
    <s v="Yaw Mensah"/>
    <x v="164"/>
    <x v="2"/>
    <n v="5"/>
    <n v="45000"/>
    <n v="203735"/>
    <n v="36672"/>
  </r>
  <r>
    <s v="Kofi Mensah"/>
    <x v="1"/>
    <s v="Afrique de l'Ouest"/>
    <s v="Kwame Cissé"/>
    <x v="245"/>
    <x v="1"/>
    <n v="8"/>
    <n v="12500"/>
    <n v="91350"/>
    <n v="7308"/>
  </r>
  <r>
    <s v="Amara Diallo"/>
    <x v="2"/>
    <s v="Afrique de l'Ouest"/>
    <s v="Mariama Mensah"/>
    <x v="353"/>
    <x v="2"/>
    <n v="10"/>
    <n v="45000"/>
    <n v="447713"/>
    <n v="80588"/>
  </r>
  <r>
    <s v="Ibrahim Traoré"/>
    <x v="5"/>
    <s v="Afrique de l'Est"/>
    <s v="Mariama Keïta"/>
    <x v="10"/>
    <x v="1"/>
    <n v="8"/>
    <n v="12500"/>
    <n v="107752"/>
    <n v="8620"/>
  </r>
  <r>
    <s v="Ibrahim Traoré"/>
    <x v="13"/>
    <s v="Afrique de l'Ouest"/>
    <s v="Chidi Keïta"/>
    <x v="316"/>
    <x v="4"/>
    <n v="3"/>
    <n v="15000"/>
    <n v="49037"/>
    <n v="4904"/>
  </r>
  <r>
    <s v="Ibrahim Traoré"/>
    <x v="3"/>
    <s v="Afrique Centrale"/>
    <s v="Kadiatou Abubakar"/>
    <x v="306"/>
    <x v="1"/>
    <n v="3"/>
    <n v="12500"/>
    <n v="34887"/>
    <n v="2791"/>
  </r>
  <r>
    <s v="Aïcha Kouyaté"/>
    <x v="3"/>
    <s v="Afrique Centrale"/>
    <s v="Ngozi Coulibaly"/>
    <x v="191"/>
    <x v="4"/>
    <n v="8"/>
    <n v="15000"/>
    <n v="124917"/>
    <n v="12492"/>
  </r>
  <r>
    <s v="Aïcha Kouyaté"/>
    <x v="13"/>
    <s v="Afrique de l'Ouest"/>
    <s v="Awa Ekwueme"/>
    <x v="336"/>
    <x v="2"/>
    <n v="7"/>
    <n v="45000"/>
    <n v="342224"/>
    <n v="61600"/>
  </r>
  <r>
    <s v="Fatima Ndiaye"/>
    <x v="0"/>
    <s v="Afrique de l'Ouest"/>
    <s v="Aminata Touré"/>
    <x v="185"/>
    <x v="0"/>
    <n v="2"/>
    <n v="18500"/>
    <n v="36584"/>
    <n v="4390"/>
  </r>
  <r>
    <s v="Kofi Mensah"/>
    <x v="10"/>
    <s v="Afrique Centrale"/>
    <s v="Emeka Coulibaly"/>
    <x v="160"/>
    <x v="3"/>
    <n v="5"/>
    <n v="55000"/>
    <n v="255838"/>
    <n v="56284"/>
  </r>
  <r>
    <s v="Amara Diallo"/>
    <x v="14"/>
    <s v="Afrique de l'Ouest"/>
    <s v="Seydou Keïta"/>
    <x v="22"/>
    <x v="2"/>
    <n v="6"/>
    <n v="45000"/>
    <n v="287912"/>
    <n v="51824"/>
  </r>
  <r>
    <s v="Ibrahim Traoré"/>
    <x v="12"/>
    <s v="Afrique de l'Est"/>
    <s v="Adama Keïta"/>
    <x v="354"/>
    <x v="0"/>
    <n v="6"/>
    <n v="18500"/>
    <n v="107328"/>
    <n v="12879"/>
  </r>
  <r>
    <s v="Kofi Mensah"/>
    <x v="4"/>
    <s v="Afrique de l'Est"/>
    <s v="Awa Cissé"/>
    <x v="350"/>
    <x v="3"/>
    <n v="10"/>
    <n v="55000"/>
    <n v="539893"/>
    <n v="118776"/>
  </r>
  <r>
    <s v="Kofi Mensah"/>
    <x v="8"/>
    <s v="Afrique de l'Est"/>
    <s v="Chioma Keïta"/>
    <x v="217"/>
    <x v="2"/>
    <n v="9"/>
    <n v="45000"/>
    <n v="414640"/>
    <n v="74635"/>
  </r>
  <r>
    <s v="Aïcha Kouyaté"/>
    <x v="4"/>
    <s v="Afrique de l'Est"/>
    <s v="Yaw Abubakar"/>
    <x v="351"/>
    <x v="2"/>
    <n v="2"/>
    <n v="45000"/>
    <n v="82613"/>
    <n v="14870"/>
  </r>
  <r>
    <s v="Aïcha Kouyaté"/>
    <x v="3"/>
    <s v="Afrique Centrale"/>
    <s v="Kwame Bah"/>
    <x v="321"/>
    <x v="1"/>
    <n v="7"/>
    <n v="12500"/>
    <n v="85381"/>
    <n v="6830"/>
  </r>
  <r>
    <s v="Fatima Ndiaye"/>
    <x v="9"/>
    <s v="Afrique de l'Ouest"/>
    <s v="Chioma Kamara"/>
    <x v="286"/>
    <x v="2"/>
    <n v="7"/>
    <n v="45000"/>
    <n v="344676"/>
    <n v="62042"/>
  </r>
  <r>
    <s v="Amara Diallo"/>
    <x v="3"/>
    <s v="Afrique Centrale"/>
    <s v="Yaw Dembélé"/>
    <x v="265"/>
    <x v="0"/>
    <n v="3"/>
    <n v="18500"/>
    <n v="50869"/>
    <n v="6104"/>
  </r>
  <r>
    <s v="Kofi Mensah"/>
    <x v="3"/>
    <s v="Afrique Centrale"/>
    <s v="Yaw Abubakar"/>
    <x v="165"/>
    <x v="3"/>
    <n v="7"/>
    <n v="55000"/>
    <n v="405818"/>
    <n v="89280"/>
  </r>
  <r>
    <s v="Fatima Ndiaye"/>
    <x v="10"/>
    <s v="Afrique Centrale"/>
    <s v="Oumar Cissé"/>
    <x v="198"/>
    <x v="2"/>
    <n v="5"/>
    <n v="45000"/>
    <n v="224588"/>
    <n v="40426"/>
  </r>
  <r>
    <s v="Kofi Mensah"/>
    <x v="5"/>
    <s v="Afrique de l'Est"/>
    <s v="Moussa Asante"/>
    <x v="270"/>
    <x v="0"/>
    <n v="3"/>
    <n v="18500"/>
    <n v="55207"/>
    <n v="6625"/>
  </r>
  <r>
    <s v="Amara Diallo"/>
    <x v="0"/>
    <s v="Afrique de l'Ouest"/>
    <s v="Kadiatou Asante"/>
    <x v="60"/>
    <x v="0"/>
    <n v="4"/>
    <n v="18500"/>
    <n v="76630"/>
    <n v="9196"/>
  </r>
  <r>
    <s v="Amara Diallo"/>
    <x v="9"/>
    <s v="Afrique de l'Ouest"/>
    <s v="Kadiatou Dembélé"/>
    <x v="78"/>
    <x v="2"/>
    <n v="7"/>
    <n v="45000"/>
    <n v="287737"/>
    <n v="51793"/>
  </r>
  <r>
    <s v="Fatima Ndiaye"/>
    <x v="6"/>
    <s v="Afrique de l'Ouest"/>
    <s v="Chidi Kamara"/>
    <x v="182"/>
    <x v="1"/>
    <n v="1"/>
    <n v="12500"/>
    <n v="13179"/>
    <n v="1054"/>
  </r>
  <r>
    <s v="Aïcha Kouyaté"/>
    <x v="6"/>
    <s v="Afrique de l'Ouest"/>
    <s v="Chioma Diop"/>
    <x v="111"/>
    <x v="4"/>
    <n v="8"/>
    <n v="15000"/>
    <n v="116795"/>
    <n v="11680"/>
  </r>
  <r>
    <s v="Kofi Mensah"/>
    <x v="2"/>
    <s v="Afrique de l'Ouest"/>
    <s v="Yaw Okonkwo"/>
    <x v="181"/>
    <x v="2"/>
    <n v="9"/>
    <n v="45000"/>
    <n v="395082"/>
    <n v="71115"/>
  </r>
  <r>
    <s v="Aïcha Kouyaté"/>
    <x v="13"/>
    <s v="Afrique de l'Ouest"/>
    <s v="Mariama Touré"/>
    <x v="277"/>
    <x v="2"/>
    <n v="10"/>
    <n v="45000"/>
    <n v="477107"/>
    <n v="85879"/>
  </r>
  <r>
    <s v="Aïcha Kouyaté"/>
    <x v="6"/>
    <s v="Afrique de l'Ouest"/>
    <s v="Emeka Diop"/>
    <x v="218"/>
    <x v="3"/>
    <n v="7"/>
    <n v="55000"/>
    <n v="383896"/>
    <n v="84457"/>
  </r>
  <r>
    <s v="Kofi Mensah"/>
    <x v="5"/>
    <s v="Afrique de l'Est"/>
    <s v="Adama Keïta"/>
    <x v="293"/>
    <x v="0"/>
    <n v="2"/>
    <n v="18500"/>
    <n v="35747"/>
    <n v="4290"/>
  </r>
  <r>
    <s v="Fatima Ndiaye"/>
    <x v="7"/>
    <s v="Afrique Centrale"/>
    <s v="Ngozi Kamara"/>
    <x v="180"/>
    <x v="0"/>
    <n v="2"/>
    <n v="18500"/>
    <n v="37078"/>
    <n v="4449"/>
  </r>
  <r>
    <s v="Aïcha Kouyaté"/>
    <x v="6"/>
    <s v="Afrique de l'Ouest"/>
    <s v="Moussa Sawadogo"/>
    <x v="287"/>
    <x v="0"/>
    <n v="3"/>
    <n v="18500"/>
    <n v="58685"/>
    <n v="7042"/>
  </r>
  <r>
    <s v="Kofi Mensah"/>
    <x v="12"/>
    <s v="Afrique de l'Est"/>
    <s v="Aminata Keïta"/>
    <x v="288"/>
    <x v="0"/>
    <n v="6"/>
    <n v="18500"/>
    <n v="113986"/>
    <n v="13678"/>
  </r>
  <r>
    <s v="Kofi Mensah"/>
    <x v="1"/>
    <s v="Afrique de l'Ouest"/>
    <s v="Kadiatou Coulibaly"/>
    <x v="18"/>
    <x v="4"/>
    <n v="4"/>
    <n v="15000"/>
    <n v="65323"/>
    <n v="6532"/>
  </r>
  <r>
    <s v="Kofi Mensah"/>
    <x v="14"/>
    <s v="Afrique de l'Ouest"/>
    <s v="Moussa Bah"/>
    <x v="211"/>
    <x v="4"/>
    <n v="7"/>
    <n v="15000"/>
    <n v="111386"/>
    <n v="11139"/>
  </r>
  <r>
    <s v="Ibrahim Traoré"/>
    <x v="1"/>
    <s v="Afrique de l'Ouest"/>
    <s v="Emeka Mensah"/>
    <x v="310"/>
    <x v="3"/>
    <n v="2"/>
    <n v="55000"/>
    <n v="109207"/>
    <n v="24026"/>
  </r>
  <r>
    <s v="Aïcha Kouyaté"/>
    <x v="7"/>
    <s v="Afrique Centrale"/>
    <s v="Chioma Bah"/>
    <x v="330"/>
    <x v="3"/>
    <n v="2"/>
    <n v="55000"/>
    <n v="103838"/>
    <n v="22844"/>
  </r>
  <r>
    <s v="Aïcha Kouyaté"/>
    <x v="9"/>
    <s v="Afrique de l'Ouest"/>
    <s v="Zainab Dembélé"/>
    <x v="310"/>
    <x v="1"/>
    <n v="1"/>
    <n v="12500"/>
    <n v="13210"/>
    <n v="1057"/>
  </r>
  <r>
    <s v="Fatima Ndiaye"/>
    <x v="9"/>
    <s v="Afrique de l'Ouest"/>
    <s v="Adama Nwosu"/>
    <x v="277"/>
    <x v="0"/>
    <n v="7"/>
    <n v="18500"/>
    <n v="129366"/>
    <n v="15524"/>
  </r>
  <r>
    <s v="Aïcha Kouyaté"/>
    <x v="2"/>
    <s v="Afrique de l'Ouest"/>
    <s v="Zainab Nwosu"/>
    <x v="10"/>
    <x v="0"/>
    <n v="10"/>
    <n v="18500"/>
    <n v="190344"/>
    <n v="22841"/>
  </r>
  <r>
    <s v="Ibrahim Traoré"/>
    <x v="10"/>
    <s v="Afrique Centrale"/>
    <s v="Seydou Touré"/>
    <x v="19"/>
    <x v="3"/>
    <n v="2"/>
    <n v="55000"/>
    <n v="110613"/>
    <n v="24335"/>
  </r>
  <r>
    <s v="Aïcha Kouyaté"/>
    <x v="4"/>
    <s v="Afrique de l'Est"/>
    <s v="Mariama Asante"/>
    <x v="30"/>
    <x v="3"/>
    <n v="4"/>
    <n v="55000"/>
    <n v="239742"/>
    <n v="52743"/>
  </r>
  <r>
    <s v="Fatima Ndiaye"/>
    <x v="10"/>
    <s v="Afrique Centrale"/>
    <s v="Chioma Cissé"/>
    <x v="42"/>
    <x v="0"/>
    <n v="10"/>
    <n v="18500"/>
    <n v="192727"/>
    <n v="23127"/>
  </r>
  <r>
    <s v="Amara Diallo"/>
    <x v="14"/>
    <s v="Afrique de l'Ouest"/>
    <s v="Emeka Asante"/>
    <x v="276"/>
    <x v="3"/>
    <n v="4"/>
    <n v="55000"/>
    <n v="230310"/>
    <n v="50668"/>
  </r>
  <r>
    <s v="Fatima Ndiaye"/>
    <x v="9"/>
    <s v="Afrique de l'Ouest"/>
    <s v="Mariama Diop"/>
    <x v="288"/>
    <x v="4"/>
    <n v="4"/>
    <n v="15000"/>
    <n v="65345"/>
    <n v="6534"/>
  </r>
  <r>
    <s v="Fatima Ndiaye"/>
    <x v="11"/>
    <s v="Afrique de l'Ouest"/>
    <s v="Yaw Nwosu"/>
    <x v="4"/>
    <x v="2"/>
    <n v="4"/>
    <n v="45000"/>
    <n v="170089"/>
    <n v="30616"/>
  </r>
  <r>
    <s v="Amara Diallo"/>
    <x v="10"/>
    <s v="Afrique Centrale"/>
    <s v="Seydou Asante"/>
    <x v="83"/>
    <x v="1"/>
    <n v="10"/>
    <n v="12500"/>
    <n v="124800"/>
    <n v="9984"/>
  </r>
  <r>
    <s v="Fatima Ndiaye"/>
    <x v="10"/>
    <s v="Afrique Centrale"/>
    <s v="Awa Bah"/>
    <x v="332"/>
    <x v="2"/>
    <n v="2"/>
    <n v="45000"/>
    <n v="88251"/>
    <n v="15885"/>
  </r>
  <r>
    <s v="Fatima Ndiaye"/>
    <x v="11"/>
    <s v="Afrique de l'Ouest"/>
    <s v="Emeka Dembélé"/>
    <x v="193"/>
    <x v="2"/>
    <n v="6"/>
    <n v="45000"/>
    <n v="291183"/>
    <n v="52413"/>
  </r>
  <r>
    <s v="Ibrahim Traoré"/>
    <x v="2"/>
    <s v="Afrique de l'Ouest"/>
    <s v="Chidi Kamara"/>
    <x v="89"/>
    <x v="2"/>
    <n v="6"/>
    <n v="45000"/>
    <n v="266215"/>
    <n v="47919"/>
  </r>
  <r>
    <s v="Aïcha Kouyaté"/>
    <x v="7"/>
    <s v="Afrique Centrale"/>
    <s v="Moussa Ekwueme"/>
    <x v="53"/>
    <x v="3"/>
    <n v="9"/>
    <n v="55000"/>
    <n v="515568"/>
    <n v="113425"/>
  </r>
  <r>
    <s v="Ibrahim Traoré"/>
    <x v="11"/>
    <s v="Afrique de l'Ouest"/>
    <s v="Adama Nwosu"/>
    <x v="151"/>
    <x v="3"/>
    <n v="2"/>
    <n v="55000"/>
    <n v="99578"/>
    <n v="21907"/>
  </r>
  <r>
    <s v="Aïcha Kouyaté"/>
    <x v="7"/>
    <s v="Afrique Centrale"/>
    <s v="Yaw Dembélé"/>
    <x v="98"/>
    <x v="1"/>
    <n v="9"/>
    <n v="12500"/>
    <n v="120616"/>
    <n v="9649"/>
  </r>
  <r>
    <s v="Amara Diallo"/>
    <x v="11"/>
    <s v="Afrique de l'Ouest"/>
    <s v="Awa Keïta"/>
    <x v="206"/>
    <x v="4"/>
    <n v="10"/>
    <n v="15000"/>
    <n v="163058"/>
    <n v="16306"/>
  </r>
  <r>
    <s v="Kofi Mensah"/>
    <x v="14"/>
    <s v="Afrique de l'Ouest"/>
    <s v="Seydou Ekwueme"/>
    <x v="57"/>
    <x v="0"/>
    <n v="7"/>
    <n v="18500"/>
    <n v="118925"/>
    <n v="14271"/>
  </r>
  <r>
    <s v="Ibrahim Traoré"/>
    <x v="10"/>
    <s v="Afrique Centrale"/>
    <s v="Emeka Diop"/>
    <x v="100"/>
    <x v="3"/>
    <n v="4"/>
    <n v="55000"/>
    <n v="219580"/>
    <n v="48308"/>
  </r>
  <r>
    <s v="Fatima Ndiaye"/>
    <x v="9"/>
    <s v="Afrique de l'Ouest"/>
    <s v="Seydou Asante"/>
    <x v="212"/>
    <x v="3"/>
    <n v="9"/>
    <n v="55000"/>
    <n v="473807"/>
    <n v="104238"/>
  </r>
  <r>
    <s v="Aïcha Kouyaté"/>
    <x v="14"/>
    <s v="Afrique de l'Ouest"/>
    <s v="Emeka Kamara"/>
    <x v="355"/>
    <x v="3"/>
    <n v="10"/>
    <n v="55000"/>
    <n v="565289"/>
    <n v="124364"/>
  </r>
  <r>
    <s v="Amara Diallo"/>
    <x v="1"/>
    <s v="Afrique de l'Ouest"/>
    <s v="Zainab Mensah"/>
    <x v="120"/>
    <x v="3"/>
    <n v="8"/>
    <n v="55000"/>
    <n v="441839"/>
    <n v="97205"/>
  </r>
  <r>
    <s v="Kofi Mensah"/>
    <x v="11"/>
    <s v="Afrique de l'Ouest"/>
    <s v="Awa Cissé"/>
    <x v="306"/>
    <x v="0"/>
    <n v="9"/>
    <n v="18500"/>
    <n v="170363"/>
    <n v="20444"/>
  </r>
  <r>
    <s v="Fatima Ndiaye"/>
    <x v="14"/>
    <s v="Afrique de l'Ouest"/>
    <s v="Emeka Coulibaly"/>
    <x v="248"/>
    <x v="2"/>
    <n v="8"/>
    <n v="45000"/>
    <n v="395801"/>
    <n v="71244"/>
  </r>
  <r>
    <s v="Kofi Mensah"/>
    <x v="5"/>
    <s v="Afrique de l'Est"/>
    <s v="Adama Ekwueme"/>
    <x v="127"/>
    <x v="4"/>
    <n v="1"/>
    <n v="15000"/>
    <n v="13884"/>
    <n v="1388"/>
  </r>
  <r>
    <s v="Fatima Ndiaye"/>
    <x v="0"/>
    <s v="Afrique de l'Ouest"/>
    <s v="Chioma Keïta"/>
    <x v="242"/>
    <x v="4"/>
    <n v="1"/>
    <n v="15000"/>
    <n v="16429"/>
    <n v="1643"/>
  </r>
  <r>
    <s v="Amara Diallo"/>
    <x v="4"/>
    <s v="Afrique de l'Est"/>
    <s v="Kadiatou Touré"/>
    <x v="114"/>
    <x v="2"/>
    <n v="3"/>
    <n v="45000"/>
    <n v="128556"/>
    <n v="23140"/>
  </r>
  <r>
    <s v="Ibrahim Traoré"/>
    <x v="8"/>
    <s v="Afrique de l'Est"/>
    <s v="Yaw Nwosu"/>
    <x v="283"/>
    <x v="0"/>
    <n v="5"/>
    <n v="18500"/>
    <n v="90631"/>
    <n v="10876"/>
  </r>
  <r>
    <s v="Kofi Mensah"/>
    <x v="3"/>
    <s v="Afrique Centrale"/>
    <s v="Zainab Mensah"/>
    <x v="210"/>
    <x v="2"/>
    <n v="8"/>
    <n v="45000"/>
    <n v="333295"/>
    <n v="59993"/>
  </r>
  <r>
    <s v="Aïcha Kouyaté"/>
    <x v="1"/>
    <s v="Afrique de l'Ouest"/>
    <s v="Chioma Cissé"/>
    <x v="344"/>
    <x v="3"/>
    <n v="5"/>
    <n v="55000"/>
    <n v="252320"/>
    <n v="55510"/>
  </r>
  <r>
    <s v="Ibrahim Traoré"/>
    <x v="14"/>
    <s v="Afrique de l'Ouest"/>
    <s v="Kadiatou Bah"/>
    <x v="25"/>
    <x v="3"/>
    <n v="7"/>
    <n v="55000"/>
    <n v="396461"/>
    <n v="87221"/>
  </r>
  <r>
    <s v="Ibrahim Traoré"/>
    <x v="9"/>
    <s v="Afrique de l'Ouest"/>
    <s v="Oumar Kamara"/>
    <x v="346"/>
    <x v="3"/>
    <n v="8"/>
    <n v="55000"/>
    <n v="435439"/>
    <n v="95797"/>
  </r>
  <r>
    <s v="Ibrahim Traoré"/>
    <x v="10"/>
    <s v="Afrique Centrale"/>
    <s v="Oumar Bah"/>
    <x v="352"/>
    <x v="4"/>
    <n v="5"/>
    <n v="15000"/>
    <n v="72391"/>
    <n v="7239"/>
  </r>
  <r>
    <s v="Amara Diallo"/>
    <x v="5"/>
    <s v="Afrique de l'Est"/>
    <s v="Awa Coulibaly"/>
    <x v="356"/>
    <x v="0"/>
    <n v="2"/>
    <n v="18500"/>
    <n v="34280"/>
    <n v="4114"/>
  </r>
  <r>
    <s v="Aïcha Kouyaté"/>
    <x v="7"/>
    <s v="Afrique Centrale"/>
    <s v="Mariama Mensah"/>
    <x v="87"/>
    <x v="2"/>
    <n v="5"/>
    <n v="45000"/>
    <n v="211745"/>
    <n v="38114"/>
  </r>
  <r>
    <s v="Kofi Mensah"/>
    <x v="6"/>
    <s v="Afrique de l'Ouest"/>
    <s v="Emeka Kamara"/>
    <x v="4"/>
    <x v="1"/>
    <n v="5"/>
    <n v="12500"/>
    <n v="66127"/>
    <n v="5290"/>
  </r>
  <r>
    <s v="Ibrahim Traoré"/>
    <x v="7"/>
    <s v="Afrique Centrale"/>
    <s v="Yaw Okonkwo"/>
    <x v="185"/>
    <x v="0"/>
    <n v="6"/>
    <n v="18500"/>
    <n v="113151"/>
    <n v="13578"/>
  </r>
  <r>
    <s v="Amara Diallo"/>
    <x v="14"/>
    <s v="Afrique de l'Ouest"/>
    <s v="Oumar Bah"/>
    <x v="250"/>
    <x v="1"/>
    <n v="7"/>
    <n v="12500"/>
    <n v="91291"/>
    <n v="7303"/>
  </r>
  <r>
    <s v="Fatima Ndiaye"/>
    <x v="10"/>
    <s v="Afrique Centrale"/>
    <s v="Oumar Sawadogo"/>
    <x v="33"/>
    <x v="4"/>
    <n v="7"/>
    <n v="15000"/>
    <n v="108109"/>
    <n v="10811"/>
  </r>
  <r>
    <s v="Aïcha Kouyaté"/>
    <x v="8"/>
    <s v="Afrique de l'Est"/>
    <s v="Mariama Asante"/>
    <x v="119"/>
    <x v="4"/>
    <n v="2"/>
    <n v="15000"/>
    <n v="29515"/>
    <n v="2952"/>
  </r>
  <r>
    <s v="Fatima Ndiaye"/>
    <x v="14"/>
    <s v="Afrique de l'Ouest"/>
    <s v="Seydou Kamara"/>
    <x v="205"/>
    <x v="1"/>
    <n v="10"/>
    <n v="12500"/>
    <n v="124285"/>
    <n v="9943"/>
  </r>
  <r>
    <s v="Kofi Mensah"/>
    <x v="0"/>
    <s v="Afrique de l'Ouest"/>
    <s v="Mariama Keïta"/>
    <x v="174"/>
    <x v="3"/>
    <n v="8"/>
    <n v="55000"/>
    <n v="422721"/>
    <n v="92999"/>
  </r>
  <r>
    <s v="Ibrahim Traoré"/>
    <x v="10"/>
    <s v="Afrique Centrale"/>
    <s v="Kadiatou Dembélé"/>
    <x v="97"/>
    <x v="3"/>
    <n v="5"/>
    <n v="55000"/>
    <n v="280895"/>
    <n v="61797"/>
  </r>
  <r>
    <s v="Aïcha Kouyaté"/>
    <x v="10"/>
    <s v="Afrique Centrale"/>
    <s v="Zainab Abubakar"/>
    <x v="293"/>
    <x v="1"/>
    <n v="4"/>
    <n v="12500"/>
    <n v="50553"/>
    <n v="4044"/>
  </r>
  <r>
    <s v="Amara Diallo"/>
    <x v="4"/>
    <s v="Afrique de l'Est"/>
    <s v="Aminata Asante"/>
    <x v="344"/>
    <x v="1"/>
    <n v="9"/>
    <n v="12500"/>
    <n v="121053"/>
    <n v="9684"/>
  </r>
  <r>
    <s v="Fatima Ndiaye"/>
    <x v="7"/>
    <s v="Afrique Centrale"/>
    <s v="Awa Ekwueme"/>
    <x v="245"/>
    <x v="0"/>
    <n v="5"/>
    <n v="18500"/>
    <n v="92617"/>
    <n v="11114"/>
  </r>
  <r>
    <s v="Kofi Mensah"/>
    <x v="13"/>
    <s v="Afrique de l'Ouest"/>
    <s v="Chidi Abubakar"/>
    <x v="104"/>
    <x v="4"/>
    <n v="9"/>
    <n v="15000"/>
    <n v="144048"/>
    <n v="14405"/>
  </r>
  <r>
    <s v="Ibrahim Traoré"/>
    <x v="1"/>
    <s v="Afrique de l'Ouest"/>
    <s v="Adama Bah"/>
    <x v="237"/>
    <x v="3"/>
    <n v="10"/>
    <n v="55000"/>
    <n v="566607"/>
    <n v="124654"/>
  </r>
  <r>
    <s v="Amara Diallo"/>
    <x v="12"/>
    <s v="Afrique de l'Est"/>
    <s v="Emeka Dembélé"/>
    <x v="47"/>
    <x v="3"/>
    <n v="3"/>
    <n v="55000"/>
    <n v="171402"/>
    <n v="37708"/>
  </r>
  <r>
    <s v="Aïcha Kouyaté"/>
    <x v="3"/>
    <s v="Afrique Centrale"/>
    <s v="Chioma Bah"/>
    <x v="345"/>
    <x v="3"/>
    <n v="1"/>
    <n v="55000"/>
    <n v="57881"/>
    <n v="12734"/>
  </r>
  <r>
    <s v="Kofi Mensah"/>
    <x v="11"/>
    <s v="Afrique de l'Ouest"/>
    <s v="Yaw Touré"/>
    <x v="132"/>
    <x v="2"/>
    <n v="9"/>
    <n v="45000"/>
    <n v="443524"/>
    <n v="79834"/>
  </r>
  <r>
    <s v="Fatima Ndiaye"/>
    <x v="2"/>
    <s v="Afrique de l'Ouest"/>
    <s v="Ngozi Diop"/>
    <x v="65"/>
    <x v="3"/>
    <n v="10"/>
    <n v="55000"/>
    <n v="522900"/>
    <n v="115038"/>
  </r>
  <r>
    <s v="Kofi Mensah"/>
    <x v="8"/>
    <s v="Afrique de l'Est"/>
    <s v="Emeka Touré"/>
    <x v="46"/>
    <x v="2"/>
    <n v="2"/>
    <n v="45000"/>
    <n v="94312"/>
    <n v="16976"/>
  </r>
  <r>
    <s v="Aïcha Kouyaté"/>
    <x v="10"/>
    <s v="Afrique Centrale"/>
    <s v="Chioma Keïta"/>
    <x v="21"/>
    <x v="0"/>
    <n v="5"/>
    <n v="18500"/>
    <n v="87277"/>
    <n v="10473"/>
  </r>
  <r>
    <s v="Amara Diallo"/>
    <x v="12"/>
    <s v="Afrique de l'Est"/>
    <s v="Moussa Okonkwo"/>
    <x v="212"/>
    <x v="1"/>
    <n v="9"/>
    <n v="12500"/>
    <n v="101557"/>
    <n v="8125"/>
  </r>
  <r>
    <s v="Kofi Mensah"/>
    <x v="5"/>
    <s v="Afrique de l'Est"/>
    <s v="Mariama Touré"/>
    <x v="52"/>
    <x v="2"/>
    <n v="2"/>
    <n v="45000"/>
    <n v="97563"/>
    <n v="17561"/>
  </r>
  <r>
    <s v="Ibrahim Traoré"/>
    <x v="5"/>
    <s v="Afrique de l'Est"/>
    <s v="Adama Diop"/>
    <x v="348"/>
    <x v="3"/>
    <n v="7"/>
    <n v="55000"/>
    <n v="408384"/>
    <n v="89844"/>
  </r>
  <r>
    <s v="Ibrahim Traoré"/>
    <x v="9"/>
    <s v="Afrique de l'Ouest"/>
    <s v="Seydou Kamara"/>
    <x v="227"/>
    <x v="4"/>
    <n v="6"/>
    <n v="15000"/>
    <n v="81876"/>
    <n v="8188"/>
  </r>
  <r>
    <s v="Kofi Mensah"/>
    <x v="11"/>
    <s v="Afrique de l'Ouest"/>
    <s v="Ngozi Okonkwo"/>
    <x v="16"/>
    <x v="2"/>
    <n v="9"/>
    <n v="45000"/>
    <n v="382009"/>
    <n v="68762"/>
  </r>
  <r>
    <s v="Amara Diallo"/>
    <x v="14"/>
    <s v="Afrique de l'Ouest"/>
    <s v="Chidi Nwosu"/>
    <x v="333"/>
    <x v="3"/>
    <n v="1"/>
    <n v="55000"/>
    <n v="55685"/>
    <n v="12251"/>
  </r>
  <r>
    <s v="Amara Diallo"/>
    <x v="4"/>
    <s v="Afrique de l'Est"/>
    <s v="Awa Okonkwo"/>
    <x v="172"/>
    <x v="4"/>
    <n v="8"/>
    <n v="15000"/>
    <n v="112273"/>
    <n v="11227"/>
  </r>
  <r>
    <s v="Amara Diallo"/>
    <x v="1"/>
    <s v="Afrique de l'Ouest"/>
    <s v="Mariama Keïta"/>
    <x v="172"/>
    <x v="3"/>
    <n v="5"/>
    <n v="55000"/>
    <n v="288578"/>
    <n v="63487"/>
  </r>
  <r>
    <s v="Kofi Mensah"/>
    <x v="0"/>
    <s v="Afrique de l'Ouest"/>
    <s v="Mariama Nwosu"/>
    <x v="278"/>
    <x v="4"/>
    <n v="6"/>
    <n v="15000"/>
    <n v="85993"/>
    <n v="8599"/>
  </r>
  <r>
    <s v="Aïcha Kouyaté"/>
    <x v="4"/>
    <s v="Afrique de l'Est"/>
    <s v="Yaw Sawadogo"/>
    <x v="16"/>
    <x v="1"/>
    <n v="2"/>
    <n v="12500"/>
    <n v="25367"/>
    <n v="2029"/>
  </r>
  <r>
    <s v="Kofi Mensah"/>
    <x v="10"/>
    <s v="Afrique Centrale"/>
    <s v="Seydou Bah"/>
    <x v="166"/>
    <x v="1"/>
    <n v="8"/>
    <n v="12500"/>
    <n v="103780"/>
    <n v="8302"/>
  </r>
  <r>
    <s v="Fatima Ndiaye"/>
    <x v="0"/>
    <s v="Afrique de l'Ouest"/>
    <s v="Kadiatou Ekwueme"/>
    <x v="237"/>
    <x v="2"/>
    <n v="6"/>
    <n v="45000"/>
    <n v="256521"/>
    <n v="46174"/>
  </r>
  <r>
    <s v="Fatima Ndiaye"/>
    <x v="0"/>
    <s v="Afrique de l'Ouest"/>
    <s v="Aminata Mensah"/>
    <x v="302"/>
    <x v="3"/>
    <n v="8"/>
    <n v="55000"/>
    <n v="415680"/>
    <n v="91450"/>
  </r>
  <r>
    <s v="Fatima Ndiaye"/>
    <x v="7"/>
    <s v="Afrique Centrale"/>
    <s v="Chioma Cissé"/>
    <x v="65"/>
    <x v="3"/>
    <n v="7"/>
    <n v="55000"/>
    <n v="412072"/>
    <n v="90656"/>
  </r>
  <r>
    <s v="Fatima Ndiaye"/>
    <x v="1"/>
    <s v="Afrique de l'Ouest"/>
    <s v="Chioma Keïta"/>
    <x v="8"/>
    <x v="4"/>
    <n v="9"/>
    <n v="15000"/>
    <n v="125829"/>
    <n v="12583"/>
  </r>
  <r>
    <s v="Ibrahim Traoré"/>
    <x v="10"/>
    <s v="Afrique Centrale"/>
    <s v="Chidi Sawadogo"/>
    <x v="234"/>
    <x v="4"/>
    <n v="1"/>
    <n v="15000"/>
    <n v="14556"/>
    <n v="1456"/>
  </r>
  <r>
    <s v="Kofi Mensah"/>
    <x v="5"/>
    <s v="Afrique de l'Est"/>
    <s v="Oumar Kamara"/>
    <x v="282"/>
    <x v="2"/>
    <n v="2"/>
    <n v="45000"/>
    <n v="87789"/>
    <n v="15802"/>
  </r>
  <r>
    <s v="Amara Diallo"/>
    <x v="0"/>
    <s v="Afrique de l'Ouest"/>
    <s v="Awa Keïta"/>
    <x v="139"/>
    <x v="1"/>
    <n v="2"/>
    <n v="12500"/>
    <n v="23436"/>
    <n v="1875"/>
  </r>
  <r>
    <s v="Ibrahim Traoré"/>
    <x v="4"/>
    <s v="Afrique de l'Est"/>
    <s v="Kadiatou Nwosu"/>
    <x v="226"/>
    <x v="3"/>
    <n v="7"/>
    <n v="55000"/>
    <n v="417940"/>
    <n v="91947"/>
  </r>
  <r>
    <s v="Ibrahim Traoré"/>
    <x v="6"/>
    <s v="Afrique de l'Ouest"/>
    <s v="Oumar Okonkwo"/>
    <x v="58"/>
    <x v="4"/>
    <n v="3"/>
    <n v="15000"/>
    <n v="41959"/>
    <n v="4196"/>
  </r>
  <r>
    <s v="Fatima Ndiaye"/>
    <x v="6"/>
    <s v="Afrique de l'Ouest"/>
    <s v="Awa Kamara"/>
    <x v="183"/>
    <x v="2"/>
    <n v="10"/>
    <n v="45000"/>
    <n v="477691"/>
    <n v="85984"/>
  </r>
  <r>
    <s v="Aïcha Kouyaté"/>
    <x v="12"/>
    <s v="Afrique de l'Est"/>
    <s v="Emeka Ekwueme"/>
    <x v="200"/>
    <x v="1"/>
    <n v="4"/>
    <n v="12500"/>
    <n v="46078"/>
    <n v="3686"/>
  </r>
  <r>
    <s v="Amara Diallo"/>
    <x v="5"/>
    <s v="Afrique de l'Est"/>
    <s v="Chioma Cissé"/>
    <x v="190"/>
    <x v="0"/>
    <n v="3"/>
    <n v="18500"/>
    <n v="50375"/>
    <n v="6045"/>
  </r>
  <r>
    <s v="Kofi Mensah"/>
    <x v="5"/>
    <s v="Afrique de l'Est"/>
    <s v="Adama Cissé"/>
    <x v="38"/>
    <x v="3"/>
    <n v="10"/>
    <n v="55000"/>
    <n v="532707"/>
    <n v="117196"/>
  </r>
  <r>
    <s v="Fatima Ndiaye"/>
    <x v="11"/>
    <s v="Afrique de l'Ouest"/>
    <s v="Mariama Coulibaly"/>
    <x v="45"/>
    <x v="1"/>
    <n v="8"/>
    <n v="12500"/>
    <n v="99867"/>
    <n v="7989"/>
  </r>
  <r>
    <s v="Kofi Mensah"/>
    <x v="2"/>
    <s v="Afrique de l'Ouest"/>
    <s v="Chioma Asante"/>
    <x v="155"/>
    <x v="1"/>
    <n v="7"/>
    <n v="12500"/>
    <n v="85856"/>
    <n v="6868"/>
  </r>
  <r>
    <s v="Aïcha Kouyaté"/>
    <x v="8"/>
    <s v="Afrique de l'Est"/>
    <s v="Zainab Diop"/>
    <x v="5"/>
    <x v="0"/>
    <n v="8"/>
    <n v="18500"/>
    <n v="157607"/>
    <n v="18913"/>
  </r>
  <r>
    <s v="Ibrahim Traoré"/>
    <x v="2"/>
    <s v="Afrique de l'Ouest"/>
    <s v="Moussa Ekwueme"/>
    <x v="336"/>
    <x v="1"/>
    <n v="5"/>
    <n v="12500"/>
    <n v="57378"/>
    <n v="4590"/>
  </r>
  <r>
    <s v="Kofi Mensah"/>
    <x v="3"/>
    <s v="Afrique Centrale"/>
    <s v="Adama Coulibaly"/>
    <x v="73"/>
    <x v="4"/>
    <n v="10"/>
    <n v="15000"/>
    <n v="154890"/>
    <n v="15489"/>
  </r>
  <r>
    <s v="Amara Diallo"/>
    <x v="5"/>
    <s v="Afrique de l'Est"/>
    <s v="Zainab Abubakar"/>
    <x v="97"/>
    <x v="1"/>
    <n v="9"/>
    <n v="12500"/>
    <n v="118517"/>
    <n v="9481"/>
  </r>
  <r>
    <s v="Aïcha Kouyaté"/>
    <x v="12"/>
    <s v="Afrique de l'Est"/>
    <s v="Yaw Sawadogo"/>
    <x v="155"/>
    <x v="2"/>
    <n v="2"/>
    <n v="45000"/>
    <n v="94328"/>
    <n v="16979"/>
  </r>
  <r>
    <s v="Aïcha Kouyaté"/>
    <x v="13"/>
    <s v="Afrique de l'Ouest"/>
    <s v="Awa Sawadogo"/>
    <x v="356"/>
    <x v="4"/>
    <n v="6"/>
    <n v="15000"/>
    <n v="86191"/>
    <n v="8619"/>
  </r>
  <r>
    <s v="Ibrahim Traoré"/>
    <x v="1"/>
    <s v="Afrique de l'Ouest"/>
    <s v="Kwame Diop"/>
    <x v="287"/>
    <x v="2"/>
    <n v="8"/>
    <n v="45000"/>
    <n v="339797"/>
    <n v="61163"/>
  </r>
  <r>
    <s v="Amara Diallo"/>
    <x v="7"/>
    <s v="Afrique Centrale"/>
    <s v="Chioma Okonkwo"/>
    <x v="153"/>
    <x v="1"/>
    <n v="3"/>
    <n v="12500"/>
    <n v="35548"/>
    <n v="2844"/>
  </r>
  <r>
    <s v="Fatima Ndiaye"/>
    <x v="12"/>
    <s v="Afrique de l'Est"/>
    <s v="Chidi Dembélé"/>
    <x v="309"/>
    <x v="0"/>
    <n v="9"/>
    <n v="18500"/>
    <n v="153368"/>
    <n v="18404"/>
  </r>
  <r>
    <s v="Kofi Mensah"/>
    <x v="2"/>
    <s v="Afrique de l'Ouest"/>
    <s v="Ngozi Abubakar"/>
    <x v="299"/>
    <x v="3"/>
    <n v="7"/>
    <n v="55000"/>
    <n v="402680"/>
    <n v="88590"/>
  </r>
  <r>
    <s v="Kofi Mensah"/>
    <x v="13"/>
    <s v="Afrique de l'Ouest"/>
    <s v="Kadiatou Abubakar"/>
    <x v="254"/>
    <x v="2"/>
    <n v="4"/>
    <n v="45000"/>
    <n v="185101"/>
    <n v="33318"/>
  </r>
  <r>
    <s v="Fatima Ndiaye"/>
    <x v="7"/>
    <s v="Afrique Centrale"/>
    <s v="Chidi Dembélé"/>
    <x v="128"/>
    <x v="2"/>
    <n v="4"/>
    <n v="45000"/>
    <n v="195261"/>
    <n v="35147"/>
  </r>
  <r>
    <s v="Fatima Ndiaye"/>
    <x v="8"/>
    <s v="Afrique de l'Est"/>
    <s v="Mariama Kamara"/>
    <x v="196"/>
    <x v="3"/>
    <n v="10"/>
    <n v="55000"/>
    <n v="495512"/>
    <n v="109013"/>
  </r>
  <r>
    <s v="Amara Diallo"/>
    <x v="0"/>
    <s v="Afrique de l'Ouest"/>
    <s v="Kwame Dembélé"/>
    <x v="196"/>
    <x v="2"/>
    <n v="7"/>
    <n v="45000"/>
    <n v="286060"/>
    <n v="51491"/>
  </r>
  <r>
    <s v="Aïcha Kouyaté"/>
    <x v="14"/>
    <s v="Afrique de l'Ouest"/>
    <s v="Chidi Asante"/>
    <x v="1"/>
    <x v="4"/>
    <n v="4"/>
    <n v="15000"/>
    <n v="62331"/>
    <n v="6233"/>
  </r>
  <r>
    <s v="Aïcha Kouyaté"/>
    <x v="10"/>
    <s v="Afrique Centrale"/>
    <s v="Kwame Sawadogo"/>
    <x v="235"/>
    <x v="0"/>
    <n v="8"/>
    <n v="18500"/>
    <n v="137913"/>
    <n v="16550"/>
  </r>
  <r>
    <s v="Kofi Mensah"/>
    <x v="10"/>
    <s v="Afrique Centrale"/>
    <s v="Aminata Mensah"/>
    <x v="311"/>
    <x v="4"/>
    <n v="6"/>
    <n v="15000"/>
    <n v="82681"/>
    <n v="8268"/>
  </r>
  <r>
    <s v="Ibrahim Traoré"/>
    <x v="0"/>
    <s v="Afrique de l'Ouest"/>
    <s v="Moussa Diop"/>
    <x v="73"/>
    <x v="1"/>
    <n v="10"/>
    <n v="12500"/>
    <n v="123346"/>
    <n v="9868"/>
  </r>
  <r>
    <s v="Fatima Ndiaye"/>
    <x v="4"/>
    <s v="Afrique de l'Est"/>
    <s v="Yaw Cissé"/>
    <x v="94"/>
    <x v="2"/>
    <n v="8"/>
    <n v="45000"/>
    <n v="388260"/>
    <n v="69887"/>
  </r>
  <r>
    <s v="Ibrahim Traoré"/>
    <x v="0"/>
    <s v="Afrique de l'Ouest"/>
    <s v="Zainab Diop"/>
    <x v="357"/>
    <x v="1"/>
    <n v="4"/>
    <n v="12500"/>
    <n v="46502"/>
    <n v="3720"/>
  </r>
  <r>
    <s v="Fatima Ndiaye"/>
    <x v="1"/>
    <s v="Afrique de l'Ouest"/>
    <s v="Chidi Asante"/>
    <x v="349"/>
    <x v="2"/>
    <n v="5"/>
    <n v="45000"/>
    <n v="231916"/>
    <n v="41745"/>
  </r>
  <r>
    <s v="Amara Diallo"/>
    <x v="7"/>
    <s v="Afrique Centrale"/>
    <s v="Yaw Dembélé"/>
    <x v="146"/>
    <x v="3"/>
    <n v="2"/>
    <n v="55000"/>
    <n v="112028"/>
    <n v="24646"/>
  </r>
  <r>
    <s v="Ibrahim Traoré"/>
    <x v="9"/>
    <s v="Afrique de l'Ouest"/>
    <s v="Adama Diop"/>
    <x v="288"/>
    <x v="2"/>
    <n v="5"/>
    <n v="45000"/>
    <n v="237380"/>
    <n v="42728"/>
  </r>
  <r>
    <s v="Amara Diallo"/>
    <x v="11"/>
    <s v="Afrique de l'Ouest"/>
    <s v="Seydou Sawadogo"/>
    <x v="203"/>
    <x v="3"/>
    <n v="2"/>
    <n v="55000"/>
    <n v="117845"/>
    <n v="25926"/>
  </r>
  <r>
    <s v="Fatima Ndiaye"/>
    <x v="10"/>
    <s v="Afrique Centrale"/>
    <s v="Seydou Dembélé"/>
    <x v="22"/>
    <x v="2"/>
    <n v="2"/>
    <n v="45000"/>
    <n v="87928"/>
    <n v="15827"/>
  </r>
  <r>
    <s v="Kofi Mensah"/>
    <x v="6"/>
    <s v="Afrique de l'Ouest"/>
    <s v="Ngozi Touré"/>
    <x v="256"/>
    <x v="1"/>
    <n v="9"/>
    <n v="12500"/>
    <n v="112995"/>
    <n v="9040"/>
  </r>
  <r>
    <s v="Amara Diallo"/>
    <x v="0"/>
    <s v="Afrique de l'Ouest"/>
    <s v="Mariama Bah"/>
    <x v="172"/>
    <x v="3"/>
    <n v="7"/>
    <n v="55000"/>
    <n v="379535"/>
    <n v="83498"/>
  </r>
  <r>
    <s v="Amara Diallo"/>
    <x v="10"/>
    <s v="Afrique Centrale"/>
    <s v="Chioma Mensah"/>
    <x v="260"/>
    <x v="0"/>
    <n v="6"/>
    <n v="18500"/>
    <n v="112413"/>
    <n v="13490"/>
  </r>
  <r>
    <s v="Ibrahim Traoré"/>
    <x v="13"/>
    <s v="Afrique de l'Ouest"/>
    <s v="Kwame Dembélé"/>
    <x v="103"/>
    <x v="2"/>
    <n v="2"/>
    <n v="45000"/>
    <n v="94430"/>
    <n v="16997"/>
  </r>
  <r>
    <s v="Ibrahim Traoré"/>
    <x v="12"/>
    <s v="Afrique de l'Est"/>
    <s v="Ngozi Coulibaly"/>
    <x v="309"/>
    <x v="1"/>
    <n v="8"/>
    <n v="12500"/>
    <n v="99812"/>
    <n v="7985"/>
  </r>
  <r>
    <s v="Kofi Mensah"/>
    <x v="7"/>
    <s v="Afrique Centrale"/>
    <s v="Awa Touré"/>
    <x v="311"/>
    <x v="4"/>
    <n v="7"/>
    <n v="15000"/>
    <n v="111783"/>
    <n v="11178"/>
  </r>
  <r>
    <s v="Amara Diallo"/>
    <x v="0"/>
    <s v="Afrique de l'Ouest"/>
    <s v="Ngozi Keïta"/>
    <x v="13"/>
    <x v="0"/>
    <n v="6"/>
    <n v="18500"/>
    <n v="103525"/>
    <n v="12423"/>
  </r>
  <r>
    <s v="Kofi Mensah"/>
    <x v="8"/>
    <s v="Afrique de l'Est"/>
    <s v="Aminata Dembélé"/>
    <x v="127"/>
    <x v="0"/>
    <n v="5"/>
    <n v="18500"/>
    <n v="88313"/>
    <n v="10598"/>
  </r>
  <r>
    <s v="Kofi Mensah"/>
    <x v="8"/>
    <s v="Afrique de l'Est"/>
    <s v="Yaw Abubakar"/>
    <x v="114"/>
    <x v="4"/>
    <n v="8"/>
    <n v="15000"/>
    <n v="114506"/>
    <n v="11451"/>
  </r>
  <r>
    <s v="Kofi Mensah"/>
    <x v="11"/>
    <s v="Afrique de l'Ouest"/>
    <s v="Oumar Mensah"/>
    <x v="336"/>
    <x v="2"/>
    <n v="7"/>
    <n v="45000"/>
    <n v="325898"/>
    <n v="58662"/>
  </r>
  <r>
    <s v="Aïcha Kouyaté"/>
    <x v="3"/>
    <s v="Afrique Centrale"/>
    <s v="Kadiatou Diop"/>
    <x v="115"/>
    <x v="3"/>
    <n v="8"/>
    <n v="55000"/>
    <n v="423561"/>
    <n v="93183"/>
  </r>
  <r>
    <s v="Ibrahim Traoré"/>
    <x v="6"/>
    <s v="Afrique de l'Ouest"/>
    <s v="Chidi Nwosu"/>
    <x v="97"/>
    <x v="1"/>
    <n v="9"/>
    <n v="12500"/>
    <n v="113961"/>
    <n v="9117"/>
  </r>
  <r>
    <s v="Amara Diallo"/>
    <x v="10"/>
    <s v="Afrique Centrale"/>
    <s v="Mariama Sawadogo"/>
    <x v="134"/>
    <x v="2"/>
    <n v="4"/>
    <n v="45000"/>
    <n v="180804"/>
    <n v="32545"/>
  </r>
  <r>
    <s v="Fatima Ndiaye"/>
    <x v="9"/>
    <s v="Afrique de l'Ouest"/>
    <s v="Kadiatou Sawadogo"/>
    <x v="19"/>
    <x v="3"/>
    <n v="9"/>
    <n v="55000"/>
    <n v="467136"/>
    <n v="102770"/>
  </r>
  <r>
    <s v="Ibrahim Traoré"/>
    <x v="3"/>
    <s v="Afrique Centrale"/>
    <s v="Adama Sawadogo"/>
    <x v="182"/>
    <x v="3"/>
    <n v="10"/>
    <n v="55000"/>
    <n v="566702"/>
    <n v="124674"/>
  </r>
  <r>
    <s v="Ibrahim Traoré"/>
    <x v="14"/>
    <s v="Afrique de l'Ouest"/>
    <s v="Chidi Kamara"/>
    <x v="250"/>
    <x v="4"/>
    <n v="9"/>
    <n v="15000"/>
    <n v="140450"/>
    <n v="14045"/>
  </r>
  <r>
    <s v="Ibrahim Traoré"/>
    <x v="14"/>
    <s v="Afrique de l'Ouest"/>
    <s v="Adama Keïta"/>
    <x v="170"/>
    <x v="1"/>
    <n v="10"/>
    <n v="12500"/>
    <n v="120098"/>
    <n v="9608"/>
  </r>
  <r>
    <s v="Amara Diallo"/>
    <x v="13"/>
    <s v="Afrique de l'Ouest"/>
    <s v="Adama Mensah"/>
    <x v="255"/>
    <x v="4"/>
    <n v="7"/>
    <n v="15000"/>
    <n v="97479"/>
    <n v="9748"/>
  </r>
  <r>
    <s v="Kofi Mensah"/>
    <x v="8"/>
    <s v="Afrique de l'Est"/>
    <s v="Oumar Touré"/>
    <x v="352"/>
    <x v="2"/>
    <n v="7"/>
    <n v="45000"/>
    <n v="289593"/>
    <n v="52127"/>
  </r>
  <r>
    <s v="Ibrahim Traoré"/>
    <x v="13"/>
    <s v="Afrique de l'Ouest"/>
    <s v="Chioma Sawadogo"/>
    <x v="288"/>
    <x v="2"/>
    <n v="6"/>
    <n v="45000"/>
    <n v="262848"/>
    <n v="47313"/>
  </r>
  <r>
    <s v="Aïcha Kouyaté"/>
    <x v="8"/>
    <s v="Afrique de l'Est"/>
    <s v="Aminata Keïta"/>
    <x v="150"/>
    <x v="0"/>
    <n v="2"/>
    <n v="18500"/>
    <n v="33388"/>
    <n v="4007"/>
  </r>
  <r>
    <s v="Amara Diallo"/>
    <x v="5"/>
    <s v="Afrique de l'Est"/>
    <s v="Ngozi Asante"/>
    <x v="175"/>
    <x v="2"/>
    <n v="4"/>
    <n v="45000"/>
    <n v="163722"/>
    <n v="29470"/>
  </r>
  <r>
    <s v="Ibrahim Traoré"/>
    <x v="5"/>
    <s v="Afrique de l'Est"/>
    <s v="Ngozi Nwosu"/>
    <x v="213"/>
    <x v="4"/>
    <n v="2"/>
    <n v="15000"/>
    <n v="28710"/>
    <n v="2871"/>
  </r>
  <r>
    <s v="Ibrahim Traoré"/>
    <x v="2"/>
    <s v="Afrique de l'Ouest"/>
    <s v="Chioma Asante"/>
    <x v="10"/>
    <x v="0"/>
    <n v="2"/>
    <n v="18500"/>
    <n v="35991"/>
    <n v="4319"/>
  </r>
  <r>
    <s v="Aïcha Kouyaté"/>
    <x v="11"/>
    <s v="Afrique de l'Ouest"/>
    <s v="Seydou Nwosu"/>
    <x v="172"/>
    <x v="4"/>
    <n v="1"/>
    <n v="15000"/>
    <n v="14674"/>
    <n v="1467"/>
  </r>
  <r>
    <s v="Fatima Ndiaye"/>
    <x v="13"/>
    <s v="Afrique de l'Ouest"/>
    <s v="Chidi Bah"/>
    <x v="162"/>
    <x v="3"/>
    <n v="1"/>
    <n v="55000"/>
    <n v="59992"/>
    <n v="13198"/>
  </r>
  <r>
    <s v="Amara Diallo"/>
    <x v="8"/>
    <s v="Afrique de l'Est"/>
    <s v="Yaw Abubakar"/>
    <x v="157"/>
    <x v="1"/>
    <n v="9"/>
    <n v="12500"/>
    <n v="107818"/>
    <n v="8625"/>
  </r>
  <r>
    <s v="Kofi Mensah"/>
    <x v="3"/>
    <s v="Afrique Centrale"/>
    <s v="Yaw Bah"/>
    <x v="106"/>
    <x v="2"/>
    <n v="2"/>
    <n v="45000"/>
    <n v="86960"/>
    <n v="15653"/>
  </r>
  <r>
    <s v="Kofi Mensah"/>
    <x v="11"/>
    <s v="Afrique de l'Ouest"/>
    <s v="Seydou Coulibaly"/>
    <x v="288"/>
    <x v="4"/>
    <n v="6"/>
    <n v="15000"/>
    <n v="97591"/>
    <n v="9759"/>
  </r>
  <r>
    <s v="Ibrahim Traoré"/>
    <x v="11"/>
    <s v="Afrique de l'Ouest"/>
    <s v="Zainab Nwosu"/>
    <x v="174"/>
    <x v="2"/>
    <n v="3"/>
    <n v="45000"/>
    <n v="135105"/>
    <n v="24319"/>
  </r>
  <r>
    <s v="Fatima Ndiaye"/>
    <x v="6"/>
    <s v="Afrique de l'Ouest"/>
    <s v="Seydou Coulibaly"/>
    <x v="144"/>
    <x v="1"/>
    <n v="10"/>
    <n v="12500"/>
    <n v="115586"/>
    <n v="9247"/>
  </r>
  <r>
    <s v="Aïcha Kouyaté"/>
    <x v="12"/>
    <s v="Afrique de l'Est"/>
    <s v="Moussa Nwosu"/>
    <x v="76"/>
    <x v="0"/>
    <n v="5"/>
    <n v="18500"/>
    <n v="86428"/>
    <n v="10371"/>
  </r>
  <r>
    <s v="Fatima Ndiaye"/>
    <x v="6"/>
    <s v="Afrique de l'Ouest"/>
    <s v="Chioma Touré"/>
    <x v="175"/>
    <x v="3"/>
    <n v="8"/>
    <n v="55000"/>
    <n v="479649"/>
    <n v="105523"/>
  </r>
  <r>
    <s v="Amara Diallo"/>
    <x v="7"/>
    <s v="Afrique Centrale"/>
    <s v="Chioma Dembélé"/>
    <x v="225"/>
    <x v="3"/>
    <n v="7"/>
    <n v="55000"/>
    <n v="422914"/>
    <n v="93041"/>
  </r>
  <r>
    <s v="Kofi Mensah"/>
    <x v="11"/>
    <s v="Afrique de l'Ouest"/>
    <s v="Ngozi Okonkwo"/>
    <x v="107"/>
    <x v="0"/>
    <n v="2"/>
    <n v="18500"/>
    <n v="33538"/>
    <n v="4025"/>
  </r>
  <r>
    <s v="Kofi Mensah"/>
    <x v="6"/>
    <s v="Afrique de l'Ouest"/>
    <s v="Aminata Sawadogo"/>
    <x v="66"/>
    <x v="3"/>
    <n v="2"/>
    <n v="55000"/>
    <n v="112176"/>
    <n v="24679"/>
  </r>
  <r>
    <s v="Ibrahim Traoré"/>
    <x v="0"/>
    <s v="Afrique de l'Ouest"/>
    <s v="Chidi Sawadogo"/>
    <x v="26"/>
    <x v="1"/>
    <n v="8"/>
    <n v="12500"/>
    <n v="92544"/>
    <n v="7404"/>
  </r>
  <r>
    <s v="Amara Diallo"/>
    <x v="13"/>
    <s v="Afrique de l'Ouest"/>
    <s v="Emeka Bah"/>
    <x v="115"/>
    <x v="2"/>
    <n v="1"/>
    <n v="45000"/>
    <n v="43502"/>
    <n v="7830"/>
  </r>
  <r>
    <s v="Amara Diallo"/>
    <x v="10"/>
    <s v="Afrique Centrale"/>
    <s v="Seydou Ekwueme"/>
    <x v="200"/>
    <x v="3"/>
    <n v="6"/>
    <n v="55000"/>
    <n v="313984"/>
    <n v="69076"/>
  </r>
  <r>
    <s v="Fatima Ndiaye"/>
    <x v="12"/>
    <s v="Afrique de l'Est"/>
    <s v="Kwame Kamara"/>
    <x v="293"/>
    <x v="2"/>
    <n v="4"/>
    <n v="45000"/>
    <n v="181922"/>
    <n v="32746"/>
  </r>
  <r>
    <s v="Aïcha Kouyaté"/>
    <x v="4"/>
    <s v="Afrique de l'Est"/>
    <s v="Adama Coulibaly"/>
    <x v="211"/>
    <x v="2"/>
    <n v="2"/>
    <n v="45000"/>
    <n v="89458"/>
    <n v="16102"/>
  </r>
  <r>
    <s v="Amara Diallo"/>
    <x v="5"/>
    <s v="Afrique de l'Est"/>
    <s v="Chidi Diop"/>
    <x v="334"/>
    <x v="0"/>
    <n v="1"/>
    <n v="18500"/>
    <n v="18642"/>
    <n v="2237"/>
  </r>
  <r>
    <s v="Amara Diallo"/>
    <x v="4"/>
    <s v="Afrique de l'Est"/>
    <s v="Mariama Sawadogo"/>
    <x v="194"/>
    <x v="1"/>
    <n v="10"/>
    <n v="12500"/>
    <n v="117914"/>
    <n v="9433"/>
  </r>
  <r>
    <s v="Kofi Mensah"/>
    <x v="9"/>
    <s v="Afrique de l'Ouest"/>
    <s v="Awa Nwosu"/>
    <x v="52"/>
    <x v="0"/>
    <n v="9"/>
    <n v="18500"/>
    <n v="183098"/>
    <n v="21972"/>
  </r>
  <r>
    <s v="Kofi Mensah"/>
    <x v="5"/>
    <s v="Afrique de l'Est"/>
    <s v="Kwame Cissé"/>
    <x v="130"/>
    <x v="3"/>
    <n v="10"/>
    <n v="55000"/>
    <n v="557880"/>
    <n v="122734"/>
  </r>
  <r>
    <s v="Aïcha Kouyaté"/>
    <x v="3"/>
    <s v="Afrique Centrale"/>
    <s v="Emeka Bah"/>
    <x v="190"/>
    <x v="2"/>
    <n v="8"/>
    <n v="45000"/>
    <n v="385269"/>
    <n v="69348"/>
  </r>
  <r>
    <s v="Aïcha Kouyaté"/>
    <x v="12"/>
    <s v="Afrique de l'Est"/>
    <s v="Zainab Nwosu"/>
    <x v="23"/>
    <x v="0"/>
    <n v="6"/>
    <n v="18500"/>
    <n v="112057"/>
    <n v="13447"/>
  </r>
  <r>
    <s v="Fatima Ndiaye"/>
    <x v="8"/>
    <s v="Afrique de l'Est"/>
    <s v="Seydou Touré"/>
    <x v="218"/>
    <x v="3"/>
    <n v="5"/>
    <n v="55000"/>
    <n v="288861"/>
    <n v="63549"/>
  </r>
  <r>
    <s v="Kofi Mensah"/>
    <x v="11"/>
    <s v="Afrique de l'Ouest"/>
    <s v="Kadiatou Kamara"/>
    <x v="302"/>
    <x v="0"/>
    <n v="5"/>
    <n v="18500"/>
    <n v="91113"/>
    <n v="10934"/>
  </r>
  <r>
    <s v="Aïcha Kouyaté"/>
    <x v="3"/>
    <s v="Afrique Centrale"/>
    <s v="Zainab Diop"/>
    <x v="163"/>
    <x v="2"/>
    <n v="9"/>
    <n v="45000"/>
    <n v="433541"/>
    <n v="78037"/>
  </r>
  <r>
    <s v="Aïcha Kouyaté"/>
    <x v="13"/>
    <s v="Afrique de l'Ouest"/>
    <s v="Chidi Diop"/>
    <x v="194"/>
    <x v="2"/>
    <n v="3"/>
    <n v="45000"/>
    <n v="141077"/>
    <n v="25394"/>
  </r>
  <r>
    <s v="Kofi Mensah"/>
    <x v="12"/>
    <s v="Afrique de l'Est"/>
    <s v="Ngozi Keïta"/>
    <x v="273"/>
    <x v="0"/>
    <n v="8"/>
    <n v="18500"/>
    <n v="133225"/>
    <n v="15987"/>
  </r>
  <r>
    <s v="Aïcha Kouyaté"/>
    <x v="3"/>
    <s v="Afrique Centrale"/>
    <s v="Awa Mensah"/>
    <x v="247"/>
    <x v="1"/>
    <n v="3"/>
    <n v="12500"/>
    <n v="41010"/>
    <n v="3281"/>
  </r>
  <r>
    <s v="Kofi Mensah"/>
    <x v="0"/>
    <s v="Afrique de l'Ouest"/>
    <s v="Ngozi Ekwueme"/>
    <x v="229"/>
    <x v="0"/>
    <n v="1"/>
    <n v="18500"/>
    <n v="19114"/>
    <n v="2294"/>
  </r>
  <r>
    <s v="Ibrahim Traoré"/>
    <x v="0"/>
    <s v="Afrique de l'Ouest"/>
    <s v="Adama Bah"/>
    <x v="82"/>
    <x v="4"/>
    <n v="1"/>
    <n v="15000"/>
    <n v="15176"/>
    <n v="1518"/>
  </r>
  <r>
    <s v="Amara Diallo"/>
    <x v="9"/>
    <s v="Afrique de l'Ouest"/>
    <s v="Mariama Ekwueme"/>
    <x v="42"/>
    <x v="4"/>
    <n v="10"/>
    <n v="15000"/>
    <n v="139423"/>
    <n v="13942"/>
  </r>
  <r>
    <s v="Kofi Mensah"/>
    <x v="2"/>
    <s v="Afrique de l'Ouest"/>
    <s v="Yaw Touré"/>
    <x v="313"/>
    <x v="0"/>
    <n v="7"/>
    <n v="18500"/>
    <n v="122532"/>
    <n v="14704"/>
  </r>
  <r>
    <s v="Aïcha Kouyaté"/>
    <x v="4"/>
    <s v="Afrique de l'Est"/>
    <s v="Moussa Dembélé"/>
    <x v="128"/>
    <x v="0"/>
    <n v="8"/>
    <n v="18500"/>
    <n v="157765"/>
    <n v="18932"/>
  </r>
  <r>
    <s v="Aïcha Kouyaté"/>
    <x v="7"/>
    <s v="Afrique Centrale"/>
    <s v="Chidi Coulibaly"/>
    <x v="3"/>
    <x v="1"/>
    <n v="9"/>
    <n v="12500"/>
    <n v="119313"/>
    <n v="9545"/>
  </r>
  <r>
    <s v="Amara Diallo"/>
    <x v="2"/>
    <s v="Afrique de l'Ouest"/>
    <s v="Emeka Kamara"/>
    <x v="151"/>
    <x v="4"/>
    <n v="5"/>
    <n v="15000"/>
    <n v="71770"/>
    <n v="7177"/>
  </r>
  <r>
    <s v="Amara Diallo"/>
    <x v="12"/>
    <s v="Afrique de l'Est"/>
    <s v="Mariama Nwosu"/>
    <x v="52"/>
    <x v="0"/>
    <n v="10"/>
    <n v="18500"/>
    <n v="172771"/>
    <n v="20733"/>
  </r>
  <r>
    <s v="Amara Diallo"/>
    <x v="0"/>
    <s v="Afrique de l'Ouest"/>
    <s v="Ngozi Okonkwo"/>
    <x v="111"/>
    <x v="4"/>
    <n v="7"/>
    <n v="15000"/>
    <n v="108912"/>
    <n v="10891"/>
  </r>
  <r>
    <s v="Kofi Mensah"/>
    <x v="10"/>
    <s v="Afrique Centrale"/>
    <s v="Chidi Touré"/>
    <x v="200"/>
    <x v="2"/>
    <n v="2"/>
    <n v="45000"/>
    <n v="83841"/>
    <n v="15091"/>
  </r>
  <r>
    <s v="Fatima Ndiaye"/>
    <x v="11"/>
    <s v="Afrique de l'Ouest"/>
    <s v="Yaw Ekwueme"/>
    <x v="328"/>
    <x v="1"/>
    <n v="8"/>
    <n v="12500"/>
    <n v="93657"/>
    <n v="7493"/>
  </r>
  <r>
    <s v="Fatima Ndiaye"/>
    <x v="13"/>
    <s v="Afrique de l'Ouest"/>
    <s v="Moussa Okonkwo"/>
    <x v="152"/>
    <x v="0"/>
    <n v="3"/>
    <n v="18500"/>
    <n v="50925"/>
    <n v="6111"/>
  </r>
  <r>
    <s v="Fatima Ndiaye"/>
    <x v="12"/>
    <s v="Afrique de l'Est"/>
    <s v="Ngozi Asante"/>
    <x v="354"/>
    <x v="0"/>
    <n v="9"/>
    <n v="18500"/>
    <n v="153278"/>
    <n v="18393"/>
  </r>
  <r>
    <s v="Fatima Ndiaye"/>
    <x v="8"/>
    <s v="Afrique de l'Est"/>
    <s v="Kadiatou Ekwueme"/>
    <x v="262"/>
    <x v="1"/>
    <n v="10"/>
    <n v="12500"/>
    <n v="127448"/>
    <n v="10196"/>
  </r>
  <r>
    <s v="Kofi Mensah"/>
    <x v="10"/>
    <s v="Afrique Centrale"/>
    <s v="Kadiatou Abubakar"/>
    <x v="252"/>
    <x v="4"/>
    <n v="1"/>
    <n v="15000"/>
    <n v="16499"/>
    <n v="1650"/>
  </r>
  <r>
    <s v="Kofi Mensah"/>
    <x v="2"/>
    <s v="Afrique de l'Ouest"/>
    <s v="Adama Mensah"/>
    <x v="142"/>
    <x v="4"/>
    <n v="6"/>
    <n v="15000"/>
    <n v="82790"/>
    <n v="8279"/>
  </r>
  <r>
    <s v="Kofi Mensah"/>
    <x v="14"/>
    <s v="Afrique de l'Ouest"/>
    <s v="Aminata Nwosu"/>
    <x v="242"/>
    <x v="0"/>
    <n v="9"/>
    <n v="18500"/>
    <n v="180879"/>
    <n v="21705"/>
  </r>
  <r>
    <s v="Ibrahim Traoré"/>
    <x v="1"/>
    <s v="Afrique de l'Ouest"/>
    <s v="Aminata Cissé"/>
    <x v="134"/>
    <x v="4"/>
    <n v="3"/>
    <n v="15000"/>
    <n v="43394"/>
    <n v="4339"/>
  </r>
  <r>
    <s v="Amara Diallo"/>
    <x v="1"/>
    <s v="Afrique de l'Ouest"/>
    <s v="Adama Dembélé"/>
    <x v="358"/>
    <x v="2"/>
    <n v="5"/>
    <n v="45000"/>
    <n v="209828"/>
    <n v="37769"/>
  </r>
  <r>
    <s v="Ibrahim Traoré"/>
    <x v="7"/>
    <s v="Afrique Centrale"/>
    <s v="Awa Asante"/>
    <x v="168"/>
    <x v="1"/>
    <n v="3"/>
    <n v="12500"/>
    <n v="39766"/>
    <n v="3181"/>
  </r>
  <r>
    <s v="Ibrahim Traoré"/>
    <x v="2"/>
    <s v="Afrique de l'Ouest"/>
    <s v="Awa Kamara"/>
    <x v="48"/>
    <x v="2"/>
    <n v="10"/>
    <n v="45000"/>
    <n v="425177"/>
    <n v="76532"/>
  </r>
  <r>
    <s v="Aïcha Kouyaté"/>
    <x v="11"/>
    <s v="Afrique de l'Ouest"/>
    <s v="Emeka Dembélé"/>
    <x v="152"/>
    <x v="4"/>
    <n v="7"/>
    <n v="15000"/>
    <n v="105493"/>
    <n v="10549"/>
  </r>
  <r>
    <s v="Fatima Ndiaye"/>
    <x v="0"/>
    <s v="Afrique de l'Ouest"/>
    <s v="Mariama Bah"/>
    <x v="154"/>
    <x v="3"/>
    <n v="2"/>
    <n v="55000"/>
    <n v="109340"/>
    <n v="24055"/>
  </r>
  <r>
    <s v="Fatima Ndiaye"/>
    <x v="14"/>
    <s v="Afrique de l'Ouest"/>
    <s v="Seydou Asante"/>
    <x v="117"/>
    <x v="1"/>
    <n v="2"/>
    <n v="12500"/>
    <n v="23607"/>
    <n v="1889"/>
  </r>
  <r>
    <s v="Ibrahim Traoré"/>
    <x v="13"/>
    <s v="Afrique de l'Ouest"/>
    <s v="Ngozi Kamara"/>
    <x v="245"/>
    <x v="4"/>
    <n v="7"/>
    <n v="15000"/>
    <n v="110971"/>
    <n v="11097"/>
  </r>
  <r>
    <s v="Aïcha Kouyaté"/>
    <x v="11"/>
    <s v="Afrique de l'Ouest"/>
    <s v="Mariama Asante"/>
    <x v="186"/>
    <x v="3"/>
    <n v="7"/>
    <n v="55000"/>
    <n v="382965"/>
    <n v="84252"/>
  </r>
  <r>
    <s v="Fatima Ndiaye"/>
    <x v="3"/>
    <s v="Afrique Centrale"/>
    <s v="Emeka Mensah"/>
    <x v="218"/>
    <x v="4"/>
    <n v="3"/>
    <n v="15000"/>
    <n v="45590"/>
    <n v="4559"/>
  </r>
  <r>
    <s v="Amara Diallo"/>
    <x v="0"/>
    <s v="Afrique de l'Ouest"/>
    <s v="Kadiatou Asante"/>
    <x v="93"/>
    <x v="0"/>
    <n v="1"/>
    <n v="18500"/>
    <n v="18702"/>
    <n v="2244"/>
  </r>
  <r>
    <s v="Fatima Ndiaye"/>
    <x v="13"/>
    <s v="Afrique de l'Ouest"/>
    <s v="Kwame Touré"/>
    <x v="100"/>
    <x v="0"/>
    <n v="9"/>
    <n v="18500"/>
    <n v="162786"/>
    <n v="19534"/>
  </r>
  <r>
    <s v="Aïcha Kouyaté"/>
    <x v="3"/>
    <s v="Afrique Centrale"/>
    <s v="Seydou Mensah"/>
    <x v="308"/>
    <x v="2"/>
    <n v="10"/>
    <n v="45000"/>
    <n v="421299"/>
    <n v="75834"/>
  </r>
  <r>
    <s v="Fatima Ndiaye"/>
    <x v="3"/>
    <s v="Afrique Centrale"/>
    <s v="Chidi Sawadogo"/>
    <x v="336"/>
    <x v="3"/>
    <n v="9"/>
    <n v="55000"/>
    <n v="457858"/>
    <n v="100729"/>
  </r>
  <r>
    <s v="Kofi Mensah"/>
    <x v="0"/>
    <s v="Afrique de l'Ouest"/>
    <s v="Seydou Kamara"/>
    <x v="289"/>
    <x v="0"/>
    <n v="5"/>
    <n v="18500"/>
    <n v="91305"/>
    <n v="10957"/>
  </r>
  <r>
    <s v="Ibrahim Traoré"/>
    <x v="6"/>
    <s v="Afrique de l'Ouest"/>
    <s v="Chidi Kamara"/>
    <x v="281"/>
    <x v="0"/>
    <n v="1"/>
    <n v="18500"/>
    <n v="17818"/>
    <n v="2138"/>
  </r>
  <r>
    <s v="Kofi Mensah"/>
    <x v="14"/>
    <s v="Afrique de l'Ouest"/>
    <s v="Zainab Nwosu"/>
    <x v="329"/>
    <x v="3"/>
    <n v="1"/>
    <n v="55000"/>
    <n v="50305"/>
    <n v="11067"/>
  </r>
  <r>
    <s v="Ibrahim Traoré"/>
    <x v="1"/>
    <s v="Afrique de l'Ouest"/>
    <s v="Aminata Mensah"/>
    <x v="160"/>
    <x v="2"/>
    <n v="1"/>
    <n v="45000"/>
    <n v="48143"/>
    <n v="8666"/>
  </r>
  <r>
    <s v="Amara Diallo"/>
    <x v="14"/>
    <s v="Afrique de l'Ouest"/>
    <s v="Yaw Sawadogo"/>
    <x v="358"/>
    <x v="2"/>
    <n v="1"/>
    <n v="45000"/>
    <n v="49024"/>
    <n v="8824"/>
  </r>
  <r>
    <s v="Aïcha Kouyaté"/>
    <x v="13"/>
    <s v="Afrique de l'Ouest"/>
    <s v="Moussa Mensah"/>
    <x v="223"/>
    <x v="4"/>
    <n v="2"/>
    <n v="15000"/>
    <n v="29000"/>
    <n v="2900"/>
  </r>
  <r>
    <s v="Fatima Ndiaye"/>
    <x v="7"/>
    <s v="Afrique Centrale"/>
    <s v="Adama Nwosu"/>
    <x v="281"/>
    <x v="2"/>
    <n v="6"/>
    <n v="45000"/>
    <n v="291623"/>
    <n v="52492"/>
  </r>
  <r>
    <s v="Amara Diallo"/>
    <x v="3"/>
    <s v="Afrique Centrale"/>
    <s v="Yaw Bah"/>
    <x v="283"/>
    <x v="3"/>
    <n v="10"/>
    <n v="55000"/>
    <n v="596995"/>
    <n v="131339"/>
  </r>
  <r>
    <s v="Kofi Mensah"/>
    <x v="5"/>
    <s v="Afrique de l'Est"/>
    <s v="Emeka Bah"/>
    <x v="158"/>
    <x v="0"/>
    <n v="9"/>
    <n v="18500"/>
    <n v="177447"/>
    <n v="21294"/>
  </r>
  <r>
    <s v="Ibrahim Traoré"/>
    <x v="1"/>
    <s v="Afrique de l'Ouest"/>
    <s v="Ngozi Cissé"/>
    <x v="121"/>
    <x v="0"/>
    <n v="6"/>
    <n v="18500"/>
    <n v="109039"/>
    <n v="13085"/>
  </r>
  <r>
    <s v="Ibrahim Traoré"/>
    <x v="9"/>
    <s v="Afrique de l'Ouest"/>
    <s v="Oumar Diop"/>
    <x v="276"/>
    <x v="1"/>
    <n v="10"/>
    <n v="12500"/>
    <n v="116382"/>
    <n v="9311"/>
  </r>
  <r>
    <s v="Aïcha Kouyaté"/>
    <x v="8"/>
    <s v="Afrique de l'Est"/>
    <s v="Emeka Asante"/>
    <x v="94"/>
    <x v="3"/>
    <n v="3"/>
    <n v="55000"/>
    <n v="159429"/>
    <n v="35074"/>
  </r>
  <r>
    <s v="Aïcha Kouyaté"/>
    <x v="13"/>
    <s v="Afrique de l'Ouest"/>
    <s v="Ngozi Diop"/>
    <x v="126"/>
    <x v="4"/>
    <n v="6"/>
    <n v="15000"/>
    <n v="88382"/>
    <n v="8838"/>
  </r>
  <r>
    <s v="Ibrahim Traoré"/>
    <x v="14"/>
    <s v="Afrique de l'Ouest"/>
    <s v="Kadiatou Cissé"/>
    <x v="312"/>
    <x v="2"/>
    <n v="9"/>
    <n v="45000"/>
    <n v="396275"/>
    <n v="71330"/>
  </r>
  <r>
    <s v="Aïcha Kouyaté"/>
    <x v="12"/>
    <s v="Afrique de l'Est"/>
    <s v="Zainab Dembélé"/>
    <x v="223"/>
    <x v="1"/>
    <n v="9"/>
    <n v="12500"/>
    <n v="101558"/>
    <n v="8125"/>
  </r>
  <r>
    <s v="Fatima Ndiaye"/>
    <x v="0"/>
    <s v="Afrique de l'Ouest"/>
    <s v="Kadiatou Mensah"/>
    <x v="121"/>
    <x v="3"/>
    <n v="8"/>
    <n v="55000"/>
    <n v="408973"/>
    <n v="89974"/>
  </r>
  <r>
    <s v="Aïcha Kouyaté"/>
    <x v="12"/>
    <s v="Afrique de l'Est"/>
    <s v="Mariama Ekwueme"/>
    <x v="62"/>
    <x v="3"/>
    <n v="4"/>
    <n v="55000"/>
    <n v="210009"/>
    <n v="46202"/>
  </r>
  <r>
    <s v="Kofi Mensah"/>
    <x v="8"/>
    <s v="Afrique de l'Est"/>
    <s v="Chidi Okonkwo"/>
    <x v="165"/>
    <x v="1"/>
    <n v="3"/>
    <n v="12500"/>
    <n v="36299"/>
    <n v="2904"/>
  </r>
  <r>
    <s v="Aïcha Kouyaté"/>
    <x v="14"/>
    <s v="Afrique de l'Ouest"/>
    <s v="Chidi Abubakar"/>
    <x v="283"/>
    <x v="1"/>
    <n v="5"/>
    <n v="12500"/>
    <n v="63152"/>
    <n v="5052"/>
  </r>
  <r>
    <s v="Amara Diallo"/>
    <x v="10"/>
    <s v="Afrique Centrale"/>
    <s v="Zainab Diop"/>
    <x v="228"/>
    <x v="2"/>
    <n v="1"/>
    <n v="45000"/>
    <n v="48556"/>
    <n v="8740"/>
  </r>
  <r>
    <s v="Fatima Ndiaye"/>
    <x v="1"/>
    <s v="Afrique de l'Ouest"/>
    <s v="Mariama Kamara"/>
    <x v="256"/>
    <x v="0"/>
    <n v="8"/>
    <n v="18500"/>
    <n v="137734"/>
    <n v="16528"/>
  </r>
  <r>
    <s v="Ibrahim Traoré"/>
    <x v="5"/>
    <s v="Afrique de l'Est"/>
    <s v="Zainab Bah"/>
    <x v="230"/>
    <x v="2"/>
    <n v="8"/>
    <n v="45000"/>
    <n v="366127"/>
    <n v="65903"/>
  </r>
  <r>
    <s v="Fatima Ndiaye"/>
    <x v="5"/>
    <s v="Afrique de l'Est"/>
    <s v="Aminata Coulibaly"/>
    <x v="218"/>
    <x v="4"/>
    <n v="7"/>
    <n v="15000"/>
    <n v="104903"/>
    <n v="10490"/>
  </r>
  <r>
    <s v="Amara Diallo"/>
    <x v="13"/>
    <s v="Afrique de l'Ouest"/>
    <s v="Kwame Abubakar"/>
    <x v="251"/>
    <x v="4"/>
    <n v="6"/>
    <n v="15000"/>
    <n v="87340"/>
    <n v="8734"/>
  </r>
  <r>
    <s v="Kofi Mensah"/>
    <x v="5"/>
    <s v="Afrique de l'Est"/>
    <s v="Yaw Diop"/>
    <x v="354"/>
    <x v="3"/>
    <n v="4"/>
    <n v="55000"/>
    <n v="231021"/>
    <n v="50825"/>
  </r>
  <r>
    <s v="Amara Diallo"/>
    <x v="14"/>
    <s v="Afrique de l'Ouest"/>
    <s v="Oumar Sawadogo"/>
    <x v="346"/>
    <x v="4"/>
    <n v="3"/>
    <n v="15000"/>
    <n v="46299"/>
    <n v="4630"/>
  </r>
  <r>
    <s v="Aïcha Kouyaté"/>
    <x v="9"/>
    <s v="Afrique de l'Ouest"/>
    <s v="Zainab Sawadogo"/>
    <x v="20"/>
    <x v="0"/>
    <n v="1"/>
    <n v="18500"/>
    <n v="16959"/>
    <n v="2035"/>
  </r>
  <r>
    <s v="Kofi Mensah"/>
    <x v="13"/>
    <s v="Afrique de l'Ouest"/>
    <s v="Emeka Abubakar"/>
    <x v="7"/>
    <x v="4"/>
    <n v="6"/>
    <n v="15000"/>
    <n v="81791"/>
    <n v="8179"/>
  </r>
  <r>
    <s v="Kofi Mensah"/>
    <x v="2"/>
    <s v="Afrique de l'Ouest"/>
    <s v="Yaw Asante"/>
    <x v="33"/>
    <x v="1"/>
    <n v="6"/>
    <n v="12500"/>
    <n v="76954"/>
    <n v="6156"/>
  </r>
  <r>
    <s v="Amara Diallo"/>
    <x v="14"/>
    <s v="Afrique de l'Ouest"/>
    <s v="Mariama Ekwueme"/>
    <x v="283"/>
    <x v="4"/>
    <n v="8"/>
    <n v="15000"/>
    <n v="109217"/>
    <n v="10922"/>
  </r>
  <r>
    <s v="Ibrahim Traoré"/>
    <x v="12"/>
    <s v="Afrique de l'Est"/>
    <s v="Chidi Dembélé"/>
    <x v="174"/>
    <x v="2"/>
    <n v="8"/>
    <n v="45000"/>
    <n v="393328"/>
    <n v="70799"/>
  </r>
  <r>
    <s v="Amara Diallo"/>
    <x v="9"/>
    <s v="Afrique de l'Ouest"/>
    <s v="Chioma Abubakar"/>
    <x v="228"/>
    <x v="2"/>
    <n v="4"/>
    <n v="45000"/>
    <n v="167012"/>
    <n v="30062"/>
  </r>
  <r>
    <s v="Fatima Ndiaye"/>
    <x v="10"/>
    <s v="Afrique Centrale"/>
    <s v="Moussa Coulibaly"/>
    <x v="199"/>
    <x v="3"/>
    <n v="5"/>
    <n v="55000"/>
    <n v="258528"/>
    <n v="56876"/>
  </r>
  <r>
    <s v="Fatima Ndiaye"/>
    <x v="2"/>
    <s v="Afrique de l'Ouest"/>
    <s v="Awa Sawadogo"/>
    <x v="173"/>
    <x v="4"/>
    <n v="1"/>
    <n v="15000"/>
    <n v="15868"/>
    <n v="1587"/>
  </r>
  <r>
    <s v="Fatima Ndiaye"/>
    <x v="11"/>
    <s v="Afrique de l'Ouest"/>
    <s v="Oumar Okonkwo"/>
    <x v="76"/>
    <x v="1"/>
    <n v="6"/>
    <n v="12500"/>
    <n v="76852"/>
    <n v="6148"/>
  </r>
  <r>
    <s v="Aïcha Kouyaté"/>
    <x v="12"/>
    <s v="Afrique de l'Est"/>
    <s v="Oumar Cissé"/>
    <x v="88"/>
    <x v="0"/>
    <n v="10"/>
    <n v="18500"/>
    <n v="177582"/>
    <n v="21310"/>
  </r>
  <r>
    <s v="Fatima Ndiaye"/>
    <x v="1"/>
    <s v="Afrique de l'Ouest"/>
    <s v="Mariama Dembélé"/>
    <x v="140"/>
    <x v="2"/>
    <n v="6"/>
    <n v="45000"/>
    <n v="289026"/>
    <n v="52025"/>
  </r>
  <r>
    <s v="Amara Diallo"/>
    <x v="13"/>
    <s v="Afrique de l'Ouest"/>
    <s v="Awa Nwosu"/>
    <x v="227"/>
    <x v="4"/>
    <n v="6"/>
    <n v="15000"/>
    <n v="96419"/>
    <n v="9642"/>
  </r>
  <r>
    <s v="Kofi Mensah"/>
    <x v="5"/>
    <s v="Afrique de l'Est"/>
    <s v="Yaw Okonkwo"/>
    <x v="333"/>
    <x v="1"/>
    <n v="4"/>
    <n v="12500"/>
    <n v="46752"/>
    <n v="3740"/>
  </r>
  <r>
    <s v="Fatima Ndiaye"/>
    <x v="0"/>
    <s v="Afrique de l'Ouest"/>
    <s v="Seydou Ekwueme"/>
    <x v="255"/>
    <x v="1"/>
    <n v="1"/>
    <n v="12500"/>
    <n v="13704"/>
    <n v="1096"/>
  </r>
  <r>
    <s v="Fatima Ndiaye"/>
    <x v="13"/>
    <s v="Afrique de l'Ouest"/>
    <s v="Yaw Okonkwo"/>
    <x v="49"/>
    <x v="3"/>
    <n v="6"/>
    <n v="55000"/>
    <n v="308675"/>
    <n v="67908"/>
  </r>
  <r>
    <s v="Ibrahim Traoré"/>
    <x v="0"/>
    <s v="Afrique de l'Ouest"/>
    <s v="Moussa Mensah"/>
    <x v="8"/>
    <x v="2"/>
    <n v="10"/>
    <n v="45000"/>
    <n v="440049"/>
    <n v="79209"/>
  </r>
  <r>
    <s v="Fatima Ndiaye"/>
    <x v="3"/>
    <s v="Afrique Centrale"/>
    <s v="Emeka Cissé"/>
    <x v="160"/>
    <x v="2"/>
    <n v="1"/>
    <n v="45000"/>
    <n v="44720"/>
    <n v="8050"/>
  </r>
  <r>
    <s v="Fatima Ndiaye"/>
    <x v="7"/>
    <s v="Afrique Centrale"/>
    <s v="Adama Keïta"/>
    <x v="169"/>
    <x v="3"/>
    <n v="2"/>
    <n v="55000"/>
    <n v="117608"/>
    <n v="25874"/>
  </r>
  <r>
    <s v="Fatima Ndiaye"/>
    <x v="2"/>
    <s v="Afrique de l'Ouest"/>
    <s v="Mariama Ekwueme"/>
    <x v="201"/>
    <x v="0"/>
    <n v="6"/>
    <n v="18500"/>
    <n v="119045"/>
    <n v="14285"/>
  </r>
  <r>
    <s v="Amara Diallo"/>
    <x v="1"/>
    <s v="Afrique de l'Ouest"/>
    <s v="Ngozi Abubakar"/>
    <x v="353"/>
    <x v="4"/>
    <n v="3"/>
    <n v="15000"/>
    <n v="47824"/>
    <n v="4782"/>
  </r>
  <r>
    <s v="Ibrahim Traoré"/>
    <x v="4"/>
    <s v="Afrique de l'Est"/>
    <s v="Yaw Cissé"/>
    <x v="340"/>
    <x v="0"/>
    <n v="5"/>
    <n v="18500"/>
    <n v="85833"/>
    <n v="10300"/>
  </r>
  <r>
    <s v="Aïcha Kouyaté"/>
    <x v="13"/>
    <s v="Afrique de l'Ouest"/>
    <s v="Emeka Coulibaly"/>
    <x v="146"/>
    <x v="0"/>
    <n v="6"/>
    <n v="18500"/>
    <n v="111787"/>
    <n v="13414"/>
  </r>
  <r>
    <s v="Aïcha Kouyaté"/>
    <x v="7"/>
    <s v="Afrique Centrale"/>
    <s v="Mariama Sawadogo"/>
    <x v="257"/>
    <x v="1"/>
    <n v="3"/>
    <n v="12500"/>
    <n v="40952"/>
    <n v="3276"/>
  </r>
  <r>
    <s v="Ibrahim Traoré"/>
    <x v="7"/>
    <s v="Afrique Centrale"/>
    <s v="Seydou Touré"/>
    <x v="146"/>
    <x v="1"/>
    <n v="2"/>
    <n v="12500"/>
    <n v="26135"/>
    <n v="2091"/>
  </r>
  <r>
    <s v="Aïcha Kouyaté"/>
    <x v="2"/>
    <s v="Afrique de l'Ouest"/>
    <s v="Mariama Nwosu"/>
    <x v="86"/>
    <x v="3"/>
    <n v="5"/>
    <n v="55000"/>
    <n v="279637"/>
    <n v="61520"/>
  </r>
  <r>
    <s v="Kofi Mensah"/>
    <x v="11"/>
    <s v="Afrique de l'Ouest"/>
    <s v="Aminata Dembélé"/>
    <x v="156"/>
    <x v="3"/>
    <n v="6"/>
    <n v="55000"/>
    <n v="342488"/>
    <n v="75347"/>
  </r>
  <r>
    <s v="Amara Diallo"/>
    <x v="11"/>
    <s v="Afrique de l'Ouest"/>
    <s v="Moussa Touré"/>
    <x v="49"/>
    <x v="2"/>
    <n v="3"/>
    <n v="45000"/>
    <n v="130323"/>
    <n v="23458"/>
  </r>
  <r>
    <s v="Amara Diallo"/>
    <x v="7"/>
    <s v="Afrique Centrale"/>
    <s v="Kwame Keïta"/>
    <x v="221"/>
    <x v="3"/>
    <n v="9"/>
    <n v="55000"/>
    <n v="457158"/>
    <n v="100575"/>
  </r>
  <r>
    <s v="Ibrahim Traoré"/>
    <x v="14"/>
    <s v="Afrique de l'Ouest"/>
    <s v="Aminata Cissé"/>
    <x v="175"/>
    <x v="3"/>
    <n v="8"/>
    <n v="55000"/>
    <n v="427810"/>
    <n v="94118"/>
  </r>
  <r>
    <s v="Amara Diallo"/>
    <x v="0"/>
    <s v="Afrique de l'Ouest"/>
    <s v="Mariama Kamara"/>
    <x v="357"/>
    <x v="3"/>
    <n v="1"/>
    <n v="55000"/>
    <n v="49589"/>
    <n v="10910"/>
  </r>
  <r>
    <s v="Kofi Mensah"/>
    <x v="5"/>
    <s v="Afrique de l'Est"/>
    <s v="Ngozi Ekwueme"/>
    <x v="42"/>
    <x v="1"/>
    <n v="4"/>
    <n v="12500"/>
    <n v="52631"/>
    <n v="4210"/>
  </r>
  <r>
    <s v="Aïcha Kouyaté"/>
    <x v="14"/>
    <s v="Afrique de l'Ouest"/>
    <s v="Ngozi Diop"/>
    <x v="257"/>
    <x v="4"/>
    <n v="4"/>
    <n v="15000"/>
    <n v="55857"/>
    <n v="5586"/>
  </r>
  <r>
    <s v="Aïcha Kouyaté"/>
    <x v="13"/>
    <s v="Afrique de l'Ouest"/>
    <s v="Awa Ekwueme"/>
    <x v="304"/>
    <x v="0"/>
    <n v="5"/>
    <n v="18500"/>
    <n v="84071"/>
    <n v="10089"/>
  </r>
  <r>
    <s v="Aïcha Kouyaté"/>
    <x v="14"/>
    <s v="Afrique de l'Ouest"/>
    <s v="Awa Kamara"/>
    <x v="341"/>
    <x v="0"/>
    <n v="1"/>
    <n v="18500"/>
    <n v="18595"/>
    <n v="2231"/>
  </r>
  <r>
    <s v="Ibrahim Traoré"/>
    <x v="5"/>
    <s v="Afrique de l'Est"/>
    <s v="Aminata Diop"/>
    <x v="16"/>
    <x v="3"/>
    <n v="5"/>
    <n v="55000"/>
    <n v="255457"/>
    <n v="56201"/>
  </r>
  <r>
    <s v="Kofi Mensah"/>
    <x v="9"/>
    <s v="Afrique de l'Ouest"/>
    <s v="Aminata Cissé"/>
    <x v="286"/>
    <x v="3"/>
    <n v="5"/>
    <n v="55000"/>
    <n v="293554"/>
    <n v="64582"/>
  </r>
  <r>
    <s v="Fatima Ndiaye"/>
    <x v="8"/>
    <s v="Afrique de l'Est"/>
    <s v="Adama Kamara"/>
    <x v="212"/>
    <x v="2"/>
    <n v="4"/>
    <n v="45000"/>
    <n v="171690"/>
    <n v="30904"/>
  </r>
  <r>
    <s v="Fatima Ndiaye"/>
    <x v="3"/>
    <s v="Afrique Centrale"/>
    <s v="Awa Abubakar"/>
    <x v="4"/>
    <x v="1"/>
    <n v="2"/>
    <n v="12500"/>
    <n v="25874"/>
    <n v="2070"/>
  </r>
  <r>
    <s v="Kofi Mensah"/>
    <x v="10"/>
    <s v="Afrique Centrale"/>
    <s v="Seydou Dembélé"/>
    <x v="154"/>
    <x v="0"/>
    <n v="4"/>
    <n v="18500"/>
    <n v="75151"/>
    <n v="9018"/>
  </r>
  <r>
    <s v="Kofi Mensah"/>
    <x v="2"/>
    <s v="Afrique de l'Ouest"/>
    <s v="Adama Ekwueme"/>
    <x v="124"/>
    <x v="3"/>
    <n v="7"/>
    <n v="55000"/>
    <n v="387936"/>
    <n v="85346"/>
  </r>
  <r>
    <s v="Fatima Ndiaye"/>
    <x v="10"/>
    <s v="Afrique Centrale"/>
    <s v="Aminata Touré"/>
    <x v="231"/>
    <x v="3"/>
    <n v="3"/>
    <n v="55000"/>
    <n v="174031"/>
    <n v="38287"/>
  </r>
  <r>
    <s v="Aïcha Kouyaté"/>
    <x v="14"/>
    <s v="Afrique de l'Ouest"/>
    <s v="Yaw Nwosu"/>
    <x v="189"/>
    <x v="1"/>
    <n v="3"/>
    <n v="12500"/>
    <n v="34569"/>
    <n v="2766"/>
  </r>
  <r>
    <s v="Kofi Mensah"/>
    <x v="12"/>
    <s v="Afrique de l'Est"/>
    <s v="Awa Okonkwo"/>
    <x v="149"/>
    <x v="1"/>
    <n v="9"/>
    <n v="12500"/>
    <n v="104963"/>
    <n v="8397"/>
  </r>
  <r>
    <s v="Kofi Mensah"/>
    <x v="7"/>
    <s v="Afrique Centrale"/>
    <s v="Zainab Bah"/>
    <x v="211"/>
    <x v="4"/>
    <n v="3"/>
    <n v="15000"/>
    <n v="45908"/>
    <n v="4591"/>
  </r>
  <r>
    <s v="Aïcha Kouyaté"/>
    <x v="2"/>
    <s v="Afrique de l'Ouest"/>
    <s v="Zainab Nwosu"/>
    <x v="296"/>
    <x v="1"/>
    <n v="1"/>
    <n v="12500"/>
    <n v="13566"/>
    <n v="1085"/>
  </r>
  <r>
    <s v="Fatima Ndiaye"/>
    <x v="11"/>
    <s v="Afrique de l'Ouest"/>
    <s v="Mariama Cissé"/>
    <x v="169"/>
    <x v="4"/>
    <n v="9"/>
    <n v="15000"/>
    <n v="133522"/>
    <n v="13352"/>
  </r>
  <r>
    <s v="Amara Diallo"/>
    <x v="4"/>
    <s v="Afrique de l'Est"/>
    <s v="Awa Keïta"/>
    <x v="27"/>
    <x v="2"/>
    <n v="5"/>
    <n v="45000"/>
    <n v="231974"/>
    <n v="41755"/>
  </r>
  <r>
    <s v="Amara Diallo"/>
    <x v="5"/>
    <s v="Afrique de l'Est"/>
    <s v="Oumar Ekwueme"/>
    <x v="61"/>
    <x v="2"/>
    <n v="3"/>
    <n v="45000"/>
    <n v="139411"/>
    <n v="25094"/>
  </r>
  <r>
    <s v="Ibrahim Traoré"/>
    <x v="4"/>
    <s v="Afrique de l'Est"/>
    <s v="Yaw Asante"/>
    <x v="31"/>
    <x v="0"/>
    <n v="3"/>
    <n v="18500"/>
    <n v="50109"/>
    <n v="6013"/>
  </r>
  <r>
    <s v="Fatima Ndiaye"/>
    <x v="12"/>
    <s v="Afrique de l'Est"/>
    <s v="Ngozi Sawadogo"/>
    <x v="25"/>
    <x v="4"/>
    <n v="5"/>
    <n v="15000"/>
    <n v="80945"/>
    <n v="8094"/>
  </r>
  <r>
    <s v="Kofi Mensah"/>
    <x v="14"/>
    <s v="Afrique de l'Ouest"/>
    <s v="Adama Cissé"/>
    <x v="12"/>
    <x v="4"/>
    <n v="7"/>
    <n v="15000"/>
    <n v="113605"/>
    <n v="11360"/>
  </r>
  <r>
    <s v="Ibrahim Traoré"/>
    <x v="10"/>
    <s v="Afrique Centrale"/>
    <s v="Zainab Ekwueme"/>
    <x v="205"/>
    <x v="4"/>
    <n v="10"/>
    <n v="15000"/>
    <n v="140673"/>
    <n v="14067"/>
  </r>
  <r>
    <s v="Amara Diallo"/>
    <x v="9"/>
    <s v="Afrique de l'Ouest"/>
    <s v="Aminata Ekwueme"/>
    <x v="29"/>
    <x v="4"/>
    <n v="2"/>
    <n v="15000"/>
    <n v="30064"/>
    <n v="3006"/>
  </r>
  <r>
    <s v="Ibrahim Traoré"/>
    <x v="1"/>
    <s v="Afrique de l'Ouest"/>
    <s v="Moussa Dembélé"/>
    <x v="213"/>
    <x v="4"/>
    <n v="2"/>
    <n v="15000"/>
    <n v="29861"/>
    <n v="2986"/>
  </r>
  <r>
    <s v="Aïcha Kouyaté"/>
    <x v="0"/>
    <s v="Afrique de l'Ouest"/>
    <s v="Seydou Cissé"/>
    <x v="258"/>
    <x v="0"/>
    <n v="6"/>
    <n v="18500"/>
    <n v="121685"/>
    <n v="14602"/>
  </r>
  <r>
    <s v="Amara Diallo"/>
    <x v="4"/>
    <s v="Afrique de l'Est"/>
    <s v="Oumar Abubakar"/>
    <x v="300"/>
    <x v="3"/>
    <n v="4"/>
    <n v="55000"/>
    <n v="205739"/>
    <n v="45263"/>
  </r>
  <r>
    <s v="Ibrahim Traoré"/>
    <x v="8"/>
    <s v="Afrique de l'Est"/>
    <s v="Mariama Cissé"/>
    <x v="131"/>
    <x v="3"/>
    <n v="5"/>
    <n v="55000"/>
    <n v="253181"/>
    <n v="55700"/>
  </r>
  <r>
    <s v="Fatima Ndiaye"/>
    <x v="7"/>
    <s v="Afrique Centrale"/>
    <s v="Awa Ekwueme"/>
    <x v="15"/>
    <x v="1"/>
    <n v="8"/>
    <n v="12500"/>
    <n v="91697"/>
    <n v="7336"/>
  </r>
  <r>
    <s v="Ibrahim Traoré"/>
    <x v="12"/>
    <s v="Afrique de l'Est"/>
    <s v="Moussa Nwosu"/>
    <x v="318"/>
    <x v="2"/>
    <n v="7"/>
    <n v="45000"/>
    <n v="292656"/>
    <n v="52678"/>
  </r>
  <r>
    <s v="Aïcha Kouyaté"/>
    <x v="13"/>
    <s v="Afrique de l'Ouest"/>
    <s v="Kadiatou Abubakar"/>
    <x v="105"/>
    <x v="2"/>
    <n v="8"/>
    <n v="45000"/>
    <n v="366838"/>
    <n v="66031"/>
  </r>
  <r>
    <s v="Kofi Mensah"/>
    <x v="7"/>
    <s v="Afrique Centrale"/>
    <s v="Adama Sawadogo"/>
    <x v="352"/>
    <x v="0"/>
    <n v="8"/>
    <n v="18500"/>
    <n v="140087"/>
    <n v="16810"/>
  </r>
  <r>
    <s v="Kofi Mensah"/>
    <x v="2"/>
    <s v="Afrique de l'Ouest"/>
    <s v="Kadiatou Keïta"/>
    <x v="38"/>
    <x v="0"/>
    <n v="7"/>
    <n v="18500"/>
    <n v="131363"/>
    <n v="15764"/>
  </r>
  <r>
    <s v="Amara Diallo"/>
    <x v="2"/>
    <s v="Afrique de l'Ouest"/>
    <s v="Ngozi Asante"/>
    <x v="295"/>
    <x v="1"/>
    <n v="3"/>
    <n v="12500"/>
    <n v="33967"/>
    <n v="2717"/>
  </r>
  <r>
    <s v="Kofi Mensah"/>
    <x v="14"/>
    <s v="Afrique de l'Ouest"/>
    <s v="Aminata Ekwueme"/>
    <x v="11"/>
    <x v="4"/>
    <n v="3"/>
    <n v="15000"/>
    <n v="42951"/>
    <n v="4295"/>
  </r>
  <r>
    <s v="Amara Diallo"/>
    <x v="8"/>
    <s v="Afrique de l'Est"/>
    <s v="Chidi Sawadogo"/>
    <x v="111"/>
    <x v="1"/>
    <n v="5"/>
    <n v="12500"/>
    <n v="58080"/>
    <n v="4646"/>
  </r>
  <r>
    <s v="Fatima Ndiaye"/>
    <x v="0"/>
    <s v="Afrique de l'Ouest"/>
    <s v="Yaw Mensah"/>
    <x v="135"/>
    <x v="2"/>
    <n v="5"/>
    <n v="45000"/>
    <n v="228443"/>
    <n v="41120"/>
  </r>
  <r>
    <s v="Fatima Ndiaye"/>
    <x v="9"/>
    <s v="Afrique de l'Ouest"/>
    <s v="Chidi Okonkwo"/>
    <x v="299"/>
    <x v="4"/>
    <n v="5"/>
    <n v="15000"/>
    <n v="67585"/>
    <n v="6758"/>
  </r>
  <r>
    <s v="Ibrahim Traoré"/>
    <x v="10"/>
    <s v="Afrique Centrale"/>
    <s v="Kadiatou Keïta"/>
    <x v="36"/>
    <x v="0"/>
    <n v="6"/>
    <n v="18500"/>
    <n v="116485"/>
    <n v="13978"/>
  </r>
  <r>
    <s v="Kofi Mensah"/>
    <x v="14"/>
    <s v="Afrique de l'Ouest"/>
    <s v="Zainab Abubakar"/>
    <x v="48"/>
    <x v="3"/>
    <n v="6"/>
    <n v="55000"/>
    <n v="355045"/>
    <n v="78110"/>
  </r>
  <r>
    <s v="Amara Diallo"/>
    <x v="14"/>
    <s v="Afrique de l'Ouest"/>
    <s v="Seydou Bah"/>
    <x v="293"/>
    <x v="4"/>
    <n v="3"/>
    <n v="15000"/>
    <n v="45324"/>
    <n v="4532"/>
  </r>
  <r>
    <s v="Amara Diallo"/>
    <x v="4"/>
    <s v="Afrique de l'Est"/>
    <s v="Chidi Bah"/>
    <x v="218"/>
    <x v="0"/>
    <n v="4"/>
    <n v="18500"/>
    <n v="67579"/>
    <n v="8109"/>
  </r>
  <r>
    <s v="Aïcha Kouyaté"/>
    <x v="3"/>
    <s v="Afrique Centrale"/>
    <s v="Adama Diop"/>
    <x v="260"/>
    <x v="3"/>
    <n v="5"/>
    <n v="55000"/>
    <n v="290750"/>
    <n v="63965"/>
  </r>
  <r>
    <s v="Aïcha Kouyaté"/>
    <x v="3"/>
    <s v="Afrique Centrale"/>
    <s v="Chioma Asante"/>
    <x v="238"/>
    <x v="3"/>
    <n v="6"/>
    <n v="55000"/>
    <n v="322815"/>
    <n v="71019"/>
  </r>
  <r>
    <s v="Aïcha Kouyaté"/>
    <x v="14"/>
    <s v="Afrique de l'Ouest"/>
    <s v="Moussa Touré"/>
    <x v="177"/>
    <x v="4"/>
    <n v="2"/>
    <n v="15000"/>
    <n v="27079"/>
    <n v="2708"/>
  </r>
  <r>
    <s v="Fatima Ndiaye"/>
    <x v="1"/>
    <s v="Afrique de l'Ouest"/>
    <s v="Kadiatou Bah"/>
    <x v="175"/>
    <x v="3"/>
    <n v="3"/>
    <n v="55000"/>
    <n v="167357"/>
    <n v="36819"/>
  </r>
  <r>
    <s v="Fatima Ndiaye"/>
    <x v="4"/>
    <s v="Afrique de l'Est"/>
    <s v="Ngozi Coulibaly"/>
    <x v="10"/>
    <x v="4"/>
    <n v="10"/>
    <n v="15000"/>
    <n v="162614"/>
    <n v="16261"/>
  </r>
  <r>
    <s v="Kofi Mensah"/>
    <x v="9"/>
    <s v="Afrique de l'Ouest"/>
    <s v="Chioma Asante"/>
    <x v="169"/>
    <x v="2"/>
    <n v="4"/>
    <n v="45000"/>
    <n v="172705"/>
    <n v="31087"/>
  </r>
  <r>
    <s v="Aïcha Kouyaté"/>
    <x v="11"/>
    <s v="Afrique de l'Ouest"/>
    <s v="Moussa Diop"/>
    <x v="345"/>
    <x v="3"/>
    <n v="3"/>
    <n v="55000"/>
    <n v="162335"/>
    <n v="35714"/>
  </r>
  <r>
    <s v="Fatima Ndiaye"/>
    <x v="8"/>
    <s v="Afrique de l'Est"/>
    <s v="Chidi Keïta"/>
    <x v="353"/>
    <x v="4"/>
    <n v="2"/>
    <n v="15000"/>
    <n v="29585"/>
    <n v="2958"/>
  </r>
  <r>
    <s v="Ibrahim Traoré"/>
    <x v="8"/>
    <s v="Afrique de l'Est"/>
    <s v="Kadiatou Diop"/>
    <x v="109"/>
    <x v="4"/>
    <n v="10"/>
    <n v="15000"/>
    <n v="163646"/>
    <n v="16365"/>
  </r>
  <r>
    <s v="Amara Diallo"/>
    <x v="1"/>
    <s v="Afrique de l'Ouest"/>
    <s v="Adama Abubakar"/>
    <x v="280"/>
    <x v="2"/>
    <n v="8"/>
    <n v="45000"/>
    <n v="378753"/>
    <n v="68176"/>
  </r>
  <r>
    <s v="Kofi Mensah"/>
    <x v="2"/>
    <s v="Afrique de l'Ouest"/>
    <s v="Awa Keïta"/>
    <x v="229"/>
    <x v="0"/>
    <n v="6"/>
    <n v="18500"/>
    <n v="106818"/>
    <n v="12818"/>
  </r>
  <r>
    <s v="Ibrahim Traoré"/>
    <x v="2"/>
    <s v="Afrique de l'Ouest"/>
    <s v="Ngozi Dembélé"/>
    <x v="78"/>
    <x v="0"/>
    <n v="7"/>
    <n v="18500"/>
    <n v="117528"/>
    <n v="14103"/>
  </r>
  <r>
    <s v="Fatima Ndiaye"/>
    <x v="7"/>
    <s v="Afrique Centrale"/>
    <s v="Kadiatou Touré"/>
    <x v="120"/>
    <x v="0"/>
    <n v="6"/>
    <n v="18500"/>
    <n v="111333"/>
    <n v="13360"/>
  </r>
  <r>
    <s v="Kofi Mensah"/>
    <x v="1"/>
    <s v="Afrique de l'Ouest"/>
    <s v="Oumar Sawadogo"/>
    <x v="139"/>
    <x v="4"/>
    <n v="7"/>
    <n v="15000"/>
    <n v="97260"/>
    <n v="9726"/>
  </r>
  <r>
    <s v="Amara Diallo"/>
    <x v="6"/>
    <s v="Afrique de l'Ouest"/>
    <s v="Aminata Cissé"/>
    <x v="238"/>
    <x v="2"/>
    <n v="2"/>
    <n v="45000"/>
    <n v="97730"/>
    <n v="17591"/>
  </r>
  <r>
    <s v="Fatima Ndiaye"/>
    <x v="0"/>
    <s v="Afrique de l'Ouest"/>
    <s v="Oumar Asante"/>
    <x v="221"/>
    <x v="1"/>
    <n v="2"/>
    <n v="12500"/>
    <n v="24684"/>
    <n v="1975"/>
  </r>
  <r>
    <s v="Ibrahim Traoré"/>
    <x v="8"/>
    <s v="Afrique de l'Est"/>
    <s v="Zainab Abubakar"/>
    <x v="83"/>
    <x v="1"/>
    <n v="5"/>
    <n v="12500"/>
    <n v="66507"/>
    <n v="5321"/>
  </r>
  <r>
    <s v="Kofi Mensah"/>
    <x v="3"/>
    <s v="Afrique Centrale"/>
    <s v="Yaw Diop"/>
    <x v="70"/>
    <x v="2"/>
    <n v="4"/>
    <n v="45000"/>
    <n v="169355"/>
    <n v="30484"/>
  </r>
  <r>
    <s v="Amara Diallo"/>
    <x v="3"/>
    <s v="Afrique Centrale"/>
    <s v="Adama Diop"/>
    <x v="98"/>
    <x v="2"/>
    <n v="7"/>
    <n v="45000"/>
    <n v="324736"/>
    <n v="58452"/>
  </r>
  <r>
    <s v="Fatima Ndiaye"/>
    <x v="9"/>
    <s v="Afrique de l'Ouest"/>
    <s v="Zainab Okonkwo"/>
    <x v="61"/>
    <x v="2"/>
    <n v="9"/>
    <n v="45000"/>
    <n v="377409"/>
    <n v="67934"/>
  </r>
  <r>
    <s v="Amara Diallo"/>
    <x v="12"/>
    <s v="Afrique de l'Est"/>
    <s v="Aminata Cissé"/>
    <x v="347"/>
    <x v="3"/>
    <n v="8"/>
    <n v="55000"/>
    <n v="413770"/>
    <n v="91029"/>
  </r>
  <r>
    <s v="Ibrahim Traoré"/>
    <x v="3"/>
    <s v="Afrique Centrale"/>
    <s v="Chioma Touré"/>
    <x v="93"/>
    <x v="4"/>
    <n v="6"/>
    <n v="15000"/>
    <n v="92090"/>
    <n v="9209"/>
  </r>
  <r>
    <s v="Kofi Mensah"/>
    <x v="7"/>
    <s v="Afrique Centrale"/>
    <s v="Seydou Asante"/>
    <x v="205"/>
    <x v="1"/>
    <n v="7"/>
    <n v="12500"/>
    <n v="82228"/>
    <n v="6578"/>
  </r>
  <r>
    <s v="Ibrahim Traoré"/>
    <x v="10"/>
    <s v="Afrique Centrale"/>
    <s v="Yaw Touré"/>
    <x v="100"/>
    <x v="0"/>
    <n v="4"/>
    <n v="18500"/>
    <n v="70300"/>
    <n v="8436"/>
  </r>
  <r>
    <s v="Ibrahim Traoré"/>
    <x v="2"/>
    <s v="Afrique de l'Ouest"/>
    <s v="Kadiatou Keïta"/>
    <x v="300"/>
    <x v="4"/>
    <n v="9"/>
    <n v="15000"/>
    <n v="148474"/>
    <n v="14847"/>
  </r>
  <r>
    <s v="Ibrahim Traoré"/>
    <x v="11"/>
    <s v="Afrique de l'Ouest"/>
    <s v="Oumar Asante"/>
    <x v="51"/>
    <x v="3"/>
    <n v="10"/>
    <n v="55000"/>
    <n v="565729"/>
    <n v="124460"/>
  </r>
  <r>
    <s v="Amara Diallo"/>
    <x v="10"/>
    <s v="Afrique Centrale"/>
    <s v="Emeka Nwosu"/>
    <x v="242"/>
    <x v="1"/>
    <n v="10"/>
    <n v="12500"/>
    <n v="113819"/>
    <n v="9106"/>
  </r>
  <r>
    <s v="Ibrahim Traoré"/>
    <x v="3"/>
    <s v="Afrique Centrale"/>
    <s v="Kwame Diop"/>
    <x v="117"/>
    <x v="3"/>
    <n v="2"/>
    <n v="55000"/>
    <n v="109023"/>
    <n v="23985"/>
  </r>
  <r>
    <s v="Amara Diallo"/>
    <x v="6"/>
    <s v="Afrique de l'Ouest"/>
    <s v="Seydou Abubakar"/>
    <x v="177"/>
    <x v="3"/>
    <n v="3"/>
    <n v="55000"/>
    <n v="149347"/>
    <n v="32856"/>
  </r>
  <r>
    <s v="Aïcha Kouyaté"/>
    <x v="10"/>
    <s v="Afrique Centrale"/>
    <s v="Ngozi Keïta"/>
    <x v="8"/>
    <x v="3"/>
    <n v="1"/>
    <n v="55000"/>
    <n v="51275"/>
    <n v="11280"/>
  </r>
  <r>
    <s v="Aïcha Kouyaté"/>
    <x v="1"/>
    <s v="Afrique de l'Ouest"/>
    <s v="Oumar Dembélé"/>
    <x v="249"/>
    <x v="1"/>
    <n v="10"/>
    <n v="12500"/>
    <n v="113205"/>
    <n v="9056"/>
  </r>
  <r>
    <s v="Fatima Ndiaye"/>
    <x v="14"/>
    <s v="Afrique de l'Ouest"/>
    <s v="Oumar Abubakar"/>
    <x v="214"/>
    <x v="0"/>
    <n v="6"/>
    <n v="18500"/>
    <n v="106213"/>
    <n v="12746"/>
  </r>
  <r>
    <s v="Amara Diallo"/>
    <x v="4"/>
    <s v="Afrique de l'Est"/>
    <s v="Chioma Kamara"/>
    <x v="150"/>
    <x v="1"/>
    <n v="7"/>
    <n v="12500"/>
    <n v="88067"/>
    <n v="7045"/>
  </r>
  <r>
    <s v="Fatima Ndiaye"/>
    <x v="12"/>
    <s v="Afrique de l'Est"/>
    <s v="Adama Asante"/>
    <x v="14"/>
    <x v="4"/>
    <n v="1"/>
    <n v="15000"/>
    <n v="15486"/>
    <n v="1549"/>
  </r>
  <r>
    <s v="Aïcha Kouyaté"/>
    <x v="0"/>
    <s v="Afrique de l'Ouest"/>
    <s v="Zainab Abubakar"/>
    <x v="116"/>
    <x v="1"/>
    <n v="6"/>
    <n v="12500"/>
    <n v="79472"/>
    <n v="6358"/>
  </r>
  <r>
    <s v="Kofi Mensah"/>
    <x v="14"/>
    <s v="Afrique de l'Ouest"/>
    <s v="Ngozi Abubakar"/>
    <x v="210"/>
    <x v="1"/>
    <n v="5"/>
    <n v="12500"/>
    <n v="57806"/>
    <n v="4624"/>
  </r>
  <r>
    <s v="Ibrahim Traoré"/>
    <x v="6"/>
    <s v="Afrique de l'Ouest"/>
    <s v="Mariama Coulibaly"/>
    <x v="186"/>
    <x v="3"/>
    <n v="4"/>
    <n v="55000"/>
    <n v="238868"/>
    <n v="52551"/>
  </r>
  <r>
    <s v="Ibrahim Traoré"/>
    <x v="13"/>
    <s v="Afrique de l'Ouest"/>
    <s v="Aminata Okonkwo"/>
    <x v="187"/>
    <x v="3"/>
    <n v="7"/>
    <n v="55000"/>
    <n v="361859"/>
    <n v="79609"/>
  </r>
  <r>
    <s v="Amara Diallo"/>
    <x v="4"/>
    <s v="Afrique de l'Est"/>
    <s v="Kwame Touré"/>
    <x v="204"/>
    <x v="3"/>
    <n v="7"/>
    <n v="55000"/>
    <n v="356758"/>
    <n v="78487"/>
  </r>
  <r>
    <s v="Amara Diallo"/>
    <x v="3"/>
    <s v="Afrique Centrale"/>
    <s v="Zainab Touré"/>
    <x v="348"/>
    <x v="2"/>
    <n v="9"/>
    <n v="45000"/>
    <n v="400449"/>
    <n v="72081"/>
  </r>
  <r>
    <s v="Aïcha Kouyaté"/>
    <x v="2"/>
    <s v="Afrique de l'Ouest"/>
    <s v="Awa Kamara"/>
    <x v="191"/>
    <x v="3"/>
    <n v="7"/>
    <n v="55000"/>
    <n v="363486"/>
    <n v="79967"/>
  </r>
  <r>
    <s v="Aïcha Kouyaté"/>
    <x v="4"/>
    <s v="Afrique de l'Est"/>
    <s v="Seydou Abubakar"/>
    <x v="255"/>
    <x v="1"/>
    <n v="6"/>
    <n v="12500"/>
    <n v="74684"/>
    <n v="5975"/>
  </r>
  <r>
    <s v="Ibrahim Traoré"/>
    <x v="11"/>
    <s v="Afrique de l'Ouest"/>
    <s v="Seydou Okonkwo"/>
    <x v="173"/>
    <x v="0"/>
    <n v="4"/>
    <n v="18500"/>
    <n v="67077"/>
    <n v="8049"/>
  </r>
  <r>
    <s v="Fatima Ndiaye"/>
    <x v="3"/>
    <s v="Afrique Centrale"/>
    <s v="Adama Cissé"/>
    <x v="68"/>
    <x v="1"/>
    <n v="8"/>
    <n v="12500"/>
    <n v="95765"/>
    <n v="7661"/>
  </r>
  <r>
    <s v="Aïcha Kouyaté"/>
    <x v="7"/>
    <s v="Afrique Centrale"/>
    <s v="Chioma Diop"/>
    <x v="180"/>
    <x v="1"/>
    <n v="2"/>
    <n v="12500"/>
    <n v="25393"/>
    <n v="2031"/>
  </r>
  <r>
    <s v="Aïcha Kouyaté"/>
    <x v="7"/>
    <s v="Afrique Centrale"/>
    <s v="Aminata Keïta"/>
    <x v="32"/>
    <x v="4"/>
    <n v="1"/>
    <n v="15000"/>
    <n v="14692"/>
    <n v="1469"/>
  </r>
  <r>
    <s v="Kofi Mensah"/>
    <x v="3"/>
    <s v="Afrique Centrale"/>
    <s v="Oumar Coulibaly"/>
    <x v="270"/>
    <x v="1"/>
    <n v="10"/>
    <n v="12500"/>
    <n v="132627"/>
    <n v="10610"/>
  </r>
  <r>
    <s v="Ibrahim Traoré"/>
    <x v="5"/>
    <s v="Afrique de l'Est"/>
    <s v="Yaw Asante"/>
    <x v="274"/>
    <x v="2"/>
    <n v="1"/>
    <n v="45000"/>
    <n v="48808"/>
    <n v="8785"/>
  </r>
  <r>
    <s v="Amara Diallo"/>
    <x v="9"/>
    <s v="Afrique de l'Ouest"/>
    <s v="Chidi Bah"/>
    <x v="123"/>
    <x v="4"/>
    <n v="7"/>
    <n v="15000"/>
    <n v="101911"/>
    <n v="10191"/>
  </r>
  <r>
    <s v="Ibrahim Traoré"/>
    <x v="9"/>
    <s v="Afrique de l'Ouest"/>
    <s v="Kwame Dembélé"/>
    <x v="111"/>
    <x v="2"/>
    <n v="1"/>
    <n v="45000"/>
    <n v="49306"/>
    <n v="8875"/>
  </r>
  <r>
    <s v="Ibrahim Traoré"/>
    <x v="2"/>
    <s v="Afrique de l'Ouest"/>
    <s v="Seydou Coulibaly"/>
    <x v="103"/>
    <x v="0"/>
    <n v="7"/>
    <n v="18500"/>
    <n v="121327"/>
    <n v="14559"/>
  </r>
  <r>
    <s v="Fatima Ndiaye"/>
    <x v="6"/>
    <s v="Afrique de l'Ouest"/>
    <s v="Ngozi Sawadogo"/>
    <x v="257"/>
    <x v="3"/>
    <n v="9"/>
    <n v="55000"/>
    <n v="464793"/>
    <n v="102254"/>
  </r>
  <r>
    <s v="Aïcha Kouyaté"/>
    <x v="11"/>
    <s v="Afrique de l'Ouest"/>
    <s v="Seydou Sawadogo"/>
    <x v="187"/>
    <x v="3"/>
    <n v="9"/>
    <n v="55000"/>
    <n v="497719"/>
    <n v="109498"/>
  </r>
  <r>
    <s v="Ibrahim Traoré"/>
    <x v="13"/>
    <s v="Afrique de l'Ouest"/>
    <s v="Emeka Bah"/>
    <x v="254"/>
    <x v="0"/>
    <n v="1"/>
    <n v="18500"/>
    <n v="17858"/>
    <n v="2143"/>
  </r>
  <r>
    <s v="Ibrahim Traoré"/>
    <x v="13"/>
    <s v="Afrique de l'Ouest"/>
    <s v="Yaw Keïta"/>
    <x v="206"/>
    <x v="1"/>
    <n v="6"/>
    <n v="12500"/>
    <n v="68796"/>
    <n v="5504"/>
  </r>
  <r>
    <s v="Kofi Mensah"/>
    <x v="3"/>
    <s v="Afrique Centrale"/>
    <s v="Kadiatou Nwosu"/>
    <x v="263"/>
    <x v="2"/>
    <n v="3"/>
    <n v="45000"/>
    <n v="141458"/>
    <n v="25462"/>
  </r>
  <r>
    <s v="Aïcha Kouyaté"/>
    <x v="12"/>
    <s v="Afrique de l'Est"/>
    <s v="Adama Asante"/>
    <x v="356"/>
    <x v="2"/>
    <n v="4"/>
    <n v="45000"/>
    <n v="172665"/>
    <n v="31080"/>
  </r>
  <r>
    <s v="Kofi Mensah"/>
    <x v="6"/>
    <s v="Afrique de l'Ouest"/>
    <s v="Emeka Abubakar"/>
    <x v="302"/>
    <x v="3"/>
    <n v="10"/>
    <n v="55000"/>
    <n v="576117"/>
    <n v="126746"/>
  </r>
  <r>
    <s v="Ibrahim Traoré"/>
    <x v="4"/>
    <s v="Afrique de l'Est"/>
    <s v="Adama Coulibaly"/>
    <x v="118"/>
    <x v="1"/>
    <n v="6"/>
    <n v="12500"/>
    <n v="72695"/>
    <n v="5816"/>
  </r>
  <r>
    <s v="Ibrahim Traoré"/>
    <x v="11"/>
    <s v="Afrique de l'Ouest"/>
    <s v="Awa Okonkwo"/>
    <x v="354"/>
    <x v="0"/>
    <n v="5"/>
    <n v="18500"/>
    <n v="94417"/>
    <n v="11330"/>
  </r>
  <r>
    <s v="Kofi Mensah"/>
    <x v="11"/>
    <s v="Afrique de l'Ouest"/>
    <s v="Yaw Nwosu"/>
    <x v="153"/>
    <x v="4"/>
    <n v="6"/>
    <n v="15000"/>
    <n v="93166"/>
    <n v="9317"/>
  </r>
  <r>
    <s v="Ibrahim Traoré"/>
    <x v="6"/>
    <s v="Afrique de l'Ouest"/>
    <s v="Emeka Diop"/>
    <x v="172"/>
    <x v="0"/>
    <n v="5"/>
    <n v="18500"/>
    <n v="87069"/>
    <n v="10448"/>
  </r>
  <r>
    <s v="Kofi Mensah"/>
    <x v="12"/>
    <s v="Afrique de l'Est"/>
    <s v="Oumar Dembélé"/>
    <x v="302"/>
    <x v="4"/>
    <n v="7"/>
    <n v="15000"/>
    <n v="101893"/>
    <n v="10189"/>
  </r>
  <r>
    <s v="Amara Diallo"/>
    <x v="11"/>
    <s v="Afrique de l'Ouest"/>
    <s v="Emeka Cissé"/>
    <x v="232"/>
    <x v="3"/>
    <n v="1"/>
    <n v="55000"/>
    <n v="52832"/>
    <n v="11623"/>
  </r>
  <r>
    <s v="Amara Diallo"/>
    <x v="8"/>
    <s v="Afrique de l'Est"/>
    <s v="Awa Asante"/>
    <x v="181"/>
    <x v="4"/>
    <n v="2"/>
    <n v="15000"/>
    <n v="29375"/>
    <n v="2938"/>
  </r>
  <r>
    <s v="Amara Diallo"/>
    <x v="6"/>
    <s v="Afrique de l'Ouest"/>
    <s v="Seydou Abubakar"/>
    <x v="83"/>
    <x v="3"/>
    <n v="2"/>
    <n v="55000"/>
    <n v="109786"/>
    <n v="24153"/>
  </r>
  <r>
    <s v="Kofi Mensah"/>
    <x v="0"/>
    <s v="Afrique de l'Ouest"/>
    <s v="Zainab Abubakar"/>
    <x v="188"/>
    <x v="1"/>
    <n v="2"/>
    <n v="12500"/>
    <n v="25412"/>
    <n v="2033"/>
  </r>
  <r>
    <s v="Kofi Mensah"/>
    <x v="8"/>
    <s v="Afrique de l'Est"/>
    <s v="Mariama Nwosu"/>
    <x v="4"/>
    <x v="4"/>
    <n v="1"/>
    <n v="15000"/>
    <n v="13636"/>
    <n v="1364"/>
  </r>
  <r>
    <s v="Kofi Mensah"/>
    <x v="2"/>
    <s v="Afrique de l'Ouest"/>
    <s v="Kwame Mensah"/>
    <x v="124"/>
    <x v="0"/>
    <n v="2"/>
    <n v="18500"/>
    <n v="36579"/>
    <n v="4389"/>
  </r>
  <r>
    <s v="Aïcha Kouyaté"/>
    <x v="10"/>
    <s v="Afrique Centrale"/>
    <s v="Aminata Okonkwo"/>
    <x v="35"/>
    <x v="2"/>
    <n v="2"/>
    <n v="45000"/>
    <n v="85330"/>
    <n v="15359"/>
  </r>
  <r>
    <s v="Fatima Ndiaye"/>
    <x v="2"/>
    <s v="Afrique de l'Ouest"/>
    <s v="Kwame Nwosu"/>
    <x v="296"/>
    <x v="4"/>
    <n v="3"/>
    <n v="15000"/>
    <n v="42293"/>
    <n v="4229"/>
  </r>
  <r>
    <s v="Aïcha Kouyaté"/>
    <x v="7"/>
    <s v="Afrique Centrale"/>
    <s v="Zainab Okonkwo"/>
    <x v="218"/>
    <x v="3"/>
    <n v="5"/>
    <n v="55000"/>
    <n v="301924"/>
    <n v="66423"/>
  </r>
  <r>
    <s v="Amara Diallo"/>
    <x v="10"/>
    <s v="Afrique Centrale"/>
    <s v="Awa Okonkwo"/>
    <x v="209"/>
    <x v="0"/>
    <n v="1"/>
    <n v="18500"/>
    <n v="17613"/>
    <n v="2114"/>
  </r>
  <r>
    <s v="Amara Diallo"/>
    <x v="12"/>
    <s v="Afrique de l'Est"/>
    <s v="Kwame Okonkwo"/>
    <x v="359"/>
    <x v="1"/>
    <n v="1"/>
    <n v="12500"/>
    <n v="11803"/>
    <n v="944"/>
  </r>
  <r>
    <s v="Amara Diallo"/>
    <x v="5"/>
    <s v="Afrique de l'Est"/>
    <s v="Emeka Sawadogo"/>
    <x v="215"/>
    <x v="2"/>
    <n v="7"/>
    <n v="45000"/>
    <n v="326992"/>
    <n v="58859"/>
  </r>
  <r>
    <s v="Fatima Ndiaye"/>
    <x v="11"/>
    <s v="Afrique de l'Ouest"/>
    <s v="Adama Diop"/>
    <x v="61"/>
    <x v="4"/>
    <n v="2"/>
    <n v="15000"/>
    <n v="28471"/>
    <n v="2847"/>
  </r>
  <r>
    <s v="Amara Diallo"/>
    <x v="5"/>
    <s v="Afrique de l'Est"/>
    <s v="Awa Abubakar"/>
    <x v="332"/>
    <x v="3"/>
    <n v="9"/>
    <n v="55000"/>
    <n v="513520"/>
    <n v="112974"/>
  </r>
  <r>
    <s v="Kofi Mensah"/>
    <x v="12"/>
    <s v="Afrique de l'Est"/>
    <s v="Emeka Cissé"/>
    <x v="219"/>
    <x v="3"/>
    <n v="9"/>
    <n v="55000"/>
    <n v="460246"/>
    <n v="101254"/>
  </r>
  <r>
    <s v="Kofi Mensah"/>
    <x v="13"/>
    <s v="Afrique de l'Ouest"/>
    <s v="Moussa Kamara"/>
    <x v="91"/>
    <x v="4"/>
    <n v="7"/>
    <n v="15000"/>
    <n v="111857"/>
    <n v="11186"/>
  </r>
  <r>
    <s v="Kofi Mensah"/>
    <x v="0"/>
    <s v="Afrique de l'Ouest"/>
    <s v="Emeka Mensah"/>
    <x v="187"/>
    <x v="3"/>
    <n v="7"/>
    <n v="55000"/>
    <n v="364923"/>
    <n v="80283"/>
  </r>
  <r>
    <s v="Fatima Ndiaye"/>
    <x v="1"/>
    <s v="Afrique de l'Ouest"/>
    <s v="Oumar Cissé"/>
    <x v="271"/>
    <x v="3"/>
    <n v="3"/>
    <n v="55000"/>
    <n v="149712"/>
    <n v="32937"/>
  </r>
  <r>
    <s v="Amara Diallo"/>
    <x v="14"/>
    <s v="Afrique de l'Ouest"/>
    <s v="Aminata Kamara"/>
    <x v="147"/>
    <x v="3"/>
    <n v="6"/>
    <n v="55000"/>
    <n v="320571"/>
    <n v="70526"/>
  </r>
  <r>
    <s v="Amara Diallo"/>
    <x v="10"/>
    <s v="Afrique Centrale"/>
    <s v="Zainab Bah"/>
    <x v="21"/>
    <x v="2"/>
    <n v="6"/>
    <n v="45000"/>
    <n v="262527"/>
    <n v="47255"/>
  </r>
  <r>
    <s v="Amara Diallo"/>
    <x v="11"/>
    <s v="Afrique de l'Ouest"/>
    <s v="Ngozi Kamara"/>
    <x v="102"/>
    <x v="4"/>
    <n v="9"/>
    <n v="15000"/>
    <n v="144301"/>
    <n v="14430"/>
  </r>
  <r>
    <s v="Aïcha Kouyaté"/>
    <x v="10"/>
    <s v="Afrique Centrale"/>
    <s v="Moussa Abubakar"/>
    <x v="207"/>
    <x v="4"/>
    <n v="7"/>
    <n v="15000"/>
    <n v="110653"/>
    <n v="11065"/>
  </r>
  <r>
    <s v="Ibrahim Traoré"/>
    <x v="14"/>
    <s v="Afrique de l'Ouest"/>
    <s v="Oumar Dembélé"/>
    <x v="177"/>
    <x v="4"/>
    <n v="5"/>
    <n v="15000"/>
    <n v="78845"/>
    <n v="7884"/>
  </r>
  <r>
    <s v="Kofi Mensah"/>
    <x v="1"/>
    <s v="Afrique de l'Ouest"/>
    <s v="Chidi Kamara"/>
    <x v="65"/>
    <x v="3"/>
    <n v="3"/>
    <n v="55000"/>
    <n v="163220"/>
    <n v="35908"/>
  </r>
  <r>
    <s v="Amara Diallo"/>
    <x v="10"/>
    <s v="Afrique Centrale"/>
    <s v="Seydou Nwosu"/>
    <x v="317"/>
    <x v="2"/>
    <n v="5"/>
    <n v="45000"/>
    <n v="240827"/>
    <n v="43349"/>
  </r>
  <r>
    <s v="Kofi Mensah"/>
    <x v="8"/>
    <s v="Afrique de l'Est"/>
    <s v="Zainab Asante"/>
    <x v="316"/>
    <x v="3"/>
    <n v="8"/>
    <n v="55000"/>
    <n v="404648"/>
    <n v="89023"/>
  </r>
  <r>
    <s v="Aïcha Kouyaté"/>
    <x v="3"/>
    <s v="Afrique Centrale"/>
    <s v="Adama Nwosu"/>
    <x v="324"/>
    <x v="2"/>
    <n v="9"/>
    <n v="45000"/>
    <n v="373355"/>
    <n v="67204"/>
  </r>
  <r>
    <s v="Amara Diallo"/>
    <x v="12"/>
    <s v="Afrique de l'Est"/>
    <s v="Chidi Touré"/>
    <x v="143"/>
    <x v="4"/>
    <n v="7"/>
    <n v="15000"/>
    <n v="108770"/>
    <n v="10877"/>
  </r>
  <r>
    <s v="Aïcha Kouyaté"/>
    <x v="13"/>
    <s v="Afrique de l'Ouest"/>
    <s v="Kwame Touré"/>
    <x v="170"/>
    <x v="2"/>
    <n v="8"/>
    <n v="45000"/>
    <n v="357540"/>
    <n v="64357"/>
  </r>
  <r>
    <s v="Ibrahim Traoré"/>
    <x v="12"/>
    <s v="Afrique de l'Est"/>
    <s v="Moussa Cissé"/>
    <x v="235"/>
    <x v="0"/>
    <n v="10"/>
    <n v="18500"/>
    <n v="168639"/>
    <n v="20237"/>
  </r>
  <r>
    <s v="Amara Diallo"/>
    <x v="7"/>
    <s v="Afrique Centrale"/>
    <s v="Oumar Kamara"/>
    <x v="273"/>
    <x v="4"/>
    <n v="1"/>
    <n v="15000"/>
    <n v="13964"/>
    <n v="1396"/>
  </r>
  <r>
    <s v="Amara Diallo"/>
    <x v="5"/>
    <s v="Afrique de l'Est"/>
    <s v="Adama Mensah"/>
    <x v="112"/>
    <x v="0"/>
    <n v="6"/>
    <n v="18500"/>
    <n v="109933"/>
    <n v="13192"/>
  </r>
  <r>
    <s v="Amara Diallo"/>
    <x v="4"/>
    <s v="Afrique de l'Est"/>
    <s v="Aminata Bah"/>
    <x v="316"/>
    <x v="2"/>
    <n v="7"/>
    <n v="45000"/>
    <n v="291519"/>
    <n v="52473"/>
  </r>
  <r>
    <s v="Amara Diallo"/>
    <x v="3"/>
    <s v="Afrique Centrale"/>
    <s v="Zainab Keïta"/>
    <x v="311"/>
    <x v="1"/>
    <n v="6"/>
    <n v="12500"/>
    <n v="70017"/>
    <n v="5601"/>
  </r>
  <r>
    <s v="Amara Diallo"/>
    <x v="7"/>
    <s v="Afrique Centrale"/>
    <s v="Zainab Keïta"/>
    <x v="111"/>
    <x v="0"/>
    <n v="2"/>
    <n v="18500"/>
    <n v="34887"/>
    <n v="4186"/>
  </r>
  <r>
    <s v="Fatima Ndiaye"/>
    <x v="9"/>
    <s v="Afrique de l'Ouest"/>
    <s v="Adama Dembélé"/>
    <x v="250"/>
    <x v="4"/>
    <n v="2"/>
    <n v="15000"/>
    <n v="29597"/>
    <n v="2960"/>
  </r>
  <r>
    <s v="Ibrahim Traoré"/>
    <x v="1"/>
    <s v="Afrique de l'Ouest"/>
    <s v="Oumar Keïta"/>
    <x v="185"/>
    <x v="1"/>
    <n v="10"/>
    <n v="12500"/>
    <n v="119382"/>
    <n v="9551"/>
  </r>
  <r>
    <s v="Amara Diallo"/>
    <x v="10"/>
    <s v="Afrique Centrale"/>
    <s v="Kadiatou Keïta"/>
    <x v="168"/>
    <x v="1"/>
    <n v="7"/>
    <n v="12500"/>
    <n v="80792"/>
    <n v="6463"/>
  </r>
  <r>
    <s v="Amara Diallo"/>
    <x v="11"/>
    <s v="Afrique de l'Ouest"/>
    <s v="Yaw Cissé"/>
    <x v="360"/>
    <x v="2"/>
    <n v="7"/>
    <n v="45000"/>
    <n v="286889"/>
    <n v="51640"/>
  </r>
  <r>
    <s v="Aïcha Kouyaté"/>
    <x v="5"/>
    <s v="Afrique de l'Est"/>
    <s v="Kadiatou Kamara"/>
    <x v="230"/>
    <x v="0"/>
    <n v="3"/>
    <n v="18500"/>
    <n v="50561"/>
    <n v="6067"/>
  </r>
  <r>
    <s v="Fatima Ndiaye"/>
    <x v="7"/>
    <s v="Afrique Centrale"/>
    <s v="Awa Nwosu"/>
    <x v="142"/>
    <x v="2"/>
    <n v="6"/>
    <n v="45000"/>
    <n v="257027"/>
    <n v="46265"/>
  </r>
  <r>
    <s v="Amara Diallo"/>
    <x v="3"/>
    <s v="Afrique Centrale"/>
    <s v="Kadiatou Bah"/>
    <x v="14"/>
    <x v="2"/>
    <n v="6"/>
    <n v="45000"/>
    <n v="273875"/>
    <n v="49298"/>
  </r>
  <r>
    <s v="Kofi Mensah"/>
    <x v="3"/>
    <s v="Afrique Centrale"/>
    <s v="Adama Okonkwo"/>
    <x v="22"/>
    <x v="1"/>
    <n v="9"/>
    <n v="12500"/>
    <n v="111191"/>
    <n v="8895"/>
  </r>
  <r>
    <s v="Kofi Mensah"/>
    <x v="10"/>
    <s v="Afrique Centrale"/>
    <s v="Seydou Nwosu"/>
    <x v="203"/>
    <x v="1"/>
    <n v="9"/>
    <n v="12500"/>
    <n v="120880"/>
    <n v="9670"/>
  </r>
  <r>
    <s v="Fatima Ndiaye"/>
    <x v="10"/>
    <s v="Afrique Centrale"/>
    <s v="Yaw Cissé"/>
    <x v="15"/>
    <x v="2"/>
    <n v="7"/>
    <n v="45000"/>
    <n v="322913"/>
    <n v="58124"/>
  </r>
  <r>
    <s v="Kofi Mensah"/>
    <x v="5"/>
    <s v="Afrique de l'Est"/>
    <s v="Chioma Ekwueme"/>
    <x v="106"/>
    <x v="2"/>
    <n v="3"/>
    <n v="45000"/>
    <n v="144633"/>
    <n v="26034"/>
  </r>
  <r>
    <s v="Aïcha Kouyaté"/>
    <x v="5"/>
    <s v="Afrique de l'Est"/>
    <s v="Chioma Kamara"/>
    <x v="37"/>
    <x v="1"/>
    <n v="6"/>
    <n v="12500"/>
    <n v="80969"/>
    <n v="6478"/>
  </r>
  <r>
    <s v="Fatima Ndiaye"/>
    <x v="11"/>
    <s v="Afrique de l'Ouest"/>
    <s v="Seydou Mensah"/>
    <x v="299"/>
    <x v="1"/>
    <n v="10"/>
    <n v="12500"/>
    <n v="114041"/>
    <n v="9123"/>
  </r>
  <r>
    <s v="Fatima Ndiaye"/>
    <x v="10"/>
    <s v="Afrique Centrale"/>
    <s v="Kadiatou Keïta"/>
    <x v="292"/>
    <x v="4"/>
    <n v="7"/>
    <n v="15000"/>
    <n v="100602"/>
    <n v="10060"/>
  </r>
  <r>
    <s v="Amara Diallo"/>
    <x v="14"/>
    <s v="Afrique de l'Ouest"/>
    <s v="Mariama Bah"/>
    <x v="262"/>
    <x v="4"/>
    <n v="2"/>
    <n v="15000"/>
    <n v="31306"/>
    <n v="3131"/>
  </r>
  <r>
    <s v="Amara Diallo"/>
    <x v="6"/>
    <s v="Afrique de l'Ouest"/>
    <s v="Emeka Touré"/>
    <x v="108"/>
    <x v="0"/>
    <n v="7"/>
    <n v="18500"/>
    <n v="123061"/>
    <n v="14767"/>
  </r>
  <r>
    <s v="Amara Diallo"/>
    <x v="7"/>
    <s v="Afrique Centrale"/>
    <s v="Emeka Asante"/>
    <x v="247"/>
    <x v="3"/>
    <n v="8"/>
    <n v="55000"/>
    <n v="456928"/>
    <n v="100524"/>
  </r>
  <r>
    <s v="Ibrahim Traoré"/>
    <x v="6"/>
    <s v="Afrique de l'Ouest"/>
    <s v="Chioma Coulibaly"/>
    <x v="86"/>
    <x v="4"/>
    <n v="1"/>
    <n v="15000"/>
    <n v="15053"/>
    <n v="1505"/>
  </r>
  <r>
    <s v="Ibrahim Traoré"/>
    <x v="14"/>
    <s v="Afrique de l'Ouest"/>
    <s v="Zainab Kamara"/>
    <x v="206"/>
    <x v="3"/>
    <n v="3"/>
    <n v="55000"/>
    <n v="152832"/>
    <n v="33623"/>
  </r>
  <r>
    <s v="Amara Diallo"/>
    <x v="4"/>
    <s v="Afrique de l'Est"/>
    <s v="Aminata Nwosu"/>
    <x v="126"/>
    <x v="4"/>
    <n v="10"/>
    <n v="15000"/>
    <n v="145443"/>
    <n v="14544"/>
  </r>
  <r>
    <s v="Ibrahim Traoré"/>
    <x v="1"/>
    <s v="Afrique de l'Ouest"/>
    <s v="Zainab Dembélé"/>
    <x v="74"/>
    <x v="1"/>
    <n v="4"/>
    <n v="12500"/>
    <n v="45340"/>
    <n v="3627"/>
  </r>
  <r>
    <s v="Aïcha Kouyaté"/>
    <x v="13"/>
    <s v="Afrique de l'Ouest"/>
    <s v="Yaw Touré"/>
    <x v="89"/>
    <x v="3"/>
    <n v="9"/>
    <n v="55000"/>
    <n v="497408"/>
    <n v="109430"/>
  </r>
  <r>
    <s v="Aïcha Kouyaté"/>
    <x v="6"/>
    <s v="Afrique de l'Ouest"/>
    <s v="Yaw Keïta"/>
    <x v="252"/>
    <x v="0"/>
    <n v="7"/>
    <n v="18500"/>
    <n v="117509"/>
    <n v="14101"/>
  </r>
  <r>
    <s v="Fatima Ndiaye"/>
    <x v="12"/>
    <s v="Afrique de l'Est"/>
    <s v="Zainab Nwosu"/>
    <x v="340"/>
    <x v="1"/>
    <n v="5"/>
    <n v="12500"/>
    <n v="60092"/>
    <n v="4807"/>
  </r>
  <r>
    <s v="Ibrahim Traoré"/>
    <x v="14"/>
    <s v="Afrique de l'Ouest"/>
    <s v="Chidi Asante"/>
    <x v="44"/>
    <x v="3"/>
    <n v="3"/>
    <n v="55000"/>
    <n v="176715"/>
    <n v="38877"/>
  </r>
  <r>
    <s v="Fatima Ndiaye"/>
    <x v="6"/>
    <s v="Afrique de l'Ouest"/>
    <s v="Seydou Okonkwo"/>
    <x v="15"/>
    <x v="2"/>
    <n v="8"/>
    <n v="45000"/>
    <n v="363588"/>
    <n v="65446"/>
  </r>
  <r>
    <s v="Aïcha Kouyaté"/>
    <x v="12"/>
    <s v="Afrique de l'Est"/>
    <s v="Mariama Dembélé"/>
    <x v="243"/>
    <x v="0"/>
    <n v="7"/>
    <n v="18500"/>
    <n v="138066"/>
    <n v="16568"/>
  </r>
  <r>
    <s v="Fatima Ndiaye"/>
    <x v="2"/>
    <s v="Afrique de l'Ouest"/>
    <s v="Aminata Bah"/>
    <x v="79"/>
    <x v="1"/>
    <n v="7"/>
    <n v="12500"/>
    <n v="84897"/>
    <n v="6792"/>
  </r>
  <r>
    <s v="Aïcha Kouyaté"/>
    <x v="7"/>
    <s v="Afrique Centrale"/>
    <s v="Adama Okonkwo"/>
    <x v="139"/>
    <x v="2"/>
    <n v="8"/>
    <n v="45000"/>
    <n v="331528"/>
    <n v="59675"/>
  </r>
  <r>
    <s v="Amara Diallo"/>
    <x v="13"/>
    <s v="Afrique de l'Ouest"/>
    <s v="Emeka Asante"/>
    <x v="188"/>
    <x v="0"/>
    <n v="5"/>
    <n v="18500"/>
    <n v="97102"/>
    <n v="11652"/>
  </r>
  <r>
    <s v="Kofi Mensah"/>
    <x v="8"/>
    <s v="Afrique de l'Est"/>
    <s v="Chioma Ekwueme"/>
    <x v="62"/>
    <x v="1"/>
    <n v="3"/>
    <n v="12500"/>
    <n v="34520"/>
    <n v="2762"/>
  </r>
  <r>
    <s v="Fatima Ndiaye"/>
    <x v="11"/>
    <s v="Afrique de l'Ouest"/>
    <s v="Adama Nwosu"/>
    <x v="360"/>
    <x v="3"/>
    <n v="9"/>
    <n v="55000"/>
    <n v="478248"/>
    <n v="105215"/>
  </r>
  <r>
    <s v="Aïcha Kouyaté"/>
    <x v="2"/>
    <s v="Afrique de l'Ouest"/>
    <s v="Yaw Bah"/>
    <x v="310"/>
    <x v="0"/>
    <n v="5"/>
    <n v="18500"/>
    <n v="84028"/>
    <n v="10083"/>
  </r>
  <r>
    <s v="Fatima Ndiaye"/>
    <x v="14"/>
    <s v="Afrique de l'Ouest"/>
    <s v="Kadiatou Touré"/>
    <x v="286"/>
    <x v="3"/>
    <n v="10"/>
    <n v="55000"/>
    <n v="578359"/>
    <n v="127239"/>
  </r>
  <r>
    <s v="Fatima Ndiaye"/>
    <x v="1"/>
    <s v="Afrique de l'Ouest"/>
    <s v="Aminata Sawadogo"/>
    <x v="141"/>
    <x v="4"/>
    <n v="1"/>
    <n v="15000"/>
    <n v="15473"/>
    <n v="1547"/>
  </r>
  <r>
    <s v="Kofi Mensah"/>
    <x v="1"/>
    <s v="Afrique de l'Ouest"/>
    <s v="Zainab Asante"/>
    <x v="169"/>
    <x v="2"/>
    <n v="4"/>
    <n v="45000"/>
    <n v="192172"/>
    <n v="34591"/>
  </r>
  <r>
    <s v="Kofi Mensah"/>
    <x v="11"/>
    <s v="Afrique de l'Ouest"/>
    <s v="Chidi Mensah"/>
    <x v="5"/>
    <x v="2"/>
    <n v="2"/>
    <n v="45000"/>
    <n v="95637"/>
    <n v="17215"/>
  </r>
  <r>
    <s v="Amara Diallo"/>
    <x v="9"/>
    <s v="Afrique de l'Ouest"/>
    <s v="Kadiatou Touré"/>
    <x v="98"/>
    <x v="0"/>
    <n v="2"/>
    <n v="18500"/>
    <n v="36137"/>
    <n v="4336"/>
  </r>
  <r>
    <s v="Fatima Ndiaye"/>
    <x v="5"/>
    <s v="Afrique de l'Est"/>
    <s v="Chioma Okonkwo"/>
    <x v="95"/>
    <x v="2"/>
    <n v="9"/>
    <n v="45000"/>
    <n v="397927"/>
    <n v="71627"/>
  </r>
  <r>
    <s v="Ibrahim Traoré"/>
    <x v="13"/>
    <s v="Afrique de l'Ouest"/>
    <s v="Ngozi Sawadogo"/>
    <x v="301"/>
    <x v="3"/>
    <n v="7"/>
    <n v="55000"/>
    <n v="347086"/>
    <n v="76359"/>
  </r>
  <r>
    <s v="Ibrahim Traoré"/>
    <x v="10"/>
    <s v="Afrique Centrale"/>
    <s v="Kwame Abubakar"/>
    <x v="116"/>
    <x v="3"/>
    <n v="3"/>
    <n v="55000"/>
    <n v="164472"/>
    <n v="36184"/>
  </r>
  <r>
    <s v="Fatima Ndiaye"/>
    <x v="6"/>
    <s v="Afrique de l'Ouest"/>
    <s v="Mariama Nwosu"/>
    <x v="22"/>
    <x v="4"/>
    <n v="9"/>
    <n v="15000"/>
    <n v="144290"/>
    <n v="14429"/>
  </r>
  <r>
    <s v="Kofi Mensah"/>
    <x v="4"/>
    <s v="Afrique de l'Est"/>
    <s v="Kadiatou Ekwueme"/>
    <x v="36"/>
    <x v="4"/>
    <n v="8"/>
    <n v="15000"/>
    <n v="108975"/>
    <n v="10898"/>
  </r>
  <r>
    <s v="Fatima Ndiaye"/>
    <x v="4"/>
    <s v="Afrique de l'Est"/>
    <s v="Mariama Dembélé"/>
    <x v="303"/>
    <x v="0"/>
    <n v="10"/>
    <n v="18500"/>
    <n v="194318"/>
    <n v="23318"/>
  </r>
  <r>
    <s v="Fatima Ndiaye"/>
    <x v="10"/>
    <s v="Afrique Centrale"/>
    <s v="Emeka Bah"/>
    <x v="31"/>
    <x v="1"/>
    <n v="7"/>
    <n v="12500"/>
    <n v="85895"/>
    <n v="6872"/>
  </r>
  <r>
    <s v="Kofi Mensah"/>
    <x v="10"/>
    <s v="Afrique Centrale"/>
    <s v="Yaw Ekwueme"/>
    <x v="169"/>
    <x v="0"/>
    <n v="3"/>
    <n v="18500"/>
    <n v="50784"/>
    <n v="6094"/>
  </r>
  <r>
    <s v="Fatima Ndiaye"/>
    <x v="1"/>
    <s v="Afrique de l'Ouest"/>
    <s v="Adama Bah"/>
    <x v="74"/>
    <x v="0"/>
    <n v="4"/>
    <n v="18500"/>
    <n v="75658"/>
    <n v="9079"/>
  </r>
  <r>
    <s v="Ibrahim Traoré"/>
    <x v="7"/>
    <s v="Afrique Centrale"/>
    <s v="Adama Asante"/>
    <x v="312"/>
    <x v="1"/>
    <n v="7"/>
    <n v="12500"/>
    <n v="94290"/>
    <n v="7543"/>
  </r>
  <r>
    <s v="Amara Diallo"/>
    <x v="7"/>
    <s v="Afrique Centrale"/>
    <s v="Kadiatou Cissé"/>
    <x v="147"/>
    <x v="4"/>
    <n v="10"/>
    <n v="15000"/>
    <n v="141720"/>
    <n v="14172"/>
  </r>
  <r>
    <s v="Aïcha Kouyaté"/>
    <x v="2"/>
    <s v="Afrique de l'Ouest"/>
    <s v="Emeka Ekwueme"/>
    <x v="160"/>
    <x v="2"/>
    <n v="4"/>
    <n v="45000"/>
    <n v="169903"/>
    <n v="30583"/>
  </r>
  <r>
    <s v="Amara Diallo"/>
    <x v="11"/>
    <s v="Afrique de l'Ouest"/>
    <s v="Mariama Keïta"/>
    <x v="344"/>
    <x v="3"/>
    <n v="9"/>
    <n v="55000"/>
    <n v="495655"/>
    <n v="109044"/>
  </r>
  <r>
    <s v="Amara Diallo"/>
    <x v="3"/>
    <s v="Afrique Centrale"/>
    <s v="Ngozi Keïta"/>
    <x v="145"/>
    <x v="2"/>
    <n v="8"/>
    <n v="45000"/>
    <n v="386872"/>
    <n v="69637"/>
  </r>
  <r>
    <s v="Amara Diallo"/>
    <x v="9"/>
    <s v="Afrique de l'Ouest"/>
    <s v="Emeka Abubakar"/>
    <x v="264"/>
    <x v="2"/>
    <n v="7"/>
    <n v="45000"/>
    <n v="343076"/>
    <n v="61754"/>
  </r>
  <r>
    <s v="Amara Diallo"/>
    <x v="14"/>
    <s v="Afrique de l'Ouest"/>
    <s v="Adama Bah"/>
    <x v="248"/>
    <x v="1"/>
    <n v="3"/>
    <n v="12500"/>
    <n v="38776"/>
    <n v="3102"/>
  </r>
  <r>
    <s v="Kofi Mensah"/>
    <x v="14"/>
    <s v="Afrique de l'Ouest"/>
    <s v="Kwame Sawadogo"/>
    <x v="12"/>
    <x v="2"/>
    <n v="7"/>
    <n v="45000"/>
    <n v="338447"/>
    <n v="60920"/>
  </r>
  <r>
    <s v="Ibrahim Traoré"/>
    <x v="7"/>
    <s v="Afrique Centrale"/>
    <s v="Ngozi Okonkwo"/>
    <x v="301"/>
    <x v="2"/>
    <n v="6"/>
    <n v="45000"/>
    <n v="264993"/>
    <n v="47699"/>
  </r>
  <r>
    <s v="Aïcha Kouyaté"/>
    <x v="1"/>
    <s v="Afrique de l'Ouest"/>
    <s v="Emeka Keïta"/>
    <x v="133"/>
    <x v="3"/>
    <n v="2"/>
    <n v="55000"/>
    <n v="102670"/>
    <n v="22587"/>
  </r>
  <r>
    <s v="Fatima Ndiaye"/>
    <x v="0"/>
    <s v="Afrique de l'Ouest"/>
    <s v="Chioma Cissé"/>
    <x v="115"/>
    <x v="2"/>
    <n v="10"/>
    <n v="45000"/>
    <n v="433813"/>
    <n v="78086"/>
  </r>
  <r>
    <s v="Aïcha Kouyaté"/>
    <x v="12"/>
    <s v="Afrique de l'Est"/>
    <s v="Awa Bah"/>
    <x v="2"/>
    <x v="3"/>
    <n v="2"/>
    <n v="55000"/>
    <n v="113092"/>
    <n v="24880"/>
  </r>
  <r>
    <s v="Aïcha Kouyaté"/>
    <x v="4"/>
    <s v="Afrique de l'Est"/>
    <s v="Moussa Touré"/>
    <x v="263"/>
    <x v="2"/>
    <n v="6"/>
    <n v="45000"/>
    <n v="289944"/>
    <n v="52190"/>
  </r>
  <r>
    <s v="Aïcha Kouyaté"/>
    <x v="7"/>
    <s v="Afrique Centrale"/>
    <s v="Chioma Coulibaly"/>
    <x v="220"/>
    <x v="0"/>
    <n v="9"/>
    <n v="18500"/>
    <n v="154650"/>
    <n v="18558"/>
  </r>
  <r>
    <s v="Fatima Ndiaye"/>
    <x v="4"/>
    <s v="Afrique de l'Est"/>
    <s v="Kwame Mensah"/>
    <x v="272"/>
    <x v="0"/>
    <n v="4"/>
    <n v="18500"/>
    <n v="74512"/>
    <n v="8941"/>
  </r>
  <r>
    <s v="Aïcha Kouyaté"/>
    <x v="3"/>
    <s v="Afrique Centrale"/>
    <s v="Zainab Dembélé"/>
    <x v="55"/>
    <x v="4"/>
    <n v="8"/>
    <n v="15000"/>
    <n v="112092"/>
    <n v="11209"/>
  </r>
  <r>
    <s v="Ibrahim Traoré"/>
    <x v="10"/>
    <s v="Afrique Centrale"/>
    <s v="Seydou Sawadogo"/>
    <x v="95"/>
    <x v="0"/>
    <n v="5"/>
    <n v="18500"/>
    <n v="93411"/>
    <n v="11209"/>
  </r>
  <r>
    <s v="Aïcha Kouyaté"/>
    <x v="5"/>
    <s v="Afrique de l'Est"/>
    <s v="Kadiatou Bah"/>
    <x v="166"/>
    <x v="1"/>
    <n v="1"/>
    <n v="12500"/>
    <n v="11507"/>
    <n v="921"/>
  </r>
  <r>
    <s v="Kofi Mensah"/>
    <x v="0"/>
    <s v="Afrique de l'Ouest"/>
    <s v="Oumar Dembélé"/>
    <x v="176"/>
    <x v="3"/>
    <n v="5"/>
    <n v="55000"/>
    <n v="264524"/>
    <n v="58195"/>
  </r>
  <r>
    <s v="Amara Diallo"/>
    <x v="1"/>
    <s v="Afrique de l'Ouest"/>
    <s v="Aminata Ekwueme"/>
    <x v="63"/>
    <x v="0"/>
    <n v="9"/>
    <n v="18500"/>
    <n v="176731"/>
    <n v="21208"/>
  </r>
  <r>
    <s v="Amara Diallo"/>
    <x v="5"/>
    <s v="Afrique de l'Est"/>
    <s v="Yaw Nwosu"/>
    <x v="278"/>
    <x v="4"/>
    <n v="8"/>
    <n v="15000"/>
    <n v="123821"/>
    <n v="12382"/>
  </r>
  <r>
    <s v="Fatima Ndiaye"/>
    <x v="13"/>
    <s v="Afrique de l'Ouest"/>
    <s v="Yaw Asante"/>
    <x v="135"/>
    <x v="2"/>
    <n v="9"/>
    <n v="45000"/>
    <n v="437634"/>
    <n v="78774"/>
  </r>
  <r>
    <s v="Ibrahim Traoré"/>
    <x v="13"/>
    <s v="Afrique de l'Ouest"/>
    <s v="Chioma Nwosu"/>
    <x v="99"/>
    <x v="0"/>
    <n v="10"/>
    <n v="18500"/>
    <n v="201200"/>
    <n v="24144"/>
  </r>
  <r>
    <s v="Ibrahim Traoré"/>
    <x v="7"/>
    <s v="Afrique Centrale"/>
    <s v="Oumar Sawadogo"/>
    <x v="274"/>
    <x v="2"/>
    <n v="1"/>
    <n v="45000"/>
    <n v="47472"/>
    <n v="8545"/>
  </r>
  <r>
    <s v="Fatima Ndiaye"/>
    <x v="12"/>
    <s v="Afrique de l'Est"/>
    <s v="Kadiatou Asante"/>
    <x v="199"/>
    <x v="0"/>
    <n v="6"/>
    <n v="18500"/>
    <n v="109066"/>
    <n v="13088"/>
  </r>
  <r>
    <s v="Amara Diallo"/>
    <x v="8"/>
    <s v="Afrique de l'Est"/>
    <s v="Ngozi Touré"/>
    <x v="216"/>
    <x v="2"/>
    <n v="6"/>
    <n v="45000"/>
    <n v="267118"/>
    <n v="48081"/>
  </r>
  <r>
    <s v="Amara Diallo"/>
    <x v="13"/>
    <s v="Afrique de l'Ouest"/>
    <s v="Kwame Touré"/>
    <x v="8"/>
    <x v="1"/>
    <n v="6"/>
    <n v="12500"/>
    <n v="77295"/>
    <n v="6184"/>
  </r>
  <r>
    <s v="Amara Diallo"/>
    <x v="12"/>
    <s v="Afrique de l'Est"/>
    <s v="Chidi Ekwueme"/>
    <x v="173"/>
    <x v="2"/>
    <n v="2"/>
    <n v="45000"/>
    <n v="82284"/>
    <n v="14811"/>
  </r>
  <r>
    <s v="Fatima Ndiaye"/>
    <x v="2"/>
    <s v="Afrique de l'Ouest"/>
    <s v="Seydou Mensah"/>
    <x v="300"/>
    <x v="2"/>
    <n v="1"/>
    <n v="45000"/>
    <n v="40737"/>
    <n v="7333"/>
  </r>
  <r>
    <s v="Ibrahim Traoré"/>
    <x v="4"/>
    <s v="Afrique de l'Est"/>
    <s v="Chidi Sawadogo"/>
    <x v="134"/>
    <x v="3"/>
    <n v="3"/>
    <n v="55000"/>
    <n v="162441"/>
    <n v="35737"/>
  </r>
  <r>
    <s v="Aïcha Kouyaté"/>
    <x v="5"/>
    <s v="Afrique de l'Est"/>
    <s v="Moussa Mensah"/>
    <x v="353"/>
    <x v="0"/>
    <n v="7"/>
    <n v="18500"/>
    <n v="136901"/>
    <n v="16428"/>
  </r>
  <r>
    <s v="Fatima Ndiaye"/>
    <x v="12"/>
    <s v="Afrique de l'Est"/>
    <s v="Seydou Nwosu"/>
    <x v="178"/>
    <x v="1"/>
    <n v="7"/>
    <n v="12500"/>
    <n v="87860"/>
    <n v="7029"/>
  </r>
  <r>
    <s v="Amara Diallo"/>
    <x v="4"/>
    <s v="Afrique de l'Est"/>
    <s v="Seydou Coulibaly"/>
    <x v="110"/>
    <x v="3"/>
    <n v="3"/>
    <n v="55000"/>
    <n v="173876"/>
    <n v="38253"/>
  </r>
  <r>
    <s v="Ibrahim Traoré"/>
    <x v="3"/>
    <s v="Afrique Centrale"/>
    <s v="Emeka Nwosu"/>
    <x v="293"/>
    <x v="4"/>
    <n v="1"/>
    <n v="15000"/>
    <n v="16337"/>
    <n v="1634"/>
  </r>
  <r>
    <s v="Kofi Mensah"/>
    <x v="14"/>
    <s v="Afrique de l'Ouest"/>
    <s v="Seydou Diop"/>
    <x v="163"/>
    <x v="0"/>
    <n v="5"/>
    <n v="18500"/>
    <n v="89463"/>
    <n v="10736"/>
  </r>
  <r>
    <s v="Ibrahim Traoré"/>
    <x v="6"/>
    <s v="Afrique de l'Ouest"/>
    <s v="Ngozi Abubakar"/>
    <x v="341"/>
    <x v="3"/>
    <n v="7"/>
    <n v="55000"/>
    <n v="412489"/>
    <n v="90748"/>
  </r>
  <r>
    <s v="Aïcha Kouyaté"/>
    <x v="12"/>
    <s v="Afrique de l'Est"/>
    <s v="Emeka Sawadogo"/>
    <x v="299"/>
    <x v="3"/>
    <n v="4"/>
    <n v="55000"/>
    <n v="198940"/>
    <n v="43767"/>
  </r>
  <r>
    <s v="Amara Diallo"/>
    <x v="11"/>
    <s v="Afrique de l'Ouest"/>
    <s v="Oumar Diop"/>
    <x v="140"/>
    <x v="2"/>
    <n v="7"/>
    <n v="45000"/>
    <n v="334124"/>
    <n v="60142"/>
  </r>
  <r>
    <s v="Ibrahim Traoré"/>
    <x v="1"/>
    <s v="Afrique de l'Ouest"/>
    <s v="Emeka Bah"/>
    <x v="71"/>
    <x v="4"/>
    <n v="4"/>
    <n v="15000"/>
    <n v="60213"/>
    <n v="6021"/>
  </r>
  <r>
    <s v="Aïcha Kouyaté"/>
    <x v="7"/>
    <s v="Afrique Centrale"/>
    <s v="Kadiatou Nwosu"/>
    <x v="107"/>
    <x v="3"/>
    <n v="10"/>
    <n v="55000"/>
    <n v="594000"/>
    <n v="130680"/>
  </r>
  <r>
    <s v="Amara Diallo"/>
    <x v="13"/>
    <s v="Afrique de l'Ouest"/>
    <s v="Chidi Kamara"/>
    <x v="2"/>
    <x v="0"/>
    <n v="5"/>
    <n v="18500"/>
    <n v="95533"/>
    <n v="11464"/>
  </r>
  <r>
    <s v="Fatima Ndiaye"/>
    <x v="10"/>
    <s v="Afrique Centrale"/>
    <s v="Mariama Kamara"/>
    <x v="173"/>
    <x v="0"/>
    <n v="2"/>
    <n v="18500"/>
    <n v="34410"/>
    <n v="4129"/>
  </r>
  <r>
    <s v="Kofi Mensah"/>
    <x v="6"/>
    <s v="Afrique de l'Ouest"/>
    <s v="Emeka Diop"/>
    <x v="23"/>
    <x v="1"/>
    <n v="3"/>
    <n v="12500"/>
    <n v="36791"/>
    <n v="2943"/>
  </r>
  <r>
    <s v="Amara Diallo"/>
    <x v="7"/>
    <s v="Afrique Centrale"/>
    <s v="Ngozi Kamara"/>
    <x v="133"/>
    <x v="4"/>
    <n v="6"/>
    <n v="15000"/>
    <n v="97177"/>
    <n v="9718"/>
  </r>
  <r>
    <s v="Aïcha Kouyaté"/>
    <x v="1"/>
    <s v="Afrique de l'Ouest"/>
    <s v="Aminata Touré"/>
    <x v="331"/>
    <x v="4"/>
    <n v="2"/>
    <n v="15000"/>
    <n v="30397"/>
    <n v="3040"/>
  </r>
  <r>
    <s v="Ibrahim Traoré"/>
    <x v="10"/>
    <s v="Afrique Centrale"/>
    <s v="Aminata Touré"/>
    <x v="71"/>
    <x v="3"/>
    <n v="9"/>
    <n v="55000"/>
    <n v="534613"/>
    <n v="117615"/>
  </r>
  <r>
    <s v="Amara Diallo"/>
    <x v="8"/>
    <s v="Afrique de l'Est"/>
    <s v="Seydou Touré"/>
    <x v="106"/>
    <x v="0"/>
    <n v="1"/>
    <n v="18500"/>
    <n v="18819"/>
    <n v="2258"/>
  </r>
  <r>
    <s v="Kofi Mensah"/>
    <x v="1"/>
    <s v="Afrique de l'Ouest"/>
    <s v="Chioma Touré"/>
    <x v="214"/>
    <x v="3"/>
    <n v="8"/>
    <n v="55000"/>
    <n v="437691"/>
    <n v="96292"/>
  </r>
  <r>
    <s v="Amara Diallo"/>
    <x v="0"/>
    <s v="Afrique de l'Ouest"/>
    <s v="Chioma Bah"/>
    <x v="133"/>
    <x v="2"/>
    <n v="2"/>
    <n v="45000"/>
    <n v="89572"/>
    <n v="16123"/>
  </r>
  <r>
    <s v="Kofi Mensah"/>
    <x v="12"/>
    <s v="Afrique de l'Est"/>
    <s v="Aminata Abubakar"/>
    <x v="237"/>
    <x v="1"/>
    <n v="2"/>
    <n v="12500"/>
    <n v="24368"/>
    <n v="1949"/>
  </r>
  <r>
    <s v="Amara Diallo"/>
    <x v="6"/>
    <s v="Afrique de l'Ouest"/>
    <s v="Kwame Mensah"/>
    <x v="55"/>
    <x v="3"/>
    <n v="9"/>
    <n v="55000"/>
    <n v="540514"/>
    <n v="118913"/>
  </r>
  <r>
    <s v="Fatima Ndiaye"/>
    <x v="11"/>
    <s v="Afrique de l'Ouest"/>
    <s v="Zainab Cissé"/>
    <x v="207"/>
    <x v="1"/>
    <n v="1"/>
    <n v="12500"/>
    <n v="13688"/>
    <n v="1095"/>
  </r>
  <r>
    <s v="Ibrahim Traoré"/>
    <x v="2"/>
    <s v="Afrique de l'Ouest"/>
    <s v="Yaw Sawadogo"/>
    <x v="15"/>
    <x v="2"/>
    <n v="10"/>
    <n v="45000"/>
    <n v="439234"/>
    <n v="79062"/>
  </r>
  <r>
    <s v="Aïcha Kouyaté"/>
    <x v="13"/>
    <s v="Afrique de l'Ouest"/>
    <s v="Oumar Dembélé"/>
    <x v="42"/>
    <x v="2"/>
    <n v="2"/>
    <n v="45000"/>
    <n v="87439"/>
    <n v="15739"/>
  </r>
  <r>
    <s v="Amara Diallo"/>
    <x v="9"/>
    <s v="Afrique de l'Ouest"/>
    <s v="Yaw Bah"/>
    <x v="146"/>
    <x v="3"/>
    <n v="9"/>
    <n v="55000"/>
    <n v="522827"/>
    <n v="115022"/>
  </r>
  <r>
    <s v="Amara Diallo"/>
    <x v="8"/>
    <s v="Afrique de l'Est"/>
    <s v="Kwame Sawadogo"/>
    <x v="4"/>
    <x v="2"/>
    <n v="3"/>
    <n v="45000"/>
    <n v="124353"/>
    <n v="22384"/>
  </r>
  <r>
    <s v="Kofi Mensah"/>
    <x v="3"/>
    <s v="Afrique Centrale"/>
    <s v="Chidi Okonkwo"/>
    <x v="235"/>
    <x v="2"/>
    <n v="5"/>
    <n v="45000"/>
    <n v="218887"/>
    <n v="39400"/>
  </r>
  <r>
    <s v="Aïcha Kouyaté"/>
    <x v="9"/>
    <s v="Afrique de l'Ouest"/>
    <s v="Chidi Dembélé"/>
    <x v="324"/>
    <x v="3"/>
    <n v="10"/>
    <n v="55000"/>
    <n v="538934"/>
    <n v="118565"/>
  </r>
  <r>
    <s v="Fatima Ndiaye"/>
    <x v="3"/>
    <s v="Afrique Centrale"/>
    <s v="Mariama Touré"/>
    <x v="220"/>
    <x v="4"/>
    <n v="7"/>
    <n v="15000"/>
    <n v="95919"/>
    <n v="9592"/>
  </r>
  <r>
    <s v="Fatima Ndiaye"/>
    <x v="8"/>
    <s v="Afrique de l'Est"/>
    <s v="Awa Ekwueme"/>
    <x v="96"/>
    <x v="4"/>
    <n v="3"/>
    <n v="15000"/>
    <n v="41949"/>
    <n v="4195"/>
  </r>
  <r>
    <s v="Kofi Mensah"/>
    <x v="3"/>
    <s v="Afrique Centrale"/>
    <s v="Awa Okonkwo"/>
    <x v="316"/>
    <x v="3"/>
    <n v="2"/>
    <n v="55000"/>
    <n v="102165"/>
    <n v="22476"/>
  </r>
  <r>
    <s v="Fatima Ndiaye"/>
    <x v="7"/>
    <s v="Afrique Centrale"/>
    <s v="Aminata Nwosu"/>
    <x v="35"/>
    <x v="0"/>
    <n v="1"/>
    <n v="18500"/>
    <n v="17567"/>
    <n v="2108"/>
  </r>
  <r>
    <s v="Fatima Ndiaye"/>
    <x v="3"/>
    <s v="Afrique Centrale"/>
    <s v="Kadiatou Ekwueme"/>
    <x v="342"/>
    <x v="4"/>
    <n v="6"/>
    <n v="15000"/>
    <n v="88170"/>
    <n v="8817"/>
  </r>
  <r>
    <s v="Ibrahim Traoré"/>
    <x v="6"/>
    <s v="Afrique de l'Ouest"/>
    <s v="Aminata Bah"/>
    <x v="53"/>
    <x v="1"/>
    <n v="6"/>
    <n v="12500"/>
    <n v="76308"/>
    <n v="6105"/>
  </r>
  <r>
    <s v="Ibrahim Traoré"/>
    <x v="12"/>
    <s v="Afrique de l'Est"/>
    <s v="Kwame Abubakar"/>
    <x v="350"/>
    <x v="3"/>
    <n v="3"/>
    <n v="55000"/>
    <n v="174565"/>
    <n v="38404"/>
  </r>
  <r>
    <s v="Kofi Mensah"/>
    <x v="11"/>
    <s v="Afrique de l'Ouest"/>
    <s v="Kadiatou Nwosu"/>
    <x v="103"/>
    <x v="1"/>
    <n v="10"/>
    <n v="12500"/>
    <n v="137096"/>
    <n v="10968"/>
  </r>
  <r>
    <s v="Amara Diallo"/>
    <x v="10"/>
    <s v="Afrique Centrale"/>
    <s v="Ngozi Diop"/>
    <x v="4"/>
    <x v="4"/>
    <n v="5"/>
    <n v="15000"/>
    <n v="80023"/>
    <n v="8002"/>
  </r>
  <r>
    <s v="Kofi Mensah"/>
    <x v="2"/>
    <s v="Afrique de l'Ouest"/>
    <s v="Emeka Diop"/>
    <x v="16"/>
    <x v="2"/>
    <n v="1"/>
    <n v="45000"/>
    <n v="42421"/>
    <n v="7636"/>
  </r>
  <r>
    <s v="Aïcha Kouyaté"/>
    <x v="4"/>
    <s v="Afrique de l'Est"/>
    <s v="Yaw Ekwueme"/>
    <x v="174"/>
    <x v="1"/>
    <n v="2"/>
    <n v="12500"/>
    <n v="25694"/>
    <n v="2056"/>
  </r>
  <r>
    <s v="Amara Diallo"/>
    <x v="12"/>
    <s v="Afrique de l'Est"/>
    <s v="Awa Diop"/>
    <x v="98"/>
    <x v="1"/>
    <n v="6"/>
    <n v="12500"/>
    <n v="79003"/>
    <n v="6320"/>
  </r>
  <r>
    <s v="Aïcha Kouyaté"/>
    <x v="10"/>
    <s v="Afrique Centrale"/>
    <s v="Awa Mensah"/>
    <x v="210"/>
    <x v="2"/>
    <n v="6"/>
    <n v="45000"/>
    <n v="261642"/>
    <n v="47096"/>
  </r>
  <r>
    <s v="Kofi Mensah"/>
    <x v="6"/>
    <s v="Afrique de l'Ouest"/>
    <s v="Aminata Dembélé"/>
    <x v="43"/>
    <x v="2"/>
    <n v="8"/>
    <n v="45000"/>
    <n v="372824"/>
    <n v="67108"/>
  </r>
  <r>
    <s v="Ibrahim Traoré"/>
    <x v="6"/>
    <s v="Afrique de l'Ouest"/>
    <s v="Zainab Okonkwo"/>
    <x v="206"/>
    <x v="0"/>
    <n v="3"/>
    <n v="18500"/>
    <n v="50348"/>
    <n v="6042"/>
  </r>
  <r>
    <s v="Aïcha Kouyaté"/>
    <x v="2"/>
    <s v="Afrique de l'Ouest"/>
    <s v="Adama Touré"/>
    <x v="180"/>
    <x v="3"/>
    <n v="5"/>
    <n v="55000"/>
    <n v="267838"/>
    <n v="58924"/>
  </r>
  <r>
    <s v="Ibrahim Traoré"/>
    <x v="5"/>
    <s v="Afrique de l'Est"/>
    <s v="Awa Okonkwo"/>
    <x v="225"/>
    <x v="1"/>
    <n v="7"/>
    <n v="12500"/>
    <n v="82158"/>
    <n v="6573"/>
  </r>
  <r>
    <s v="Ibrahim Traoré"/>
    <x v="9"/>
    <s v="Afrique de l'Ouest"/>
    <s v="Chidi Bah"/>
    <x v="139"/>
    <x v="0"/>
    <n v="3"/>
    <n v="18500"/>
    <n v="60965"/>
    <n v="7316"/>
  </r>
  <r>
    <s v="Fatima Ndiaye"/>
    <x v="6"/>
    <s v="Afrique de l'Ouest"/>
    <s v="Aminata Diop"/>
    <x v="296"/>
    <x v="0"/>
    <n v="5"/>
    <n v="18500"/>
    <n v="93575"/>
    <n v="11229"/>
  </r>
  <r>
    <s v="Kofi Mensah"/>
    <x v="10"/>
    <s v="Afrique Centrale"/>
    <s v="Ngozi Sawadogo"/>
    <x v="96"/>
    <x v="2"/>
    <n v="5"/>
    <n v="45000"/>
    <n v="238179"/>
    <n v="42872"/>
  </r>
  <r>
    <s v="Fatima Ndiaye"/>
    <x v="12"/>
    <s v="Afrique de l'Est"/>
    <s v="Oumar Asante"/>
    <x v="86"/>
    <x v="1"/>
    <n v="8"/>
    <n v="12500"/>
    <n v="103093"/>
    <n v="8247"/>
  </r>
  <r>
    <s v="Amara Diallo"/>
    <x v="12"/>
    <s v="Afrique de l'Est"/>
    <s v="Adama Coulibaly"/>
    <x v="233"/>
    <x v="3"/>
    <n v="3"/>
    <n v="55000"/>
    <n v="174444"/>
    <n v="38378"/>
  </r>
  <r>
    <s v="Kofi Mensah"/>
    <x v="11"/>
    <s v="Afrique de l'Ouest"/>
    <s v="Kadiatou Touré"/>
    <x v="175"/>
    <x v="3"/>
    <n v="5"/>
    <n v="55000"/>
    <n v="276138"/>
    <n v="60750"/>
  </r>
  <r>
    <s v="Ibrahim Traoré"/>
    <x v="13"/>
    <s v="Afrique de l'Ouest"/>
    <s v="Zainab Abubakar"/>
    <x v="231"/>
    <x v="3"/>
    <n v="2"/>
    <n v="55000"/>
    <n v="113250"/>
    <n v="24915"/>
  </r>
  <r>
    <s v="Aïcha Kouyaté"/>
    <x v="14"/>
    <s v="Afrique de l'Ouest"/>
    <s v="Mariama Nwosu"/>
    <x v="317"/>
    <x v="1"/>
    <n v="5"/>
    <n v="12500"/>
    <n v="59867"/>
    <n v="4789"/>
  </r>
  <r>
    <s v="Amara Diallo"/>
    <x v="11"/>
    <s v="Afrique de l'Ouest"/>
    <s v="Chidi Kamara"/>
    <x v="297"/>
    <x v="4"/>
    <n v="3"/>
    <n v="15000"/>
    <n v="44906"/>
    <n v="4491"/>
  </r>
  <r>
    <s v="Fatima Ndiaye"/>
    <x v="12"/>
    <s v="Afrique de l'Est"/>
    <s v="Ngozi Bah"/>
    <x v="205"/>
    <x v="2"/>
    <n v="6"/>
    <n v="45000"/>
    <n v="256293"/>
    <n v="46133"/>
  </r>
  <r>
    <s v="Fatima Ndiaye"/>
    <x v="8"/>
    <s v="Afrique de l'Est"/>
    <s v="Adama Mensah"/>
    <x v="317"/>
    <x v="3"/>
    <n v="10"/>
    <n v="55000"/>
    <n v="576677"/>
    <n v="126869"/>
  </r>
  <r>
    <s v="Ibrahim Traoré"/>
    <x v="7"/>
    <s v="Afrique Centrale"/>
    <s v="Chidi Coulibaly"/>
    <x v="221"/>
    <x v="3"/>
    <n v="1"/>
    <n v="55000"/>
    <n v="50566"/>
    <n v="11125"/>
  </r>
  <r>
    <s v="Aïcha Kouyaté"/>
    <x v="10"/>
    <s v="Afrique Centrale"/>
    <s v="Moussa Sawadogo"/>
    <x v="145"/>
    <x v="2"/>
    <n v="4"/>
    <n v="45000"/>
    <n v="184966"/>
    <n v="33294"/>
  </r>
  <r>
    <s v="Amara Diallo"/>
    <x v="9"/>
    <s v="Afrique de l'Ouest"/>
    <s v="Chioma Bah"/>
    <x v="308"/>
    <x v="2"/>
    <n v="1"/>
    <n v="45000"/>
    <n v="46596"/>
    <n v="8387"/>
  </r>
  <r>
    <s v="Kofi Mensah"/>
    <x v="2"/>
    <s v="Afrique de l'Ouest"/>
    <s v="Awa Cissé"/>
    <x v="284"/>
    <x v="2"/>
    <n v="2"/>
    <n v="45000"/>
    <n v="87401"/>
    <n v="15732"/>
  </r>
  <r>
    <s v="Amara Diallo"/>
    <x v="7"/>
    <s v="Afrique Centrale"/>
    <s v="Adama Bah"/>
    <x v="163"/>
    <x v="3"/>
    <n v="7"/>
    <n v="55000"/>
    <n v="373490"/>
    <n v="82168"/>
  </r>
  <r>
    <s v="Kofi Mensah"/>
    <x v="5"/>
    <s v="Afrique de l'Est"/>
    <s v="Adama Bah"/>
    <x v="46"/>
    <x v="1"/>
    <n v="3"/>
    <n v="12500"/>
    <n v="40580"/>
    <n v="3246"/>
  </r>
  <r>
    <s v="Fatima Ndiaye"/>
    <x v="6"/>
    <s v="Afrique de l'Ouest"/>
    <s v="Mariama Nwosu"/>
    <x v="97"/>
    <x v="4"/>
    <n v="4"/>
    <n v="15000"/>
    <n v="54086"/>
    <n v="5409"/>
  </r>
  <r>
    <s v="Amara Diallo"/>
    <x v="10"/>
    <s v="Afrique Centrale"/>
    <s v="Zainab Dembélé"/>
    <x v="139"/>
    <x v="3"/>
    <n v="10"/>
    <n v="55000"/>
    <n v="518445"/>
    <n v="114058"/>
  </r>
  <r>
    <s v="Kofi Mensah"/>
    <x v="10"/>
    <s v="Afrique Centrale"/>
    <s v="Emeka Ekwueme"/>
    <x v="359"/>
    <x v="0"/>
    <n v="2"/>
    <n v="18500"/>
    <n v="36511"/>
    <n v="4381"/>
  </r>
  <r>
    <s v="Ibrahim Traoré"/>
    <x v="13"/>
    <s v="Afrique de l'Ouest"/>
    <s v="Emeka Cissé"/>
    <x v="69"/>
    <x v="3"/>
    <n v="3"/>
    <n v="55000"/>
    <n v="164732"/>
    <n v="36241"/>
  </r>
  <r>
    <s v="Ibrahim Traoré"/>
    <x v="9"/>
    <s v="Afrique de l'Ouest"/>
    <s v="Awa Cissé"/>
    <x v="155"/>
    <x v="3"/>
    <n v="3"/>
    <n v="55000"/>
    <n v="154321"/>
    <n v="33951"/>
  </r>
  <r>
    <s v="Aïcha Kouyaté"/>
    <x v="4"/>
    <s v="Afrique de l'Est"/>
    <s v="Oumar Dembélé"/>
    <x v="163"/>
    <x v="3"/>
    <n v="10"/>
    <n v="55000"/>
    <n v="588258"/>
    <n v="129417"/>
  </r>
  <r>
    <s v="Kofi Mensah"/>
    <x v="3"/>
    <s v="Afrique Centrale"/>
    <s v="Yaw Okonkwo"/>
    <x v="34"/>
    <x v="2"/>
    <n v="6"/>
    <n v="45000"/>
    <n v="280465"/>
    <n v="50484"/>
  </r>
  <r>
    <s v="Aïcha Kouyaté"/>
    <x v="6"/>
    <s v="Afrique de l'Ouest"/>
    <s v="Chioma Diop"/>
    <x v="278"/>
    <x v="3"/>
    <n v="6"/>
    <n v="55000"/>
    <n v="343221"/>
    <n v="75509"/>
  </r>
  <r>
    <s v="Kofi Mensah"/>
    <x v="9"/>
    <s v="Afrique de l'Ouest"/>
    <s v="Kwame Keïta"/>
    <x v="214"/>
    <x v="0"/>
    <n v="3"/>
    <n v="18500"/>
    <n v="53442"/>
    <n v="6413"/>
  </r>
  <r>
    <s v="Kofi Mensah"/>
    <x v="5"/>
    <s v="Afrique de l'Est"/>
    <s v="Seydou Ekwueme"/>
    <x v="134"/>
    <x v="2"/>
    <n v="7"/>
    <n v="45000"/>
    <n v="286855"/>
    <n v="51634"/>
  </r>
  <r>
    <s v="Aïcha Kouyaté"/>
    <x v="9"/>
    <s v="Afrique de l'Ouest"/>
    <s v="Awa Diop"/>
    <x v="343"/>
    <x v="0"/>
    <n v="4"/>
    <n v="18500"/>
    <n v="76417"/>
    <n v="9170"/>
  </r>
  <r>
    <s v="Aïcha Kouyaté"/>
    <x v="0"/>
    <s v="Afrique de l'Ouest"/>
    <s v="Emeka Abubakar"/>
    <x v="252"/>
    <x v="2"/>
    <n v="3"/>
    <n v="45000"/>
    <n v="148307"/>
    <n v="26695"/>
  </r>
  <r>
    <s v="Amara Diallo"/>
    <x v="9"/>
    <s v="Afrique de l'Ouest"/>
    <s v="Adama Kamara"/>
    <x v="290"/>
    <x v="1"/>
    <n v="3"/>
    <n v="12500"/>
    <n v="35522"/>
    <n v="2842"/>
  </r>
  <r>
    <s v="Fatima Ndiaye"/>
    <x v="3"/>
    <s v="Afrique Centrale"/>
    <s v="Kadiatou Mensah"/>
    <x v="300"/>
    <x v="2"/>
    <n v="5"/>
    <n v="45000"/>
    <n v="243731"/>
    <n v="43872"/>
  </r>
  <r>
    <s v="Aïcha Kouyaté"/>
    <x v="14"/>
    <s v="Afrique de l'Ouest"/>
    <s v="Kwame Ekwueme"/>
    <x v="19"/>
    <x v="2"/>
    <n v="4"/>
    <n v="45000"/>
    <n v="175303"/>
    <n v="31555"/>
  </r>
  <r>
    <s v="Ibrahim Traoré"/>
    <x v="8"/>
    <s v="Afrique de l'Est"/>
    <s v="Adama Kamara"/>
    <x v="144"/>
    <x v="2"/>
    <n v="6"/>
    <n v="45000"/>
    <n v="249675"/>
    <n v="44942"/>
  </r>
  <r>
    <s v="Kofi Mensah"/>
    <x v="11"/>
    <s v="Afrique de l'Ouest"/>
    <s v="Zainab Ekwueme"/>
    <x v="208"/>
    <x v="3"/>
    <n v="9"/>
    <n v="55000"/>
    <n v="531352"/>
    <n v="116897"/>
  </r>
  <r>
    <s v="Kofi Mensah"/>
    <x v="12"/>
    <s v="Afrique de l'Est"/>
    <s v="Seydou Sawadogo"/>
    <x v="260"/>
    <x v="0"/>
    <n v="2"/>
    <n v="18500"/>
    <n v="34017"/>
    <n v="4082"/>
  </r>
  <r>
    <s v="Fatima Ndiaye"/>
    <x v="2"/>
    <s v="Afrique de l'Ouest"/>
    <s v="Aminata Kamara"/>
    <x v="82"/>
    <x v="4"/>
    <n v="5"/>
    <n v="15000"/>
    <n v="74750"/>
    <n v="7475"/>
  </r>
  <r>
    <s v="Amara Diallo"/>
    <x v="5"/>
    <s v="Afrique de l'Est"/>
    <s v="Moussa Bah"/>
    <x v="98"/>
    <x v="4"/>
    <n v="5"/>
    <n v="15000"/>
    <n v="78002"/>
    <n v="7800"/>
  </r>
  <r>
    <s v="Fatima Ndiaye"/>
    <x v="5"/>
    <s v="Afrique de l'Est"/>
    <s v="Aminata Ekwueme"/>
    <x v="250"/>
    <x v="1"/>
    <n v="2"/>
    <n v="12500"/>
    <n v="24484"/>
    <n v="1959"/>
  </r>
  <r>
    <s v="Ibrahim Traoré"/>
    <x v="1"/>
    <s v="Afrique de l'Ouest"/>
    <s v="Awa Bah"/>
    <x v="32"/>
    <x v="2"/>
    <n v="2"/>
    <n v="45000"/>
    <n v="82091"/>
    <n v="14776"/>
  </r>
  <r>
    <s v="Amara Diallo"/>
    <x v="3"/>
    <s v="Afrique Centrale"/>
    <s v="Chioma Cissé"/>
    <x v="159"/>
    <x v="2"/>
    <n v="8"/>
    <n v="45000"/>
    <n v="376133"/>
    <n v="67704"/>
  </r>
  <r>
    <s v="Kofi Mensah"/>
    <x v="11"/>
    <s v="Afrique de l'Ouest"/>
    <s v="Kwame Sawadogo"/>
    <x v="236"/>
    <x v="2"/>
    <n v="6"/>
    <n v="45000"/>
    <n v="296140"/>
    <n v="53305"/>
  </r>
  <r>
    <s v="Ibrahim Traoré"/>
    <x v="8"/>
    <s v="Afrique de l'Est"/>
    <s v="Chioma Coulibaly"/>
    <x v="184"/>
    <x v="2"/>
    <n v="7"/>
    <n v="45000"/>
    <n v="319813"/>
    <n v="57566"/>
  </r>
  <r>
    <s v="Kofi Mensah"/>
    <x v="7"/>
    <s v="Afrique Centrale"/>
    <s v="Emeka Ekwueme"/>
    <x v="271"/>
    <x v="4"/>
    <n v="1"/>
    <n v="15000"/>
    <n v="15322"/>
    <n v="1532"/>
  </r>
  <r>
    <s v="Ibrahim Traoré"/>
    <x v="11"/>
    <s v="Afrique de l'Ouest"/>
    <s v="Zainab Diop"/>
    <x v="56"/>
    <x v="4"/>
    <n v="3"/>
    <n v="15000"/>
    <n v="44196"/>
    <n v="4420"/>
  </r>
  <r>
    <s v="Fatima Ndiaye"/>
    <x v="2"/>
    <s v="Afrique de l'Ouest"/>
    <s v="Aminata Asante"/>
    <x v="10"/>
    <x v="1"/>
    <n v="3"/>
    <n v="12500"/>
    <n v="39706"/>
    <n v="3176"/>
  </r>
  <r>
    <s v="Amara Diallo"/>
    <x v="4"/>
    <s v="Afrique de l'Est"/>
    <s v="Mariama Kamara"/>
    <x v="276"/>
    <x v="0"/>
    <n v="3"/>
    <n v="18500"/>
    <n v="57394"/>
    <n v="6887"/>
  </r>
  <r>
    <s v="Amara Diallo"/>
    <x v="11"/>
    <s v="Afrique de l'Ouest"/>
    <s v="Adama Touré"/>
    <x v="179"/>
    <x v="0"/>
    <n v="2"/>
    <n v="18500"/>
    <n v="34060"/>
    <n v="4087"/>
  </r>
  <r>
    <s v="Kofi Mensah"/>
    <x v="11"/>
    <s v="Afrique de l'Ouest"/>
    <s v="Kwame Keïta"/>
    <x v="76"/>
    <x v="1"/>
    <n v="6"/>
    <n v="12500"/>
    <n v="75957"/>
    <n v="6077"/>
  </r>
  <r>
    <s v="Kofi Mensah"/>
    <x v="11"/>
    <s v="Afrique de l'Ouest"/>
    <s v="Zainab Nwosu"/>
    <x v="292"/>
    <x v="4"/>
    <n v="8"/>
    <n v="15000"/>
    <n v="125340"/>
    <n v="12534"/>
  </r>
  <r>
    <s v="Fatima Ndiaye"/>
    <x v="4"/>
    <s v="Afrique de l'Est"/>
    <s v="Chioma Okonkwo"/>
    <x v="201"/>
    <x v="1"/>
    <n v="9"/>
    <n v="12500"/>
    <n v="101569"/>
    <n v="8126"/>
  </r>
  <r>
    <s v="Amara Diallo"/>
    <x v="8"/>
    <s v="Afrique de l'Est"/>
    <s v="Oumar Sawadogo"/>
    <x v="150"/>
    <x v="4"/>
    <n v="4"/>
    <n v="15000"/>
    <n v="59753"/>
    <n v="5975"/>
  </r>
  <r>
    <s v="Aïcha Kouyaté"/>
    <x v="13"/>
    <s v="Afrique de l'Ouest"/>
    <s v="Chidi Ekwueme"/>
    <x v="250"/>
    <x v="3"/>
    <n v="8"/>
    <n v="55000"/>
    <n v="406291"/>
    <n v="89384"/>
  </r>
  <r>
    <s v="Amara Diallo"/>
    <x v="3"/>
    <s v="Afrique Centrale"/>
    <s v="Emeka Cissé"/>
    <x v="276"/>
    <x v="3"/>
    <n v="6"/>
    <n v="55000"/>
    <n v="360737"/>
    <n v="79362"/>
  </r>
  <r>
    <s v="Kofi Mensah"/>
    <x v="0"/>
    <s v="Afrique de l'Ouest"/>
    <s v="Moussa Diop"/>
    <x v="233"/>
    <x v="2"/>
    <n v="3"/>
    <n v="45000"/>
    <n v="140976"/>
    <n v="25376"/>
  </r>
  <r>
    <s v="Fatima Ndiaye"/>
    <x v="7"/>
    <s v="Afrique Centrale"/>
    <s v="Yaw Cissé"/>
    <x v="133"/>
    <x v="2"/>
    <n v="10"/>
    <n v="45000"/>
    <n v="462148"/>
    <n v="83187"/>
  </r>
  <r>
    <s v="Ibrahim Traoré"/>
    <x v="11"/>
    <s v="Afrique de l'Ouest"/>
    <s v="Kwame Keïta"/>
    <x v="191"/>
    <x v="4"/>
    <n v="2"/>
    <n v="15000"/>
    <n v="27229"/>
    <n v="2723"/>
  </r>
  <r>
    <s v="Aïcha Kouyaté"/>
    <x v="3"/>
    <s v="Afrique Centrale"/>
    <s v="Emeka Diop"/>
    <x v="52"/>
    <x v="2"/>
    <n v="8"/>
    <n v="45000"/>
    <n v="381527"/>
    <n v="68675"/>
  </r>
  <r>
    <s v="Kofi Mensah"/>
    <x v="10"/>
    <s v="Afrique Centrale"/>
    <s v="Mariama Bah"/>
    <x v="297"/>
    <x v="3"/>
    <n v="3"/>
    <n v="55000"/>
    <n v="162986"/>
    <n v="35857"/>
  </r>
  <r>
    <s v="Ibrahim Traoré"/>
    <x v="2"/>
    <s v="Afrique de l'Ouest"/>
    <s v="Oumar Bah"/>
    <x v="356"/>
    <x v="3"/>
    <n v="6"/>
    <n v="55000"/>
    <n v="317576"/>
    <n v="69867"/>
  </r>
  <r>
    <s v="Ibrahim Traoré"/>
    <x v="7"/>
    <s v="Afrique Centrale"/>
    <s v="Kadiatou Okonkwo"/>
    <x v="54"/>
    <x v="3"/>
    <n v="8"/>
    <n v="55000"/>
    <n v="450151"/>
    <n v="99033"/>
  </r>
  <r>
    <s v="Kofi Mensah"/>
    <x v="14"/>
    <s v="Afrique de l'Ouest"/>
    <s v="Moussa Bah"/>
    <x v="141"/>
    <x v="1"/>
    <n v="3"/>
    <n v="12500"/>
    <n v="35842"/>
    <n v="2867"/>
  </r>
  <r>
    <s v="Aïcha Kouyaté"/>
    <x v="7"/>
    <s v="Afrique Centrale"/>
    <s v="Aminata Mensah"/>
    <x v="83"/>
    <x v="4"/>
    <n v="8"/>
    <n v="15000"/>
    <n v="123146"/>
    <n v="12315"/>
  </r>
  <r>
    <s v="Amara Diallo"/>
    <x v="2"/>
    <s v="Afrique de l'Ouest"/>
    <s v="Aminata Ekwueme"/>
    <x v="233"/>
    <x v="4"/>
    <n v="6"/>
    <n v="15000"/>
    <n v="84427"/>
    <n v="8443"/>
  </r>
  <r>
    <s v="Ibrahim Traoré"/>
    <x v="14"/>
    <s v="Afrique de l'Ouest"/>
    <s v="Yaw Diop"/>
    <x v="110"/>
    <x v="2"/>
    <n v="8"/>
    <n v="45000"/>
    <n v="387999"/>
    <n v="69840"/>
  </r>
  <r>
    <s v="Aïcha Kouyaté"/>
    <x v="8"/>
    <s v="Afrique de l'Est"/>
    <s v="Emeka Touré"/>
    <x v="289"/>
    <x v="0"/>
    <n v="1"/>
    <n v="18500"/>
    <n v="19629"/>
    <n v="2355"/>
  </r>
  <r>
    <s v="Amara Diallo"/>
    <x v="6"/>
    <s v="Afrique de l'Ouest"/>
    <s v="Ngozi Sawadogo"/>
    <x v="42"/>
    <x v="1"/>
    <n v="6"/>
    <n v="12500"/>
    <n v="73123"/>
    <n v="5850"/>
  </r>
  <r>
    <s v="Aïcha Kouyaté"/>
    <x v="2"/>
    <s v="Afrique de l'Ouest"/>
    <s v="Aminata Sawadogo"/>
    <x v="100"/>
    <x v="1"/>
    <n v="6"/>
    <n v="12500"/>
    <n v="80697"/>
    <n v="6456"/>
  </r>
  <r>
    <s v="Kofi Mensah"/>
    <x v="2"/>
    <s v="Afrique de l'Ouest"/>
    <s v="Adama Ekwueme"/>
    <x v="10"/>
    <x v="2"/>
    <n v="9"/>
    <n v="45000"/>
    <n v="376894"/>
    <n v="67841"/>
  </r>
  <r>
    <s v="Ibrahim Traoré"/>
    <x v="2"/>
    <s v="Afrique de l'Ouest"/>
    <s v="Adama Keïta"/>
    <x v="260"/>
    <x v="2"/>
    <n v="3"/>
    <n v="45000"/>
    <n v="123733"/>
    <n v="22272"/>
  </r>
  <r>
    <s v="Ibrahim Traoré"/>
    <x v="6"/>
    <s v="Afrique de l'Ouest"/>
    <s v="Moussa Touré"/>
    <x v="314"/>
    <x v="1"/>
    <n v="1"/>
    <n v="12500"/>
    <n v="12264"/>
    <n v="981"/>
  </r>
  <r>
    <s v="Kofi Mensah"/>
    <x v="11"/>
    <s v="Afrique de l'Ouest"/>
    <s v="Moussa Diop"/>
    <x v="74"/>
    <x v="0"/>
    <n v="10"/>
    <n v="18500"/>
    <n v="174596"/>
    <n v="20952"/>
  </r>
  <r>
    <s v="Kofi Mensah"/>
    <x v="3"/>
    <s v="Afrique Centrale"/>
    <s v="Mariama Okonkwo"/>
    <x v="349"/>
    <x v="4"/>
    <n v="10"/>
    <n v="15000"/>
    <n v="145129"/>
    <n v="14513"/>
  </r>
  <r>
    <s v="Ibrahim Traoré"/>
    <x v="1"/>
    <s v="Afrique de l'Ouest"/>
    <s v="Chidi Nwosu"/>
    <x v="94"/>
    <x v="2"/>
    <n v="5"/>
    <n v="45000"/>
    <n v="219260"/>
    <n v="39467"/>
  </r>
  <r>
    <s v="Kofi Mensah"/>
    <x v="4"/>
    <s v="Afrique de l'Est"/>
    <s v="Chidi Abubakar"/>
    <x v="295"/>
    <x v="1"/>
    <n v="8"/>
    <n v="12500"/>
    <n v="99804"/>
    <n v="7984"/>
  </r>
  <r>
    <s v="Aïcha Kouyaté"/>
    <x v="13"/>
    <s v="Afrique de l'Ouest"/>
    <s v="Kwame Okonkwo"/>
    <x v="243"/>
    <x v="3"/>
    <n v="3"/>
    <n v="55000"/>
    <n v="171812"/>
    <n v="37799"/>
  </r>
  <r>
    <s v="Ibrahim Traoré"/>
    <x v="4"/>
    <s v="Afrique de l'Est"/>
    <s v="Moussa Kamara"/>
    <x v="319"/>
    <x v="2"/>
    <n v="10"/>
    <n v="45000"/>
    <n v="405904"/>
    <n v="73063"/>
  </r>
  <r>
    <s v="Fatima Ndiaye"/>
    <x v="9"/>
    <s v="Afrique de l'Ouest"/>
    <s v="Awa Keïta"/>
    <x v="20"/>
    <x v="3"/>
    <n v="3"/>
    <n v="55000"/>
    <n v="154651"/>
    <n v="34023"/>
  </r>
  <r>
    <s v="Ibrahim Traoré"/>
    <x v="0"/>
    <s v="Afrique de l'Ouest"/>
    <s v="Kadiatou Cissé"/>
    <x v="37"/>
    <x v="2"/>
    <n v="3"/>
    <n v="45000"/>
    <n v="121747"/>
    <n v="21914"/>
  </r>
  <r>
    <s v="Aïcha Kouyaté"/>
    <x v="2"/>
    <s v="Afrique de l'Ouest"/>
    <s v="Awa Diop"/>
    <x v="332"/>
    <x v="0"/>
    <n v="2"/>
    <n v="18500"/>
    <n v="35939"/>
    <n v="4313"/>
  </r>
  <r>
    <s v="Amara Diallo"/>
    <x v="5"/>
    <s v="Afrique de l'Est"/>
    <s v="Chioma Okonkwo"/>
    <x v="71"/>
    <x v="2"/>
    <n v="2"/>
    <n v="45000"/>
    <n v="89990"/>
    <n v="16198"/>
  </r>
  <r>
    <s v="Aïcha Kouyaté"/>
    <x v="3"/>
    <s v="Afrique Centrale"/>
    <s v="Zainab Asante"/>
    <x v="18"/>
    <x v="0"/>
    <n v="1"/>
    <n v="18500"/>
    <n v="17979"/>
    <n v="2157"/>
  </r>
  <r>
    <s v="Kofi Mensah"/>
    <x v="11"/>
    <s v="Afrique de l'Ouest"/>
    <s v="Ngozi Keïta"/>
    <x v="304"/>
    <x v="4"/>
    <n v="4"/>
    <n v="15000"/>
    <n v="61052"/>
    <n v="6105"/>
  </r>
  <r>
    <s v="Ibrahim Traoré"/>
    <x v="14"/>
    <s v="Afrique de l'Ouest"/>
    <s v="Chidi Mensah"/>
    <x v="31"/>
    <x v="2"/>
    <n v="4"/>
    <n v="45000"/>
    <n v="173360"/>
    <n v="31205"/>
  </r>
  <r>
    <s v="Ibrahim Traoré"/>
    <x v="4"/>
    <s v="Afrique de l'Est"/>
    <s v="Emeka Nwosu"/>
    <x v="297"/>
    <x v="1"/>
    <n v="8"/>
    <n v="12500"/>
    <n v="94898"/>
    <n v="7592"/>
  </r>
  <r>
    <s v="Ibrahim Traoré"/>
    <x v="7"/>
    <s v="Afrique Centrale"/>
    <s v="Kadiatou Bah"/>
    <x v="298"/>
    <x v="3"/>
    <n v="3"/>
    <n v="55000"/>
    <n v="172704"/>
    <n v="37995"/>
  </r>
  <r>
    <s v="Aïcha Kouyaté"/>
    <x v="8"/>
    <s v="Afrique de l'Est"/>
    <s v="Seydou Keïta"/>
    <x v="212"/>
    <x v="1"/>
    <n v="2"/>
    <n v="12500"/>
    <n v="27295"/>
    <n v="2184"/>
  </r>
  <r>
    <s v="Amara Diallo"/>
    <x v="6"/>
    <s v="Afrique de l'Ouest"/>
    <s v="Emeka Kamara"/>
    <x v="92"/>
    <x v="2"/>
    <n v="4"/>
    <n v="45000"/>
    <n v="193193"/>
    <n v="34775"/>
  </r>
  <r>
    <s v="Ibrahim Traoré"/>
    <x v="7"/>
    <s v="Afrique Centrale"/>
    <s v="Emeka Bah"/>
    <x v="329"/>
    <x v="2"/>
    <n v="7"/>
    <n v="45000"/>
    <n v="284814"/>
    <n v="51267"/>
  </r>
  <r>
    <s v="Ibrahim Traoré"/>
    <x v="12"/>
    <s v="Afrique de l'Est"/>
    <s v="Seydou Okonkwo"/>
    <x v="144"/>
    <x v="2"/>
    <n v="1"/>
    <n v="45000"/>
    <n v="43186"/>
    <n v="7773"/>
  </r>
  <r>
    <s v="Amara Diallo"/>
    <x v="13"/>
    <s v="Afrique de l'Ouest"/>
    <s v="Seydou Diop"/>
    <x v="267"/>
    <x v="3"/>
    <n v="8"/>
    <n v="55000"/>
    <n v="470427"/>
    <n v="103494"/>
  </r>
  <r>
    <s v="Kofi Mensah"/>
    <x v="14"/>
    <s v="Afrique de l'Ouest"/>
    <s v="Moussa Touré"/>
    <x v="56"/>
    <x v="4"/>
    <n v="4"/>
    <n v="15000"/>
    <n v="65977"/>
    <n v="6598"/>
  </r>
  <r>
    <s v="Fatima Ndiaye"/>
    <x v="11"/>
    <s v="Afrique de l'Ouest"/>
    <s v="Seydou Dembélé"/>
    <x v="271"/>
    <x v="4"/>
    <n v="5"/>
    <n v="15000"/>
    <n v="77451"/>
    <n v="7745"/>
  </r>
  <r>
    <s v="Ibrahim Traoré"/>
    <x v="8"/>
    <s v="Afrique de l'Est"/>
    <s v="Kadiatou Diop"/>
    <x v="11"/>
    <x v="4"/>
    <n v="6"/>
    <n v="15000"/>
    <n v="83068"/>
    <n v="8307"/>
  </r>
  <r>
    <s v="Aïcha Kouyaté"/>
    <x v="8"/>
    <s v="Afrique de l'Est"/>
    <s v="Chioma Nwosu"/>
    <x v="325"/>
    <x v="0"/>
    <n v="1"/>
    <n v="18500"/>
    <n v="17801"/>
    <n v="2136"/>
  </r>
  <r>
    <s v="Kofi Mensah"/>
    <x v="14"/>
    <s v="Afrique de l'Ouest"/>
    <s v="Yaw Abubakar"/>
    <x v="71"/>
    <x v="3"/>
    <n v="10"/>
    <n v="55000"/>
    <n v="507011"/>
    <n v="111542"/>
  </r>
  <r>
    <s v="Kofi Mensah"/>
    <x v="0"/>
    <s v="Afrique de l'Ouest"/>
    <s v="Moussa Ekwueme"/>
    <x v="245"/>
    <x v="2"/>
    <n v="4"/>
    <n v="45000"/>
    <n v="181496"/>
    <n v="32669"/>
  </r>
  <r>
    <s v="Fatima Ndiaye"/>
    <x v="1"/>
    <s v="Afrique de l'Ouest"/>
    <s v="Aminata Diop"/>
    <x v="120"/>
    <x v="3"/>
    <n v="9"/>
    <n v="55000"/>
    <n v="542842"/>
    <n v="119425"/>
  </r>
  <r>
    <s v="Ibrahim Traoré"/>
    <x v="6"/>
    <s v="Afrique de l'Ouest"/>
    <s v="Chioma Okonkwo"/>
    <x v="119"/>
    <x v="0"/>
    <n v="2"/>
    <n v="18500"/>
    <n v="36774"/>
    <n v="4413"/>
  </r>
  <r>
    <s v="Amara Diallo"/>
    <x v="7"/>
    <s v="Afrique Centrale"/>
    <s v="Zainab Keïta"/>
    <x v="286"/>
    <x v="1"/>
    <n v="2"/>
    <n v="12500"/>
    <n v="24260"/>
    <n v="1941"/>
  </r>
  <r>
    <s v="Aïcha Kouyaté"/>
    <x v="14"/>
    <s v="Afrique de l'Ouest"/>
    <s v="Chioma Okonkwo"/>
    <x v="86"/>
    <x v="4"/>
    <n v="5"/>
    <n v="15000"/>
    <n v="72370"/>
    <n v="7237"/>
  </r>
  <r>
    <s v="Ibrahim Traoré"/>
    <x v="14"/>
    <s v="Afrique de l'Ouest"/>
    <s v="Kadiatou Diop"/>
    <x v="353"/>
    <x v="2"/>
    <n v="9"/>
    <n v="45000"/>
    <n v="368719"/>
    <n v="66369"/>
  </r>
  <r>
    <s v="Fatima Ndiaye"/>
    <x v="11"/>
    <s v="Afrique de l'Ouest"/>
    <s v="Kadiatou Diop"/>
    <x v="240"/>
    <x v="2"/>
    <n v="10"/>
    <n v="45000"/>
    <n v="457228"/>
    <n v="82301"/>
  </r>
  <r>
    <s v="Fatima Ndiaye"/>
    <x v="9"/>
    <s v="Afrique de l'Ouest"/>
    <s v="Oumar Coulibaly"/>
    <x v="222"/>
    <x v="3"/>
    <n v="9"/>
    <n v="55000"/>
    <n v="535199"/>
    <n v="117744"/>
  </r>
  <r>
    <s v="Ibrahim Traoré"/>
    <x v="9"/>
    <s v="Afrique de l'Ouest"/>
    <s v="Yaw Abubakar"/>
    <x v="329"/>
    <x v="0"/>
    <n v="1"/>
    <n v="18500"/>
    <n v="20205"/>
    <n v="2425"/>
  </r>
  <r>
    <s v="Aïcha Kouyaté"/>
    <x v="1"/>
    <s v="Afrique de l'Ouest"/>
    <s v="Aminata Kamara"/>
    <x v="194"/>
    <x v="1"/>
    <n v="5"/>
    <n v="12500"/>
    <n v="59898"/>
    <n v="4792"/>
  </r>
  <r>
    <s v="Amara Diallo"/>
    <x v="6"/>
    <s v="Afrique de l'Ouest"/>
    <s v="Zainab Ekwueme"/>
    <x v="69"/>
    <x v="1"/>
    <n v="6"/>
    <n v="12500"/>
    <n v="74849"/>
    <n v="5988"/>
  </r>
  <r>
    <s v="Fatima Ndiaye"/>
    <x v="6"/>
    <s v="Afrique de l'Ouest"/>
    <s v="Oumar Keïta"/>
    <x v="291"/>
    <x v="1"/>
    <n v="10"/>
    <n v="12500"/>
    <n v="137490"/>
    <n v="10999"/>
  </r>
  <r>
    <s v="Ibrahim Traoré"/>
    <x v="2"/>
    <s v="Afrique de l'Ouest"/>
    <s v="Emeka Touré"/>
    <x v="142"/>
    <x v="2"/>
    <n v="2"/>
    <n v="45000"/>
    <n v="97519"/>
    <n v="17553"/>
  </r>
  <r>
    <s v="Ibrahim Traoré"/>
    <x v="11"/>
    <s v="Afrique de l'Ouest"/>
    <s v="Chidi Okonkwo"/>
    <x v="246"/>
    <x v="3"/>
    <n v="1"/>
    <n v="55000"/>
    <n v="52677"/>
    <n v="11589"/>
  </r>
  <r>
    <s v="Fatima Ndiaye"/>
    <x v="11"/>
    <s v="Afrique de l'Ouest"/>
    <s v="Awa Mensah"/>
    <x v="107"/>
    <x v="2"/>
    <n v="8"/>
    <n v="45000"/>
    <n v="362410"/>
    <n v="65234"/>
  </r>
  <r>
    <s v="Fatima Ndiaye"/>
    <x v="6"/>
    <s v="Afrique de l'Ouest"/>
    <s v="Chioma Keïta"/>
    <x v="32"/>
    <x v="2"/>
    <n v="6"/>
    <n v="45000"/>
    <n v="263398"/>
    <n v="47412"/>
  </r>
  <r>
    <s v="Fatima Ndiaye"/>
    <x v="12"/>
    <s v="Afrique de l'Est"/>
    <s v="Oumar Kamara"/>
    <x v="71"/>
    <x v="1"/>
    <n v="1"/>
    <n v="12500"/>
    <n v="11686"/>
    <n v="935"/>
  </r>
  <r>
    <s v="Kofi Mensah"/>
    <x v="1"/>
    <s v="Afrique de l'Ouest"/>
    <s v="Awa Kamara"/>
    <x v="89"/>
    <x v="1"/>
    <n v="3"/>
    <n v="12500"/>
    <n v="37235"/>
    <n v="2979"/>
  </r>
  <r>
    <s v="Kofi Mensah"/>
    <x v="8"/>
    <s v="Afrique de l'Est"/>
    <s v="Oumar Dembélé"/>
    <x v="300"/>
    <x v="1"/>
    <n v="10"/>
    <n v="12500"/>
    <n v="128319"/>
    <n v="10266"/>
  </r>
  <r>
    <s v="Amara Diallo"/>
    <x v="0"/>
    <s v="Afrique de l'Ouest"/>
    <s v="Oumar Diop"/>
    <x v="160"/>
    <x v="3"/>
    <n v="6"/>
    <n v="55000"/>
    <n v="360574"/>
    <n v="79326"/>
  </r>
  <r>
    <s v="Aïcha Kouyaté"/>
    <x v="3"/>
    <s v="Afrique Centrale"/>
    <s v="Ngozi Bah"/>
    <x v="325"/>
    <x v="2"/>
    <n v="8"/>
    <n v="45000"/>
    <n v="386062"/>
    <n v="69491"/>
  </r>
  <r>
    <s v="Aïcha Kouyaté"/>
    <x v="1"/>
    <s v="Afrique de l'Ouest"/>
    <s v="Awa Touré"/>
    <x v="214"/>
    <x v="1"/>
    <n v="4"/>
    <n v="12500"/>
    <n v="54605"/>
    <n v="4368"/>
  </r>
  <r>
    <s v="Amara Diallo"/>
    <x v="13"/>
    <s v="Afrique de l'Ouest"/>
    <s v="Moussa Mensah"/>
    <x v="246"/>
    <x v="2"/>
    <n v="6"/>
    <n v="45000"/>
    <n v="275094"/>
    <n v="49517"/>
  </r>
  <r>
    <s v="Fatima Ndiaye"/>
    <x v="12"/>
    <s v="Afrique de l'Est"/>
    <s v="Yaw Keïta"/>
    <x v="63"/>
    <x v="0"/>
    <n v="2"/>
    <n v="18500"/>
    <n v="40490"/>
    <n v="4859"/>
  </r>
  <r>
    <s v="Aïcha Kouyaté"/>
    <x v="7"/>
    <s v="Afrique Centrale"/>
    <s v="Oumar Abubakar"/>
    <x v="314"/>
    <x v="0"/>
    <n v="10"/>
    <n v="18500"/>
    <n v="191873"/>
    <n v="23025"/>
  </r>
  <r>
    <s v="Aïcha Kouyaté"/>
    <x v="3"/>
    <s v="Afrique Centrale"/>
    <s v="Ngozi Cissé"/>
    <x v="1"/>
    <x v="3"/>
    <n v="7"/>
    <n v="55000"/>
    <n v="371174"/>
    <n v="81658"/>
  </r>
  <r>
    <s v="Fatima Ndiaye"/>
    <x v="4"/>
    <s v="Afrique de l'Est"/>
    <s v="Oumar Sawadogo"/>
    <x v="347"/>
    <x v="3"/>
    <n v="4"/>
    <n v="55000"/>
    <n v="236763"/>
    <n v="52088"/>
  </r>
  <r>
    <s v="Ibrahim Traoré"/>
    <x v="12"/>
    <s v="Afrique de l'Est"/>
    <s v="Emeka Keïta"/>
    <x v="180"/>
    <x v="1"/>
    <n v="3"/>
    <n v="12500"/>
    <n v="39054"/>
    <n v="3124"/>
  </r>
  <r>
    <s v="Aïcha Kouyaté"/>
    <x v="0"/>
    <s v="Afrique de l'Ouest"/>
    <s v="Moussa Asante"/>
    <x v="302"/>
    <x v="4"/>
    <n v="2"/>
    <n v="15000"/>
    <n v="30431"/>
    <n v="3043"/>
  </r>
  <r>
    <s v="Fatima Ndiaye"/>
    <x v="0"/>
    <s v="Afrique de l'Ouest"/>
    <s v="Chidi Coulibaly"/>
    <x v="78"/>
    <x v="4"/>
    <n v="3"/>
    <n v="15000"/>
    <n v="42969"/>
    <n v="4297"/>
  </r>
  <r>
    <s v="Ibrahim Traoré"/>
    <x v="5"/>
    <s v="Afrique de l'Est"/>
    <s v="Ngozi Sawadogo"/>
    <x v="339"/>
    <x v="2"/>
    <n v="10"/>
    <n v="45000"/>
    <n v="428923"/>
    <n v="77206"/>
  </r>
  <r>
    <s v="Fatima Ndiaye"/>
    <x v="10"/>
    <s v="Afrique Centrale"/>
    <s v="Chidi Sawadogo"/>
    <x v="267"/>
    <x v="3"/>
    <n v="5"/>
    <n v="55000"/>
    <n v="261026"/>
    <n v="57426"/>
  </r>
  <r>
    <s v="Ibrahim Traoré"/>
    <x v="14"/>
    <s v="Afrique de l'Ouest"/>
    <s v="Emeka Sawadogo"/>
    <x v="307"/>
    <x v="2"/>
    <n v="7"/>
    <n v="45000"/>
    <n v="306389"/>
    <n v="55150"/>
  </r>
  <r>
    <s v="Aïcha Kouyaté"/>
    <x v="14"/>
    <s v="Afrique de l'Ouest"/>
    <s v="Awa Asante"/>
    <x v="355"/>
    <x v="4"/>
    <n v="2"/>
    <n v="15000"/>
    <n v="30497"/>
    <n v="3050"/>
  </r>
  <r>
    <s v="Fatima Ndiaye"/>
    <x v="0"/>
    <s v="Afrique de l'Ouest"/>
    <s v="Moussa Dembélé"/>
    <x v="226"/>
    <x v="1"/>
    <n v="7"/>
    <n v="12500"/>
    <n v="80478"/>
    <n v="6438"/>
  </r>
  <r>
    <s v="Amara Diallo"/>
    <x v="5"/>
    <s v="Afrique de l'Est"/>
    <s v="Chioma Kamara"/>
    <x v="177"/>
    <x v="2"/>
    <n v="1"/>
    <n v="45000"/>
    <n v="41640"/>
    <n v="7495"/>
  </r>
  <r>
    <s v="Kofi Mensah"/>
    <x v="12"/>
    <s v="Afrique de l'Est"/>
    <s v="Moussa Asante"/>
    <x v="268"/>
    <x v="1"/>
    <n v="2"/>
    <n v="12500"/>
    <n v="23104"/>
    <n v="1848"/>
  </r>
  <r>
    <s v="Aïcha Kouyaté"/>
    <x v="4"/>
    <s v="Afrique de l'Est"/>
    <s v="Mariama Coulibaly"/>
    <x v="37"/>
    <x v="0"/>
    <n v="4"/>
    <n v="18500"/>
    <n v="78987"/>
    <n v="9478"/>
  </r>
  <r>
    <s v="Ibrahim Traoré"/>
    <x v="9"/>
    <s v="Afrique de l'Ouest"/>
    <s v="Zainab Cissé"/>
    <x v="142"/>
    <x v="3"/>
    <n v="3"/>
    <n v="55000"/>
    <n v="154711"/>
    <n v="34036"/>
  </r>
  <r>
    <s v="Kofi Mensah"/>
    <x v="5"/>
    <s v="Afrique de l'Est"/>
    <s v="Aminata Keïta"/>
    <x v="99"/>
    <x v="3"/>
    <n v="2"/>
    <n v="55000"/>
    <n v="116831"/>
    <n v="25703"/>
  </r>
  <r>
    <s v="Ibrahim Traoré"/>
    <x v="14"/>
    <s v="Afrique de l'Ouest"/>
    <s v="Chioma Asante"/>
    <x v="83"/>
    <x v="3"/>
    <n v="2"/>
    <n v="55000"/>
    <n v="116110"/>
    <n v="25544"/>
  </r>
  <r>
    <s v="Fatima Ndiaye"/>
    <x v="6"/>
    <s v="Afrique de l'Ouest"/>
    <s v="Yaw Ekwueme"/>
    <x v="39"/>
    <x v="4"/>
    <n v="2"/>
    <n v="15000"/>
    <n v="29526"/>
    <n v="2953"/>
  </r>
  <r>
    <s v="Ibrahim Traoré"/>
    <x v="6"/>
    <s v="Afrique de l'Ouest"/>
    <s v="Awa Cissé"/>
    <x v="111"/>
    <x v="2"/>
    <n v="5"/>
    <n v="45000"/>
    <n v="227433"/>
    <n v="40938"/>
  </r>
  <r>
    <s v="Ibrahim Traoré"/>
    <x v="5"/>
    <s v="Afrique de l'Est"/>
    <s v="Adama Diop"/>
    <x v="250"/>
    <x v="3"/>
    <n v="3"/>
    <n v="55000"/>
    <n v="152527"/>
    <n v="33556"/>
  </r>
  <r>
    <s v="Kofi Mensah"/>
    <x v="11"/>
    <s v="Afrique de l'Ouest"/>
    <s v="Yaw Dembélé"/>
    <x v="112"/>
    <x v="4"/>
    <n v="5"/>
    <n v="15000"/>
    <n v="73732"/>
    <n v="7373"/>
  </r>
  <r>
    <s v="Ibrahim Traoré"/>
    <x v="7"/>
    <s v="Afrique Centrale"/>
    <s v="Emeka Coulibaly"/>
    <x v="243"/>
    <x v="0"/>
    <n v="2"/>
    <n v="18500"/>
    <n v="33463"/>
    <n v="4016"/>
  </r>
  <r>
    <s v="Ibrahim Traoré"/>
    <x v="6"/>
    <s v="Afrique de l'Ouest"/>
    <s v="Ngozi Kamara"/>
    <x v="197"/>
    <x v="4"/>
    <n v="5"/>
    <n v="15000"/>
    <n v="78594"/>
    <n v="7859"/>
  </r>
  <r>
    <s v="Amara Diallo"/>
    <x v="8"/>
    <s v="Afrique de l'Est"/>
    <s v="Kwame Cissé"/>
    <x v="318"/>
    <x v="2"/>
    <n v="8"/>
    <n v="45000"/>
    <n v="384751"/>
    <n v="69255"/>
  </r>
  <r>
    <s v="Fatima Ndiaye"/>
    <x v="3"/>
    <s v="Afrique Centrale"/>
    <s v="Ngozi Dembélé"/>
    <x v="296"/>
    <x v="1"/>
    <n v="3"/>
    <n v="12500"/>
    <n v="38007"/>
    <n v="3041"/>
  </r>
  <r>
    <s v="Aïcha Kouyaté"/>
    <x v="7"/>
    <s v="Afrique Centrale"/>
    <s v="Ngozi Bah"/>
    <x v="249"/>
    <x v="1"/>
    <n v="5"/>
    <n v="12500"/>
    <n v="58344"/>
    <n v="4668"/>
  </r>
  <r>
    <s v="Fatima Ndiaye"/>
    <x v="13"/>
    <s v="Afrique de l'Ouest"/>
    <s v="Adama Asante"/>
    <x v="88"/>
    <x v="0"/>
    <n v="1"/>
    <n v="18500"/>
    <n v="17157"/>
    <n v="2059"/>
  </r>
  <r>
    <s v="Ibrahim Traoré"/>
    <x v="14"/>
    <s v="Afrique de l'Ouest"/>
    <s v="Moussa Bah"/>
    <x v="196"/>
    <x v="2"/>
    <n v="1"/>
    <n v="45000"/>
    <n v="42763"/>
    <n v="7697"/>
  </r>
  <r>
    <s v="Kofi Mensah"/>
    <x v="6"/>
    <s v="Afrique de l'Ouest"/>
    <s v="Ngozi Cissé"/>
    <x v="179"/>
    <x v="1"/>
    <n v="5"/>
    <n v="12500"/>
    <n v="59203"/>
    <n v="4736"/>
  </r>
  <r>
    <s v="Amara Diallo"/>
    <x v="14"/>
    <s v="Afrique de l'Ouest"/>
    <s v="Seydou Nwosu"/>
    <x v="105"/>
    <x v="0"/>
    <n v="10"/>
    <n v="18500"/>
    <n v="168022"/>
    <n v="20163"/>
  </r>
  <r>
    <s v="Ibrahim Traoré"/>
    <x v="7"/>
    <s v="Afrique Centrale"/>
    <s v="Ngozi Nwosu"/>
    <x v="280"/>
    <x v="4"/>
    <n v="9"/>
    <n v="15000"/>
    <n v="135286"/>
    <n v="13529"/>
  </r>
  <r>
    <s v="Ibrahim Traoré"/>
    <x v="2"/>
    <s v="Afrique de l'Ouest"/>
    <s v="Awa Touré"/>
    <x v="243"/>
    <x v="4"/>
    <n v="7"/>
    <n v="15000"/>
    <n v="105487"/>
    <n v="10549"/>
  </r>
  <r>
    <s v="Fatima Ndiaye"/>
    <x v="1"/>
    <s v="Afrique de l'Ouest"/>
    <s v="Seydou Coulibaly"/>
    <x v="62"/>
    <x v="1"/>
    <n v="6"/>
    <n v="12500"/>
    <n v="80871"/>
    <n v="6470"/>
  </r>
  <r>
    <s v="Fatima Ndiaye"/>
    <x v="14"/>
    <s v="Afrique de l'Ouest"/>
    <s v="Emeka Touré"/>
    <x v="253"/>
    <x v="3"/>
    <n v="8"/>
    <n v="55000"/>
    <n v="433418"/>
    <n v="95352"/>
  </r>
  <r>
    <s v="Amara Diallo"/>
    <x v="5"/>
    <s v="Afrique de l'Est"/>
    <s v="Aminata Coulibaly"/>
    <x v="137"/>
    <x v="2"/>
    <n v="9"/>
    <n v="45000"/>
    <n v="372916"/>
    <n v="67125"/>
  </r>
  <r>
    <s v="Amara Diallo"/>
    <x v="12"/>
    <s v="Afrique de l'Est"/>
    <s v="Seydou Mensah"/>
    <x v="39"/>
    <x v="1"/>
    <n v="6"/>
    <n v="12500"/>
    <n v="80015"/>
    <n v="6401"/>
  </r>
  <r>
    <s v="Fatima Ndiaye"/>
    <x v="1"/>
    <s v="Afrique de l'Ouest"/>
    <s v="Oumar Keïta"/>
    <x v="234"/>
    <x v="1"/>
    <n v="3"/>
    <n v="12500"/>
    <n v="34518"/>
    <n v="2761"/>
  </r>
  <r>
    <s v="Amara Diallo"/>
    <x v="6"/>
    <s v="Afrique de l'Ouest"/>
    <s v="Adama Nwosu"/>
    <x v="294"/>
    <x v="2"/>
    <n v="1"/>
    <n v="45000"/>
    <n v="45265"/>
    <n v="8148"/>
  </r>
  <r>
    <s v="Ibrahim Traoré"/>
    <x v="7"/>
    <s v="Afrique Centrale"/>
    <s v="Zainab Ekwueme"/>
    <x v="187"/>
    <x v="3"/>
    <n v="8"/>
    <n v="55000"/>
    <n v="458148"/>
    <n v="100793"/>
  </r>
  <r>
    <s v="Aïcha Kouyaté"/>
    <x v="10"/>
    <s v="Afrique Centrale"/>
    <s v="Kwame Sawadogo"/>
    <x v="267"/>
    <x v="2"/>
    <n v="1"/>
    <n v="45000"/>
    <n v="45786"/>
    <n v="8241"/>
  </r>
  <r>
    <s v="Aïcha Kouyaté"/>
    <x v="0"/>
    <s v="Afrique de l'Ouest"/>
    <s v="Chidi Diop"/>
    <x v="122"/>
    <x v="0"/>
    <n v="5"/>
    <n v="18500"/>
    <n v="96666"/>
    <n v="11600"/>
  </r>
  <r>
    <s v="Amara Diallo"/>
    <x v="13"/>
    <s v="Afrique de l'Ouest"/>
    <s v="Awa Touré"/>
    <x v="283"/>
    <x v="2"/>
    <n v="3"/>
    <n v="45000"/>
    <n v="121640"/>
    <n v="21895"/>
  </r>
  <r>
    <s v="Ibrahim Traoré"/>
    <x v="14"/>
    <s v="Afrique de l'Ouest"/>
    <s v="Seydou Dembélé"/>
    <x v="285"/>
    <x v="0"/>
    <n v="7"/>
    <n v="18500"/>
    <n v="134253"/>
    <n v="16110"/>
  </r>
  <r>
    <s v="Aïcha Kouyaté"/>
    <x v="14"/>
    <s v="Afrique de l'Ouest"/>
    <s v="Zainab Diop"/>
    <x v="261"/>
    <x v="2"/>
    <n v="5"/>
    <n v="45000"/>
    <n v="212691"/>
    <n v="38284"/>
  </r>
  <r>
    <s v="Amara Diallo"/>
    <x v="13"/>
    <s v="Afrique de l'Ouest"/>
    <s v="Chioma Kamara"/>
    <x v="130"/>
    <x v="3"/>
    <n v="4"/>
    <n v="55000"/>
    <n v="206497"/>
    <n v="45429"/>
  </r>
  <r>
    <s v="Aïcha Kouyaté"/>
    <x v="12"/>
    <s v="Afrique de l'Est"/>
    <s v="Moussa Touré"/>
    <x v="303"/>
    <x v="3"/>
    <n v="6"/>
    <n v="55000"/>
    <n v="301551"/>
    <n v="66341"/>
  </r>
  <r>
    <s v="Kofi Mensah"/>
    <x v="12"/>
    <s v="Afrique de l'Est"/>
    <s v="Zainab Kamara"/>
    <x v="292"/>
    <x v="3"/>
    <n v="6"/>
    <n v="55000"/>
    <n v="317985"/>
    <n v="69957"/>
  </r>
  <r>
    <s v="Aïcha Kouyaté"/>
    <x v="11"/>
    <s v="Afrique de l'Ouest"/>
    <s v="Kadiatou Kamara"/>
    <x v="298"/>
    <x v="3"/>
    <n v="8"/>
    <n v="55000"/>
    <n v="420567"/>
    <n v="92525"/>
  </r>
  <r>
    <s v="Aïcha Kouyaté"/>
    <x v="3"/>
    <s v="Afrique Centrale"/>
    <s v="Kwame Kamara"/>
    <x v="66"/>
    <x v="0"/>
    <n v="4"/>
    <n v="18500"/>
    <n v="68383"/>
    <n v="8206"/>
  </r>
  <r>
    <s v="Fatima Ndiaye"/>
    <x v="4"/>
    <s v="Afrique de l'Est"/>
    <s v="Seydou Asante"/>
    <x v="282"/>
    <x v="2"/>
    <n v="4"/>
    <n v="45000"/>
    <n v="175616"/>
    <n v="31611"/>
  </r>
  <r>
    <s v="Kofi Mensah"/>
    <x v="13"/>
    <s v="Afrique de l'Ouest"/>
    <s v="Ngozi Dembélé"/>
    <x v="203"/>
    <x v="2"/>
    <n v="7"/>
    <n v="45000"/>
    <n v="338722"/>
    <n v="60970"/>
  </r>
  <r>
    <s v="Aïcha Kouyaté"/>
    <x v="14"/>
    <s v="Afrique de l'Ouest"/>
    <s v="Moussa Cissé"/>
    <x v="245"/>
    <x v="4"/>
    <n v="8"/>
    <n v="15000"/>
    <n v="109023"/>
    <n v="10902"/>
  </r>
  <r>
    <s v="Fatima Ndiaye"/>
    <x v="14"/>
    <s v="Afrique de l'Ouest"/>
    <s v="Emeka Dembélé"/>
    <x v="240"/>
    <x v="1"/>
    <n v="4"/>
    <n v="12500"/>
    <n v="46499"/>
    <n v="3720"/>
  </r>
  <r>
    <s v="Aïcha Kouyaté"/>
    <x v="1"/>
    <s v="Afrique de l'Ouest"/>
    <s v="Aminata Coulibaly"/>
    <x v="141"/>
    <x v="2"/>
    <n v="8"/>
    <n v="45000"/>
    <n v="345453"/>
    <n v="62182"/>
  </r>
  <r>
    <s v="Fatima Ndiaye"/>
    <x v="8"/>
    <s v="Afrique de l'Est"/>
    <s v="Emeka Diop"/>
    <x v="243"/>
    <x v="2"/>
    <n v="1"/>
    <n v="45000"/>
    <n v="49047"/>
    <n v="8828"/>
  </r>
  <r>
    <s v="Fatima Ndiaye"/>
    <x v="5"/>
    <s v="Afrique de l'Est"/>
    <s v="Awa Asante"/>
    <x v="180"/>
    <x v="1"/>
    <n v="6"/>
    <n v="12500"/>
    <n v="71555"/>
    <n v="5724"/>
  </r>
  <r>
    <s v="Ibrahim Traoré"/>
    <x v="11"/>
    <s v="Afrique de l'Ouest"/>
    <s v="Moussa Mensah"/>
    <x v="12"/>
    <x v="0"/>
    <n v="6"/>
    <n v="18500"/>
    <n v="111308"/>
    <n v="13357"/>
  </r>
  <r>
    <s v="Fatima Ndiaye"/>
    <x v="11"/>
    <s v="Afrique de l'Ouest"/>
    <s v="Ngozi Bah"/>
    <x v="253"/>
    <x v="4"/>
    <n v="3"/>
    <n v="15000"/>
    <n v="43204"/>
    <n v="4320"/>
  </r>
  <r>
    <s v="Aïcha Kouyaté"/>
    <x v="9"/>
    <s v="Afrique de l'Ouest"/>
    <s v="Chioma Abubakar"/>
    <x v="161"/>
    <x v="2"/>
    <n v="4"/>
    <n v="45000"/>
    <n v="196765"/>
    <n v="35418"/>
  </r>
  <r>
    <s v="Fatima Ndiaye"/>
    <x v="1"/>
    <s v="Afrique de l'Ouest"/>
    <s v="Awa Ekwueme"/>
    <x v="205"/>
    <x v="1"/>
    <n v="8"/>
    <n v="12500"/>
    <n v="108850"/>
    <n v="8708"/>
  </r>
  <r>
    <s v="Kofi Mensah"/>
    <x v="0"/>
    <s v="Afrique de l'Ouest"/>
    <s v="Ngozi Ekwueme"/>
    <x v="24"/>
    <x v="0"/>
    <n v="6"/>
    <n v="18500"/>
    <n v="120934"/>
    <n v="14512"/>
  </r>
  <r>
    <s v="Fatima Ndiaye"/>
    <x v="13"/>
    <s v="Afrique de l'Ouest"/>
    <s v="Aminata Okonkwo"/>
    <x v="251"/>
    <x v="3"/>
    <n v="5"/>
    <n v="55000"/>
    <n v="301738"/>
    <n v="66382"/>
  </r>
  <r>
    <s v="Amara Diallo"/>
    <x v="1"/>
    <s v="Afrique de l'Ouest"/>
    <s v="Yaw Abubakar"/>
    <x v="357"/>
    <x v="0"/>
    <n v="2"/>
    <n v="18500"/>
    <n v="34703"/>
    <n v="4164"/>
  </r>
  <r>
    <s v="Fatima Ndiaye"/>
    <x v="5"/>
    <s v="Afrique de l'Est"/>
    <s v="Kwame Dembélé"/>
    <x v="9"/>
    <x v="0"/>
    <n v="6"/>
    <n v="18500"/>
    <n v="111194"/>
    <n v="13343"/>
  </r>
  <r>
    <s v="Ibrahim Traoré"/>
    <x v="8"/>
    <s v="Afrique de l'Est"/>
    <s v="Awa Nwosu"/>
    <x v="34"/>
    <x v="2"/>
    <n v="6"/>
    <n v="45000"/>
    <n v="269172"/>
    <n v="48451"/>
  </r>
  <r>
    <s v="Amara Diallo"/>
    <x v="6"/>
    <s v="Afrique de l'Ouest"/>
    <s v="Seydou Cissé"/>
    <x v="51"/>
    <x v="2"/>
    <n v="6"/>
    <n v="45000"/>
    <n v="248264"/>
    <n v="44688"/>
  </r>
  <r>
    <s v="Aïcha Kouyaté"/>
    <x v="8"/>
    <s v="Afrique de l'Est"/>
    <s v="Awa Keïta"/>
    <x v="271"/>
    <x v="0"/>
    <n v="5"/>
    <n v="18500"/>
    <n v="84971"/>
    <n v="10197"/>
  </r>
  <r>
    <s v="Fatima Ndiaye"/>
    <x v="13"/>
    <s v="Afrique de l'Ouest"/>
    <s v="Aminata Nwosu"/>
    <x v="201"/>
    <x v="2"/>
    <n v="6"/>
    <n v="45000"/>
    <n v="293277"/>
    <n v="52790"/>
  </r>
  <r>
    <s v="Fatima Ndiaye"/>
    <x v="12"/>
    <s v="Afrique de l'Est"/>
    <s v="Kwame Nwosu"/>
    <x v="191"/>
    <x v="4"/>
    <n v="9"/>
    <n v="15000"/>
    <n v="136665"/>
    <n v="13666"/>
  </r>
  <r>
    <s v="Amara Diallo"/>
    <x v="14"/>
    <s v="Afrique de l'Ouest"/>
    <s v="Zainab Coulibaly"/>
    <x v="217"/>
    <x v="3"/>
    <n v="9"/>
    <n v="55000"/>
    <n v="473862"/>
    <n v="104250"/>
  </r>
  <r>
    <s v="Aïcha Kouyaté"/>
    <x v="6"/>
    <s v="Afrique de l'Ouest"/>
    <s v="Chidi Okonkwo"/>
    <x v="271"/>
    <x v="1"/>
    <n v="4"/>
    <n v="12500"/>
    <n v="52892"/>
    <n v="4231"/>
  </r>
  <r>
    <s v="Kofi Mensah"/>
    <x v="6"/>
    <s v="Afrique de l'Ouest"/>
    <s v="Chioma Asante"/>
    <x v="65"/>
    <x v="1"/>
    <n v="3"/>
    <n v="12500"/>
    <n v="34583"/>
    <n v="2767"/>
  </r>
  <r>
    <s v="Fatima Ndiaye"/>
    <x v="1"/>
    <s v="Afrique de l'Ouest"/>
    <s v="Chidi Cissé"/>
    <x v="28"/>
    <x v="2"/>
    <n v="10"/>
    <n v="45000"/>
    <n v="425900"/>
    <n v="76662"/>
  </r>
  <r>
    <s v="Kofi Mensah"/>
    <x v="13"/>
    <s v="Afrique de l'Ouest"/>
    <s v="Kwame Dembélé"/>
    <x v="23"/>
    <x v="0"/>
    <n v="2"/>
    <n v="18500"/>
    <n v="36379"/>
    <n v="4365"/>
  </r>
  <r>
    <s v="Ibrahim Traoré"/>
    <x v="10"/>
    <s v="Afrique Centrale"/>
    <s v="Chioma Ekwueme"/>
    <x v="123"/>
    <x v="4"/>
    <n v="10"/>
    <n v="15000"/>
    <n v="144028"/>
    <n v="14403"/>
  </r>
  <r>
    <s v="Fatima Ndiaye"/>
    <x v="6"/>
    <s v="Afrique de l'Ouest"/>
    <s v="Adama Asante"/>
    <x v="330"/>
    <x v="3"/>
    <n v="9"/>
    <n v="55000"/>
    <n v="494566"/>
    <n v="108805"/>
  </r>
  <r>
    <s v="Fatima Ndiaye"/>
    <x v="2"/>
    <s v="Afrique de l'Ouest"/>
    <s v="Mariama Abubakar"/>
    <x v="197"/>
    <x v="3"/>
    <n v="4"/>
    <n v="55000"/>
    <n v="205901"/>
    <n v="45298"/>
  </r>
  <r>
    <s v="Fatima Ndiaye"/>
    <x v="3"/>
    <s v="Afrique Centrale"/>
    <s v="Adama Asante"/>
    <x v="74"/>
    <x v="3"/>
    <n v="7"/>
    <n v="55000"/>
    <n v="374628"/>
    <n v="82418"/>
  </r>
  <r>
    <s v="Aïcha Kouyaté"/>
    <x v="10"/>
    <s v="Afrique Centrale"/>
    <s v="Oumar Kamara"/>
    <x v="135"/>
    <x v="4"/>
    <n v="7"/>
    <n v="15000"/>
    <n v="111867"/>
    <n v="11187"/>
  </r>
  <r>
    <s v="Fatima Ndiaye"/>
    <x v="3"/>
    <s v="Afrique Centrale"/>
    <s v="Moussa Sawadogo"/>
    <x v="42"/>
    <x v="3"/>
    <n v="9"/>
    <n v="55000"/>
    <n v="509999"/>
    <n v="112200"/>
  </r>
  <r>
    <s v="Aïcha Kouyaté"/>
    <x v="7"/>
    <s v="Afrique Centrale"/>
    <s v="Awa Kamara"/>
    <x v="46"/>
    <x v="2"/>
    <n v="9"/>
    <n v="45000"/>
    <n v="372160"/>
    <n v="66989"/>
  </r>
  <r>
    <s v="Aïcha Kouyaté"/>
    <x v="2"/>
    <s v="Afrique de l'Ouest"/>
    <s v="Adama Diop"/>
    <x v="293"/>
    <x v="0"/>
    <n v="6"/>
    <n v="18500"/>
    <n v="114462"/>
    <n v="13735"/>
  </r>
  <r>
    <s v="Kofi Mensah"/>
    <x v="0"/>
    <s v="Afrique de l'Ouest"/>
    <s v="Adama Mensah"/>
    <x v="326"/>
    <x v="2"/>
    <n v="1"/>
    <n v="45000"/>
    <n v="41686"/>
    <n v="7503"/>
  </r>
  <r>
    <s v="Amara Diallo"/>
    <x v="1"/>
    <s v="Afrique de l'Ouest"/>
    <s v="Yaw Diop"/>
    <x v="3"/>
    <x v="4"/>
    <n v="9"/>
    <n v="15000"/>
    <n v="136260"/>
    <n v="13626"/>
  </r>
  <r>
    <s v="Aïcha Kouyaté"/>
    <x v="2"/>
    <s v="Afrique de l'Ouest"/>
    <s v="Kadiatou Okonkwo"/>
    <x v="177"/>
    <x v="2"/>
    <n v="6"/>
    <n v="45000"/>
    <n v="291658"/>
    <n v="52498"/>
  </r>
  <r>
    <s v="Kofi Mensah"/>
    <x v="14"/>
    <s v="Afrique de l'Ouest"/>
    <s v="Awa Touré"/>
    <x v="352"/>
    <x v="3"/>
    <n v="3"/>
    <n v="55000"/>
    <n v="153060"/>
    <n v="33673"/>
  </r>
  <r>
    <s v="Amara Diallo"/>
    <x v="9"/>
    <s v="Afrique de l'Ouest"/>
    <s v="Chidi Okonkwo"/>
    <x v="200"/>
    <x v="1"/>
    <n v="7"/>
    <n v="12500"/>
    <n v="79057"/>
    <n v="6325"/>
  </r>
  <r>
    <s v="Amara Diallo"/>
    <x v="10"/>
    <s v="Afrique Centrale"/>
    <s v="Zainab Abubakar"/>
    <x v="113"/>
    <x v="1"/>
    <n v="5"/>
    <n v="12500"/>
    <n v="64326"/>
    <n v="5146"/>
  </r>
  <r>
    <s v="Kofi Mensah"/>
    <x v="0"/>
    <s v="Afrique de l'Ouest"/>
    <s v="Oumar Bah"/>
    <x v="322"/>
    <x v="3"/>
    <n v="8"/>
    <n v="55000"/>
    <n v="479762"/>
    <n v="105548"/>
  </r>
  <r>
    <s v="Aïcha Kouyaté"/>
    <x v="13"/>
    <s v="Afrique de l'Ouest"/>
    <s v="Aminata Cissé"/>
    <x v="260"/>
    <x v="3"/>
    <n v="6"/>
    <n v="55000"/>
    <n v="319988"/>
    <n v="70397"/>
  </r>
  <r>
    <s v="Kofi Mensah"/>
    <x v="4"/>
    <s v="Afrique de l'Est"/>
    <s v="Kadiatou Nwosu"/>
    <x v="267"/>
    <x v="1"/>
    <n v="8"/>
    <n v="12500"/>
    <n v="109491"/>
    <n v="8759"/>
  </r>
  <r>
    <s v="Kofi Mensah"/>
    <x v="12"/>
    <s v="Afrique de l'Est"/>
    <s v="Mariama Bah"/>
    <x v="350"/>
    <x v="2"/>
    <n v="6"/>
    <n v="45000"/>
    <n v="261881"/>
    <n v="47139"/>
  </r>
  <r>
    <s v="Fatima Ndiaye"/>
    <x v="4"/>
    <s v="Afrique de l'Est"/>
    <s v="Emeka Keïta"/>
    <x v="178"/>
    <x v="2"/>
    <n v="3"/>
    <n v="45000"/>
    <n v="134500"/>
    <n v="24210"/>
  </r>
  <r>
    <s v="Amara Diallo"/>
    <x v="13"/>
    <s v="Afrique de l'Ouest"/>
    <s v="Yaw Ekwueme"/>
    <x v="73"/>
    <x v="4"/>
    <n v="1"/>
    <n v="15000"/>
    <n v="13579"/>
    <n v="1358"/>
  </r>
  <r>
    <s v="Aïcha Kouyaté"/>
    <x v="11"/>
    <s v="Afrique de l'Ouest"/>
    <s v="Kwame Abubakar"/>
    <x v="234"/>
    <x v="4"/>
    <n v="9"/>
    <n v="15000"/>
    <n v="130944"/>
    <n v="13094"/>
  </r>
  <r>
    <s v="Kofi Mensah"/>
    <x v="2"/>
    <s v="Afrique de l'Ouest"/>
    <s v="Mariama Abubakar"/>
    <x v="282"/>
    <x v="4"/>
    <n v="10"/>
    <n v="15000"/>
    <n v="157817"/>
    <n v="15782"/>
  </r>
  <r>
    <s v="Amara Diallo"/>
    <x v="12"/>
    <s v="Afrique de l'Est"/>
    <s v="Kwame Cissé"/>
    <x v="297"/>
    <x v="3"/>
    <n v="3"/>
    <n v="55000"/>
    <n v="153772"/>
    <n v="33830"/>
  </r>
  <r>
    <s v="Kofi Mensah"/>
    <x v="7"/>
    <s v="Afrique Centrale"/>
    <s v="Ngozi Sawadogo"/>
    <x v="327"/>
    <x v="4"/>
    <n v="8"/>
    <n v="15000"/>
    <n v="111575"/>
    <n v="11158"/>
  </r>
  <r>
    <s v="Fatima Ndiaye"/>
    <x v="10"/>
    <s v="Afrique Centrale"/>
    <s v="Chioma Mensah"/>
    <x v="146"/>
    <x v="1"/>
    <n v="10"/>
    <n v="12500"/>
    <n v="129172"/>
    <n v="10334"/>
  </r>
  <r>
    <s v="Aïcha Kouyaté"/>
    <x v="7"/>
    <s v="Afrique Centrale"/>
    <s v="Kadiatou Mensah"/>
    <x v="352"/>
    <x v="1"/>
    <n v="9"/>
    <n v="12500"/>
    <n v="119887"/>
    <n v="9591"/>
  </r>
  <r>
    <s v="Fatima Ndiaye"/>
    <x v="4"/>
    <s v="Afrique de l'Est"/>
    <s v="Chidi Sawadogo"/>
    <x v="155"/>
    <x v="2"/>
    <n v="1"/>
    <n v="45000"/>
    <n v="48255"/>
    <n v="8686"/>
  </r>
  <r>
    <s v="Fatima Ndiaye"/>
    <x v="9"/>
    <s v="Afrique de l'Ouest"/>
    <s v="Yaw Cissé"/>
    <x v="25"/>
    <x v="1"/>
    <n v="8"/>
    <n v="12500"/>
    <n v="97084"/>
    <n v="7767"/>
  </r>
  <r>
    <s v="Kofi Mensah"/>
    <x v="3"/>
    <s v="Afrique Centrale"/>
    <s v="Yaw Okonkwo"/>
    <x v="155"/>
    <x v="4"/>
    <n v="5"/>
    <n v="15000"/>
    <n v="70234"/>
    <n v="7023"/>
  </r>
  <r>
    <s v="Ibrahim Traoré"/>
    <x v="5"/>
    <s v="Afrique de l'Est"/>
    <s v="Chioma Kamara"/>
    <x v="246"/>
    <x v="4"/>
    <n v="5"/>
    <n v="15000"/>
    <n v="73663"/>
    <n v="7366"/>
  </r>
  <r>
    <s v="Fatima Ndiaye"/>
    <x v="11"/>
    <s v="Afrique de l'Ouest"/>
    <s v="Aminata Okonkwo"/>
    <x v="191"/>
    <x v="3"/>
    <n v="7"/>
    <n v="55000"/>
    <n v="352810"/>
    <n v="77618"/>
  </r>
  <r>
    <s v="Aïcha Kouyaté"/>
    <x v="4"/>
    <s v="Afrique de l'Est"/>
    <s v="Awa Ekwueme"/>
    <x v="361"/>
    <x v="2"/>
    <n v="2"/>
    <n v="45000"/>
    <n v="83600"/>
    <n v="150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C6E01-6F8E-4A19-9809-3373B8BF91A2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3:C29" firstHeaderRow="1" firstDataRow="1" firstDataCol="1"/>
  <pivotFields count="12">
    <pivotField showAll="0"/>
    <pivotField axis="axisRow" showAll="0">
      <items count="24">
        <item x="13"/>
        <item x="14"/>
        <item x="12"/>
        <item m="1" x="15"/>
        <item x="11"/>
        <item m="1" x="21"/>
        <item x="2"/>
        <item x="6"/>
        <item x="5"/>
        <item x="3"/>
        <item m="1" x="18"/>
        <item x="4"/>
        <item x="7"/>
        <item x="0"/>
        <item x="1"/>
        <item m="1" x="16"/>
        <item x="8"/>
        <item m="1" x="20"/>
        <item m="1" x="19"/>
        <item m="1" x="17"/>
        <item x="9"/>
        <item m="1" x="22"/>
        <item x="10"/>
        <item t="default"/>
      </items>
    </pivotField>
    <pivotField showAll="0"/>
    <pivotField showAll="0"/>
    <pivotField showAll="0">
      <items count="366">
        <item x="131"/>
        <item x="105"/>
        <item x="110"/>
        <item x="224"/>
        <item x="162"/>
        <item x="153"/>
        <item x="248"/>
        <item x="16"/>
        <item x="64"/>
        <item x="190"/>
        <item x="250"/>
        <item x="146"/>
        <item x="214"/>
        <item x="318"/>
        <item x="356"/>
        <item x="222"/>
        <item x="206"/>
        <item x="359"/>
        <item x="17"/>
        <item x="191"/>
        <item x="88"/>
        <item x="262"/>
        <item x="358"/>
        <item x="5"/>
        <item x="273"/>
        <item x="197"/>
        <item x="142"/>
        <item x="300"/>
        <item x="55"/>
        <item x="127"/>
        <item x="133"/>
        <item x="28"/>
        <item x="113"/>
        <item x="324"/>
        <item x="266"/>
        <item x="111"/>
        <item x="361"/>
        <item x="236"/>
        <item x="287"/>
        <item x="247"/>
        <item x="107"/>
        <item x="135"/>
        <item x="205"/>
        <item x="237"/>
        <item x="151"/>
        <item x="31"/>
        <item x="209"/>
        <item x="278"/>
        <item x="159"/>
        <item x="234"/>
        <item x="22"/>
        <item x="176"/>
        <item x="54"/>
        <item x="4"/>
        <item x="7"/>
        <item x="62"/>
        <item x="327"/>
        <item x="34"/>
        <item x="272"/>
        <item x="301"/>
        <item x="144"/>
        <item x="94"/>
        <item x="65"/>
        <item x="284"/>
        <item x="32"/>
        <item x="296"/>
        <item x="40"/>
        <item x="57"/>
        <item x="194"/>
        <item x="254"/>
        <item x="106"/>
        <item x="312"/>
        <item x="279"/>
        <item x="256"/>
        <item x="181"/>
        <item x="86"/>
        <item x="246"/>
        <item x="160"/>
        <item x="208"/>
        <item x="72"/>
        <item x="71"/>
        <item x="221"/>
        <item x="101"/>
        <item x="285"/>
        <item x="245"/>
        <item x="331"/>
        <item x="323"/>
        <item x="355"/>
        <item x="243"/>
        <item x="291"/>
        <item x="329"/>
        <item x="47"/>
        <item x="274"/>
        <item x="15"/>
        <item x="253"/>
        <item x="348"/>
        <item x="39"/>
        <item x="112"/>
        <item x="322"/>
        <item x="198"/>
        <item x="128"/>
        <item x="261"/>
        <item x="119"/>
        <item x="174"/>
        <item x="18"/>
        <item x="115"/>
        <item x="288"/>
        <item x="27"/>
        <item x="170"/>
        <item x="188"/>
        <item x="316"/>
        <item x="92"/>
        <item x="108"/>
        <item x="148"/>
        <item x="126"/>
        <item x="267"/>
        <item x="11"/>
        <item x="271"/>
        <item x="138"/>
        <item x="207"/>
        <item x="354"/>
        <item x="121"/>
        <item x="311"/>
        <item x="167"/>
        <item x="187"/>
        <item x="280"/>
        <item x="231"/>
        <item x="215"/>
        <item x="352"/>
        <item x="124"/>
        <item x="42"/>
        <item x="73"/>
        <item x="166"/>
        <item x="163"/>
        <item x="211"/>
        <item x="164"/>
        <item x="320"/>
        <item x="337"/>
        <item x="168"/>
        <item x="185"/>
        <item x="3"/>
        <item x="233"/>
        <item x="120"/>
        <item x="122"/>
        <item x="141"/>
        <item x="240"/>
        <item x="309"/>
        <item x="97"/>
        <item x="152"/>
        <item x="179"/>
        <item x="228"/>
        <item x="260"/>
        <item x="317"/>
        <item x="21"/>
        <item x="293"/>
        <item x="118"/>
        <item x="130"/>
        <item x="298"/>
        <item x="51"/>
        <item m="1" x="363"/>
        <item x="132"/>
        <item x="60"/>
        <item x="139"/>
        <item x="239"/>
        <item x="50"/>
        <item x="143"/>
        <item x="61"/>
        <item x="175"/>
        <item x="242"/>
        <item x="357"/>
        <item x="74"/>
        <item x="292"/>
        <item x="161"/>
        <item x="275"/>
        <item x="303"/>
        <item x="149"/>
        <item x="117"/>
        <item x="156"/>
        <item x="220"/>
        <item x="140"/>
        <item x="349"/>
        <item x="223"/>
        <item x="157"/>
        <item x="304"/>
        <item x="297"/>
        <item x="136"/>
        <item x="244"/>
        <item x="177"/>
        <item x="203"/>
        <item x="277"/>
        <item x="96"/>
        <item x="305"/>
        <item x="268"/>
        <item x="43"/>
        <item x="68"/>
        <item x="265"/>
        <item x="44"/>
        <item x="340"/>
        <item x="154"/>
        <item x="56"/>
        <item x="66"/>
        <item x="91"/>
        <item x="53"/>
        <item x="335"/>
        <item x="123"/>
        <item x="80"/>
        <item x="353"/>
        <item x="341"/>
        <item x="184"/>
        <item x="257"/>
        <item x="36"/>
        <item x="290"/>
        <item x="134"/>
        <item x="295"/>
        <item x="109"/>
        <item x="147"/>
        <item x="171"/>
        <item x="95"/>
        <item x="229"/>
        <item x="235"/>
        <item m="1" x="364"/>
        <item x="286"/>
        <item x="333"/>
        <item x="281"/>
        <item x="104"/>
        <item x="319"/>
        <item x="2"/>
        <item x="238"/>
        <item x="210"/>
        <item x="249"/>
        <item x="342"/>
        <item x="77"/>
        <item x="41"/>
        <item x="158"/>
        <item x="178"/>
        <item x="315"/>
        <item x="346"/>
        <item x="213"/>
        <item x="13"/>
        <item x="299"/>
        <item x="259"/>
        <item x="264"/>
        <item x="145"/>
        <item x="276"/>
        <item x="58"/>
        <item x="199"/>
        <item x="10"/>
        <item x="90"/>
        <item x="200"/>
        <item x="302"/>
        <item x="289"/>
        <item x="38"/>
        <item x="48"/>
        <item x="307"/>
        <item x="345"/>
        <item x="165"/>
        <item x="217"/>
        <item x="334"/>
        <item x="19"/>
        <item x="308"/>
        <item x="24"/>
        <item x="251"/>
        <item x="232"/>
        <item x="360"/>
        <item x="93"/>
        <item x="12"/>
        <item x="82"/>
        <item x="14"/>
        <item x="6"/>
        <item x="98"/>
        <item x="8"/>
        <item x="25"/>
        <item x="102"/>
        <item x="114"/>
        <item x="216"/>
        <item x="150"/>
        <item x="45"/>
        <item x="227"/>
        <item x="59"/>
        <item m="1" x="362"/>
        <item x="1"/>
        <item x="79"/>
        <item x="321"/>
        <item x="270"/>
        <item x="182"/>
        <item x="219"/>
        <item x="252"/>
        <item x="202"/>
        <item x="328"/>
        <item x="35"/>
        <item x="0"/>
        <item x="351"/>
        <item x="283"/>
        <item x="183"/>
        <item x="155"/>
        <item x="258"/>
        <item x="225"/>
        <item x="326"/>
        <item x="204"/>
        <item x="23"/>
        <item x="294"/>
        <item x="20"/>
        <item x="37"/>
        <item x="67"/>
        <item x="263"/>
        <item x="169"/>
        <item x="46"/>
        <item x="69"/>
        <item x="78"/>
        <item x="230"/>
        <item x="52"/>
        <item x="137"/>
        <item x="339"/>
        <item x="70"/>
        <item x="30"/>
        <item x="125"/>
        <item x="189"/>
        <item x="212"/>
        <item x="83"/>
        <item x="100"/>
        <item x="325"/>
        <item x="241"/>
        <item x="63"/>
        <item x="226"/>
        <item x="269"/>
        <item x="99"/>
        <item x="310"/>
        <item x="196"/>
        <item x="129"/>
        <item x="186"/>
        <item x="49"/>
        <item x="195"/>
        <item x="75"/>
        <item x="332"/>
        <item x="330"/>
        <item x="33"/>
        <item x="282"/>
        <item x="255"/>
        <item x="26"/>
        <item x="350"/>
        <item x="201"/>
        <item x="343"/>
        <item x="103"/>
        <item x="180"/>
        <item x="116"/>
        <item x="76"/>
        <item x="192"/>
        <item x="87"/>
        <item x="29"/>
        <item x="306"/>
        <item x="193"/>
        <item x="84"/>
        <item x="172"/>
        <item x="338"/>
        <item x="347"/>
        <item x="85"/>
        <item x="344"/>
        <item x="173"/>
        <item x="9"/>
        <item x="81"/>
        <item x="89"/>
        <item x="336"/>
        <item x="218"/>
        <item x="314"/>
        <item x="313"/>
        <item t="default"/>
      </items>
    </pivotField>
    <pivotField showAll="0"/>
    <pivotField showAll="0"/>
    <pivotField showAll="0"/>
    <pivotField dataField="1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16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1"/>
    </i>
    <i>
      <x v="12"/>
    </i>
    <i>
      <x v="13"/>
    </i>
    <i>
      <x v="14"/>
    </i>
    <i>
      <x v="16"/>
    </i>
    <i>
      <x v="20"/>
    </i>
    <i>
      <x v="22"/>
    </i>
    <i t="grand">
      <x/>
    </i>
  </rowItems>
  <colItems count="1">
    <i/>
  </colItems>
  <dataFields count="1">
    <dataField name="Somme de Chiffre d'affaire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0B3833-177C-4AA4-ACE1-AA9E4B2146B7}" name="Tableau croisé dynamique1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G2:J8" firstHeaderRow="0" firstDataRow="1" firstDataCol="1"/>
  <pivotFields count="12">
    <pivotField compact="0" outline="0" showAll="0"/>
    <pivotField compact="0" outline="0" showAll="0">
      <items count="24">
        <item x="13"/>
        <item x="14"/>
        <item x="12"/>
        <item m="1" x="15"/>
        <item x="11"/>
        <item m="1" x="21"/>
        <item x="2"/>
        <item x="6"/>
        <item x="5"/>
        <item x="3"/>
        <item m="1" x="18"/>
        <item x="4"/>
        <item x="7"/>
        <item x="0"/>
        <item x="1"/>
        <item m="1" x="16"/>
        <item x="8"/>
        <item m="1" x="20"/>
        <item m="1" x="19"/>
        <item m="1" x="17"/>
        <item x="9"/>
        <item m="1" x="22"/>
        <item x="10"/>
        <item t="default"/>
      </items>
    </pivotField>
    <pivotField compact="0" outline="0" showAll="0"/>
    <pivotField compact="0" outline="0" showAll="0"/>
    <pivotField compact="0" outline="0" showAll="0">
      <items count="366">
        <item x="131"/>
        <item x="105"/>
        <item x="110"/>
        <item x="224"/>
        <item x="162"/>
        <item x="153"/>
        <item x="248"/>
        <item x="16"/>
        <item x="64"/>
        <item x="190"/>
        <item x="250"/>
        <item x="146"/>
        <item x="214"/>
        <item x="318"/>
        <item x="356"/>
        <item x="222"/>
        <item x="206"/>
        <item x="359"/>
        <item x="17"/>
        <item x="191"/>
        <item x="88"/>
        <item x="262"/>
        <item x="358"/>
        <item x="5"/>
        <item x="273"/>
        <item x="197"/>
        <item x="142"/>
        <item x="300"/>
        <item x="55"/>
        <item x="127"/>
        <item x="133"/>
        <item x="28"/>
        <item x="113"/>
        <item x="324"/>
        <item x="266"/>
        <item x="111"/>
        <item x="361"/>
        <item x="236"/>
        <item x="287"/>
        <item x="247"/>
        <item x="107"/>
        <item x="135"/>
        <item x="205"/>
        <item x="237"/>
        <item x="151"/>
        <item x="31"/>
        <item x="209"/>
        <item x="278"/>
        <item x="159"/>
        <item x="234"/>
        <item x="22"/>
        <item x="176"/>
        <item x="54"/>
        <item x="4"/>
        <item x="7"/>
        <item x="62"/>
        <item x="327"/>
        <item x="34"/>
        <item x="272"/>
        <item x="301"/>
        <item x="144"/>
        <item x="94"/>
        <item x="65"/>
        <item x="284"/>
        <item x="32"/>
        <item x="296"/>
        <item x="40"/>
        <item x="57"/>
        <item x="194"/>
        <item x="254"/>
        <item x="106"/>
        <item x="312"/>
        <item x="279"/>
        <item x="256"/>
        <item x="181"/>
        <item x="86"/>
        <item x="246"/>
        <item x="160"/>
        <item x="208"/>
        <item x="72"/>
        <item x="71"/>
        <item x="221"/>
        <item x="101"/>
        <item x="285"/>
        <item x="245"/>
        <item x="331"/>
        <item x="323"/>
        <item x="355"/>
        <item x="243"/>
        <item x="291"/>
        <item x="329"/>
        <item x="47"/>
        <item x="274"/>
        <item x="15"/>
        <item x="253"/>
        <item x="348"/>
        <item x="39"/>
        <item x="112"/>
        <item x="322"/>
        <item x="198"/>
        <item x="128"/>
        <item x="261"/>
        <item x="119"/>
        <item x="174"/>
        <item x="18"/>
        <item x="115"/>
        <item x="288"/>
        <item x="27"/>
        <item x="170"/>
        <item x="188"/>
        <item x="316"/>
        <item x="92"/>
        <item x="108"/>
        <item x="148"/>
        <item x="126"/>
        <item x="267"/>
        <item x="11"/>
        <item x="271"/>
        <item x="138"/>
        <item x="207"/>
        <item x="354"/>
        <item x="121"/>
        <item x="311"/>
        <item x="167"/>
        <item x="187"/>
        <item x="280"/>
        <item x="231"/>
        <item x="215"/>
        <item x="352"/>
        <item x="124"/>
        <item x="42"/>
        <item x="73"/>
        <item x="166"/>
        <item x="163"/>
        <item x="211"/>
        <item x="164"/>
        <item x="320"/>
        <item x="337"/>
        <item x="168"/>
        <item x="185"/>
        <item x="3"/>
        <item x="233"/>
        <item x="120"/>
        <item x="122"/>
        <item x="141"/>
        <item x="240"/>
        <item x="309"/>
        <item x="97"/>
        <item x="152"/>
        <item x="179"/>
        <item x="228"/>
        <item x="260"/>
        <item x="317"/>
        <item x="21"/>
        <item x="293"/>
        <item x="118"/>
        <item x="130"/>
        <item x="298"/>
        <item x="51"/>
        <item m="1" x="363"/>
        <item x="132"/>
        <item x="60"/>
        <item x="139"/>
        <item x="239"/>
        <item x="50"/>
        <item x="143"/>
        <item x="61"/>
        <item x="175"/>
        <item x="242"/>
        <item x="357"/>
        <item x="74"/>
        <item x="292"/>
        <item x="161"/>
        <item x="275"/>
        <item x="303"/>
        <item x="149"/>
        <item x="117"/>
        <item x="156"/>
        <item x="220"/>
        <item x="140"/>
        <item x="349"/>
        <item x="223"/>
        <item x="157"/>
        <item x="304"/>
        <item x="297"/>
        <item x="136"/>
        <item x="244"/>
        <item x="177"/>
        <item x="203"/>
        <item x="277"/>
        <item x="96"/>
        <item x="305"/>
        <item x="268"/>
        <item x="43"/>
        <item x="68"/>
        <item x="265"/>
        <item x="44"/>
        <item x="340"/>
        <item x="154"/>
        <item x="56"/>
        <item x="66"/>
        <item x="91"/>
        <item x="53"/>
        <item x="335"/>
        <item x="123"/>
        <item x="80"/>
        <item x="353"/>
        <item x="341"/>
        <item x="184"/>
        <item x="257"/>
        <item x="36"/>
        <item x="290"/>
        <item x="134"/>
        <item x="295"/>
        <item x="109"/>
        <item x="147"/>
        <item x="171"/>
        <item x="95"/>
        <item x="229"/>
        <item x="235"/>
        <item m="1" x="364"/>
        <item x="286"/>
        <item x="333"/>
        <item x="281"/>
        <item x="104"/>
        <item x="319"/>
        <item x="2"/>
        <item x="238"/>
        <item x="210"/>
        <item x="249"/>
        <item x="342"/>
        <item x="77"/>
        <item x="41"/>
        <item x="158"/>
        <item x="178"/>
        <item x="315"/>
        <item x="346"/>
        <item x="213"/>
        <item x="13"/>
        <item x="299"/>
        <item x="259"/>
        <item x="264"/>
        <item x="145"/>
        <item x="276"/>
        <item x="58"/>
        <item x="199"/>
        <item x="10"/>
        <item x="90"/>
        <item x="200"/>
        <item x="302"/>
        <item x="289"/>
        <item x="38"/>
        <item x="48"/>
        <item x="307"/>
        <item x="345"/>
        <item x="165"/>
        <item x="217"/>
        <item x="334"/>
        <item x="19"/>
        <item x="308"/>
        <item x="24"/>
        <item x="251"/>
        <item x="232"/>
        <item x="360"/>
        <item x="93"/>
        <item x="12"/>
        <item x="82"/>
        <item x="14"/>
        <item x="6"/>
        <item x="98"/>
        <item x="8"/>
        <item x="25"/>
        <item x="102"/>
        <item x="114"/>
        <item x="216"/>
        <item x="150"/>
        <item x="45"/>
        <item x="227"/>
        <item x="59"/>
        <item m="1" x="362"/>
        <item x="1"/>
        <item x="79"/>
        <item x="321"/>
        <item x="270"/>
        <item x="182"/>
        <item x="219"/>
        <item x="252"/>
        <item x="202"/>
        <item x="328"/>
        <item x="35"/>
        <item x="0"/>
        <item x="351"/>
        <item x="283"/>
        <item x="183"/>
        <item x="155"/>
        <item x="258"/>
        <item x="225"/>
        <item x="326"/>
        <item x="204"/>
        <item x="23"/>
        <item x="294"/>
        <item x="20"/>
        <item x="37"/>
        <item x="67"/>
        <item x="263"/>
        <item x="169"/>
        <item x="46"/>
        <item x="69"/>
        <item x="78"/>
        <item x="230"/>
        <item x="52"/>
        <item x="137"/>
        <item x="339"/>
        <item x="70"/>
        <item x="30"/>
        <item x="125"/>
        <item x="189"/>
        <item x="212"/>
        <item x="83"/>
        <item x="100"/>
        <item x="325"/>
        <item x="241"/>
        <item x="63"/>
        <item x="226"/>
        <item x="269"/>
        <item x="99"/>
        <item x="310"/>
        <item x="196"/>
        <item x="129"/>
        <item x="186"/>
        <item x="49"/>
        <item x="195"/>
        <item x="75"/>
        <item x="332"/>
        <item x="330"/>
        <item x="33"/>
        <item x="282"/>
        <item x="255"/>
        <item x="26"/>
        <item x="350"/>
        <item x="201"/>
        <item x="343"/>
        <item x="103"/>
        <item x="180"/>
        <item x="116"/>
        <item x="76"/>
        <item x="192"/>
        <item x="87"/>
        <item x="29"/>
        <item x="306"/>
        <item x="193"/>
        <item x="84"/>
        <item x="172"/>
        <item x="338"/>
        <item x="347"/>
        <item x="85"/>
        <item x="344"/>
        <item x="173"/>
        <item x="9"/>
        <item x="81"/>
        <item x="89"/>
        <item x="336"/>
        <item x="218"/>
        <item x="314"/>
        <item x="313"/>
        <item t="default"/>
      </items>
    </pivotField>
    <pivotField axis="axisRow" compact="0" outline="0" showAll="0">
      <items count="10">
        <item x="0"/>
        <item sd="0" x="4"/>
        <item sd="0" x="3"/>
        <item m="1" x="6"/>
        <item sd="0" x="1"/>
        <item sd="0" x="2"/>
        <item m="1" x="8"/>
        <item m="1" x="5"/>
        <item m="1" x="7"/>
        <item t="default"/>
      </items>
    </pivotField>
    <pivotField dataField="1"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e de Chiffre d'affaires" fld="8" baseField="0" baseItem="0" numFmtId="164"/>
    <dataField name="Somme de Bénéfice" fld="9" baseField="0" baseItem="0" numFmtId="164"/>
    <dataField name="Somme de Quantité" fld="6" baseField="0" baseItem="0"/>
  </dataFields>
  <formats count="1">
    <format dxfId="2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1D2F60-8E68-4958-89B3-A153846DCCCB}" name="Tableau croisé dynamique8" cacheId="0" applyNumberFormats="0" applyBorderFormats="0" applyFontFormats="0" applyPatternFormats="0" applyAlignmentFormats="0" applyWidthHeightFormats="1" dataCaption="Valeurs" updatedVersion="8" minRefreshableVersion="5" useAutoFormatting="1" itemPrintTitles="1" createdVersion="8" indent="0" outline="1" outlineData="1" multipleFieldFilters="0" chartFormat="9">
  <location ref="B91:C97" firstHeaderRow="1" firstDataRow="1" firstDataCol="1"/>
  <pivotFields count="12">
    <pivotField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numFmtId="14" showAll="0">
      <items count="366">
        <item x="131"/>
        <item x="105"/>
        <item x="110"/>
        <item x="224"/>
        <item x="162"/>
        <item x="153"/>
        <item x="248"/>
        <item x="16"/>
        <item x="64"/>
        <item x="190"/>
        <item x="250"/>
        <item x="146"/>
        <item x="214"/>
        <item x="318"/>
        <item x="356"/>
        <item x="222"/>
        <item x="206"/>
        <item x="359"/>
        <item x="17"/>
        <item x="191"/>
        <item x="88"/>
        <item x="262"/>
        <item x="358"/>
        <item x="5"/>
        <item x="273"/>
        <item x="197"/>
        <item x="142"/>
        <item x="300"/>
        <item x="55"/>
        <item x="127"/>
        <item x="133"/>
        <item x="28"/>
        <item x="113"/>
        <item x="324"/>
        <item x="266"/>
        <item x="111"/>
        <item x="361"/>
        <item x="236"/>
        <item x="287"/>
        <item x="247"/>
        <item x="107"/>
        <item x="135"/>
        <item x="205"/>
        <item x="237"/>
        <item x="151"/>
        <item x="31"/>
        <item x="209"/>
        <item x="278"/>
        <item x="159"/>
        <item x="234"/>
        <item x="22"/>
        <item x="176"/>
        <item x="54"/>
        <item x="4"/>
        <item x="7"/>
        <item x="62"/>
        <item x="327"/>
        <item x="34"/>
        <item x="272"/>
        <item x="301"/>
        <item x="144"/>
        <item x="94"/>
        <item x="65"/>
        <item x="284"/>
        <item x="32"/>
        <item x="296"/>
        <item x="40"/>
        <item x="57"/>
        <item x="194"/>
        <item x="254"/>
        <item x="106"/>
        <item x="312"/>
        <item x="279"/>
        <item x="256"/>
        <item x="181"/>
        <item x="86"/>
        <item x="246"/>
        <item x="160"/>
        <item x="208"/>
        <item x="72"/>
        <item x="71"/>
        <item x="221"/>
        <item x="101"/>
        <item x="285"/>
        <item x="245"/>
        <item x="331"/>
        <item x="323"/>
        <item x="355"/>
        <item x="243"/>
        <item x="291"/>
        <item x="329"/>
        <item x="47"/>
        <item x="274"/>
        <item x="15"/>
        <item x="348"/>
        <item x="39"/>
        <item x="112"/>
        <item x="322"/>
        <item x="198"/>
        <item x="128"/>
        <item x="261"/>
        <item x="119"/>
        <item x="174"/>
        <item x="18"/>
        <item x="115"/>
        <item x="288"/>
        <item x="27"/>
        <item x="170"/>
        <item x="188"/>
        <item x="316"/>
        <item x="92"/>
        <item x="108"/>
        <item x="148"/>
        <item x="126"/>
        <item x="267"/>
        <item x="11"/>
        <item x="271"/>
        <item x="138"/>
        <item x="207"/>
        <item x="354"/>
        <item x="121"/>
        <item x="311"/>
        <item x="167"/>
        <item x="187"/>
        <item x="280"/>
        <item x="231"/>
        <item x="215"/>
        <item x="352"/>
        <item x="124"/>
        <item x="42"/>
        <item x="73"/>
        <item x="166"/>
        <item x="163"/>
        <item x="211"/>
        <item x="164"/>
        <item x="320"/>
        <item x="337"/>
        <item x="168"/>
        <item x="185"/>
        <item x="3"/>
        <item x="233"/>
        <item x="120"/>
        <item x="122"/>
        <item x="141"/>
        <item x="240"/>
        <item x="309"/>
        <item x="97"/>
        <item x="152"/>
        <item x="179"/>
        <item x="228"/>
        <item x="260"/>
        <item x="317"/>
        <item x="21"/>
        <item x="293"/>
        <item x="118"/>
        <item x="130"/>
        <item x="298"/>
        <item x="51"/>
        <item m="1" x="363"/>
        <item x="132"/>
        <item x="60"/>
        <item x="139"/>
        <item x="239"/>
        <item x="50"/>
        <item x="143"/>
        <item x="61"/>
        <item x="175"/>
        <item x="242"/>
        <item x="357"/>
        <item x="74"/>
        <item x="292"/>
        <item x="161"/>
        <item x="275"/>
        <item x="303"/>
        <item x="149"/>
        <item x="117"/>
        <item x="156"/>
        <item x="220"/>
        <item x="140"/>
        <item x="349"/>
        <item x="223"/>
        <item x="157"/>
        <item x="304"/>
        <item x="297"/>
        <item x="136"/>
        <item x="244"/>
        <item x="177"/>
        <item x="203"/>
        <item x="277"/>
        <item x="96"/>
        <item x="305"/>
        <item x="268"/>
        <item x="43"/>
        <item x="68"/>
        <item x="265"/>
        <item x="44"/>
        <item x="340"/>
        <item x="154"/>
        <item x="56"/>
        <item x="66"/>
        <item x="91"/>
        <item x="53"/>
        <item x="335"/>
        <item x="123"/>
        <item x="80"/>
        <item x="353"/>
        <item x="341"/>
        <item x="184"/>
        <item x="257"/>
        <item x="36"/>
        <item x="290"/>
        <item x="134"/>
        <item x="295"/>
        <item x="109"/>
        <item x="147"/>
        <item x="171"/>
        <item x="95"/>
        <item x="229"/>
        <item x="235"/>
        <item m="1" x="364"/>
        <item x="286"/>
        <item x="333"/>
        <item x="281"/>
        <item x="104"/>
        <item x="319"/>
        <item x="2"/>
        <item x="238"/>
        <item x="210"/>
        <item x="249"/>
        <item x="342"/>
        <item x="77"/>
        <item x="41"/>
        <item x="158"/>
        <item x="178"/>
        <item x="315"/>
        <item x="346"/>
        <item x="213"/>
        <item x="13"/>
        <item x="299"/>
        <item x="259"/>
        <item x="264"/>
        <item x="145"/>
        <item x="276"/>
        <item x="58"/>
        <item x="10"/>
        <item x="90"/>
        <item x="200"/>
        <item x="302"/>
        <item x="289"/>
        <item x="38"/>
        <item x="48"/>
        <item x="307"/>
        <item x="345"/>
        <item x="165"/>
        <item x="217"/>
        <item x="334"/>
        <item x="19"/>
        <item x="308"/>
        <item x="24"/>
        <item x="251"/>
        <item x="232"/>
        <item x="360"/>
        <item x="93"/>
        <item x="12"/>
        <item x="82"/>
        <item x="14"/>
        <item x="6"/>
        <item x="98"/>
        <item x="8"/>
        <item x="25"/>
        <item x="102"/>
        <item x="114"/>
        <item x="216"/>
        <item x="150"/>
        <item x="45"/>
        <item x="227"/>
        <item x="59"/>
        <item m="1" x="362"/>
        <item x="1"/>
        <item x="79"/>
        <item x="321"/>
        <item x="270"/>
        <item x="182"/>
        <item x="219"/>
        <item x="252"/>
        <item x="202"/>
        <item x="328"/>
        <item x="35"/>
        <item x="0"/>
        <item x="351"/>
        <item x="283"/>
        <item x="183"/>
        <item x="155"/>
        <item x="258"/>
        <item x="225"/>
        <item x="326"/>
        <item x="204"/>
        <item x="23"/>
        <item x="294"/>
        <item x="20"/>
        <item x="37"/>
        <item x="67"/>
        <item x="263"/>
        <item x="169"/>
        <item x="46"/>
        <item x="69"/>
        <item x="78"/>
        <item x="230"/>
        <item x="52"/>
        <item x="137"/>
        <item x="339"/>
        <item x="70"/>
        <item x="30"/>
        <item x="125"/>
        <item x="189"/>
        <item x="212"/>
        <item x="83"/>
        <item x="100"/>
        <item x="325"/>
        <item x="241"/>
        <item x="63"/>
        <item x="226"/>
        <item x="269"/>
        <item x="99"/>
        <item x="310"/>
        <item x="196"/>
        <item x="129"/>
        <item x="186"/>
        <item x="49"/>
        <item x="195"/>
        <item x="75"/>
        <item x="332"/>
        <item x="330"/>
        <item x="33"/>
        <item x="282"/>
        <item x="255"/>
        <item x="26"/>
        <item x="350"/>
        <item x="201"/>
        <item x="343"/>
        <item x="103"/>
        <item x="180"/>
        <item x="116"/>
        <item x="76"/>
        <item x="192"/>
        <item x="87"/>
        <item x="29"/>
        <item x="306"/>
        <item x="193"/>
        <item x="84"/>
        <item x="172"/>
        <item x="338"/>
        <item x="347"/>
        <item x="85"/>
        <item x="344"/>
        <item x="173"/>
        <item x="9"/>
        <item x="81"/>
        <item x="89"/>
        <item x="336"/>
        <item x="218"/>
        <item x="314"/>
        <item x="313"/>
        <item x="253"/>
        <item x="199"/>
        <item t="default"/>
      </items>
    </pivotField>
    <pivotField axis="axisRow" showAll="0">
      <items count="6">
        <item x="0"/>
        <item x="4"/>
        <item x="3"/>
        <item x="1"/>
        <item x="2"/>
        <item t="default"/>
      </items>
    </pivotField>
    <pivotField showAll="0"/>
    <pivotField numFmtId="3" showAll="0"/>
    <pivotField dataField="1" numFmtId="3" showAll="0"/>
    <pivotField numFmtId="3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Chiffre d'affaires" fld="8" showDataAs="percentOfCol" baseField="0" baseItem="0" numFmtId="10"/>
  </dataFields>
  <formats count="1">
    <format dxfId="22">
      <pivotArea collapsedLevelsAreSubtotals="1" fieldPosition="0">
        <references count="1">
          <reference field="5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73DE2F-327B-4DAF-858E-4A6CD7839268}" name="Tableau croisé dynamique5" cacheId="0" applyNumberFormats="0" applyBorderFormats="0" applyFontFormats="0" applyPatternFormats="0" applyAlignmentFormats="0" applyWidthHeightFormats="1" dataCaption="Valeurs" updatedVersion="8" minRefreshableVersion="5" useAutoFormatting="1" itemPrintTitles="1" createdVersion="8" indent="0" outline="1" outlineData="1" multipleFieldFilters="0" chartFormat="9">
  <location ref="B56:C69" firstHeaderRow="1" firstDataRow="1" firstDataCol="1"/>
  <pivotFields count="12">
    <pivotField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numFmtId="14" showAll="0">
      <items count="366">
        <item x="131"/>
        <item x="105"/>
        <item x="110"/>
        <item x="224"/>
        <item x="162"/>
        <item x="153"/>
        <item x="248"/>
        <item x="16"/>
        <item x="64"/>
        <item x="190"/>
        <item x="250"/>
        <item x="146"/>
        <item x="214"/>
        <item x="318"/>
        <item x="356"/>
        <item x="222"/>
        <item x="206"/>
        <item x="359"/>
        <item x="17"/>
        <item x="191"/>
        <item x="88"/>
        <item x="262"/>
        <item x="358"/>
        <item x="5"/>
        <item x="273"/>
        <item x="197"/>
        <item x="142"/>
        <item x="300"/>
        <item x="55"/>
        <item x="127"/>
        <item x="133"/>
        <item x="28"/>
        <item x="113"/>
        <item x="324"/>
        <item x="266"/>
        <item x="111"/>
        <item x="361"/>
        <item x="236"/>
        <item x="287"/>
        <item x="247"/>
        <item x="107"/>
        <item x="135"/>
        <item x="205"/>
        <item x="237"/>
        <item x="151"/>
        <item x="31"/>
        <item x="209"/>
        <item x="278"/>
        <item x="159"/>
        <item x="234"/>
        <item x="22"/>
        <item x="176"/>
        <item x="54"/>
        <item x="4"/>
        <item x="7"/>
        <item x="62"/>
        <item x="327"/>
        <item x="34"/>
        <item x="272"/>
        <item x="301"/>
        <item x="144"/>
        <item x="94"/>
        <item x="65"/>
        <item x="284"/>
        <item x="32"/>
        <item x="296"/>
        <item x="40"/>
        <item x="57"/>
        <item x="194"/>
        <item x="254"/>
        <item x="106"/>
        <item x="312"/>
        <item x="279"/>
        <item x="256"/>
        <item x="181"/>
        <item x="86"/>
        <item x="246"/>
        <item x="160"/>
        <item x="208"/>
        <item x="72"/>
        <item x="71"/>
        <item x="221"/>
        <item x="101"/>
        <item x="285"/>
        <item x="245"/>
        <item x="331"/>
        <item x="323"/>
        <item x="355"/>
        <item x="243"/>
        <item x="291"/>
        <item x="329"/>
        <item x="47"/>
        <item x="274"/>
        <item x="15"/>
        <item x="348"/>
        <item x="39"/>
        <item x="112"/>
        <item x="322"/>
        <item x="198"/>
        <item x="128"/>
        <item x="261"/>
        <item x="119"/>
        <item x="174"/>
        <item x="18"/>
        <item x="115"/>
        <item x="288"/>
        <item x="27"/>
        <item x="170"/>
        <item x="188"/>
        <item x="316"/>
        <item x="92"/>
        <item x="108"/>
        <item x="148"/>
        <item x="126"/>
        <item x="267"/>
        <item x="11"/>
        <item x="271"/>
        <item x="138"/>
        <item x="207"/>
        <item x="354"/>
        <item x="121"/>
        <item x="311"/>
        <item x="167"/>
        <item x="187"/>
        <item x="280"/>
        <item x="231"/>
        <item x="215"/>
        <item x="352"/>
        <item x="124"/>
        <item x="42"/>
        <item x="73"/>
        <item x="166"/>
        <item x="163"/>
        <item x="211"/>
        <item x="164"/>
        <item x="320"/>
        <item x="337"/>
        <item x="168"/>
        <item x="185"/>
        <item x="3"/>
        <item x="233"/>
        <item x="120"/>
        <item x="122"/>
        <item x="141"/>
        <item x="240"/>
        <item x="309"/>
        <item x="97"/>
        <item x="152"/>
        <item x="179"/>
        <item x="228"/>
        <item x="260"/>
        <item x="317"/>
        <item x="21"/>
        <item x="293"/>
        <item x="118"/>
        <item x="130"/>
        <item x="298"/>
        <item x="51"/>
        <item m="1" x="363"/>
        <item x="132"/>
        <item x="60"/>
        <item x="139"/>
        <item x="239"/>
        <item x="50"/>
        <item x="143"/>
        <item x="61"/>
        <item x="175"/>
        <item x="242"/>
        <item x="357"/>
        <item x="74"/>
        <item x="292"/>
        <item x="161"/>
        <item x="275"/>
        <item x="303"/>
        <item x="149"/>
        <item x="117"/>
        <item x="156"/>
        <item x="220"/>
        <item x="140"/>
        <item x="349"/>
        <item x="223"/>
        <item x="157"/>
        <item x="304"/>
        <item x="297"/>
        <item x="136"/>
        <item x="244"/>
        <item x="177"/>
        <item x="203"/>
        <item x="277"/>
        <item x="96"/>
        <item x="305"/>
        <item x="268"/>
        <item x="43"/>
        <item x="68"/>
        <item x="265"/>
        <item x="44"/>
        <item x="340"/>
        <item x="154"/>
        <item x="56"/>
        <item x="66"/>
        <item x="91"/>
        <item x="53"/>
        <item x="335"/>
        <item x="123"/>
        <item x="80"/>
        <item x="353"/>
        <item x="341"/>
        <item x="184"/>
        <item x="257"/>
        <item x="36"/>
        <item x="290"/>
        <item x="134"/>
        <item x="295"/>
        <item x="109"/>
        <item x="147"/>
        <item x="171"/>
        <item x="95"/>
        <item x="229"/>
        <item x="235"/>
        <item m="1" x="364"/>
        <item x="286"/>
        <item x="333"/>
        <item x="281"/>
        <item x="104"/>
        <item x="319"/>
        <item x="2"/>
        <item x="238"/>
        <item x="210"/>
        <item x="249"/>
        <item x="342"/>
        <item x="77"/>
        <item x="41"/>
        <item x="158"/>
        <item x="178"/>
        <item x="315"/>
        <item x="346"/>
        <item x="213"/>
        <item x="13"/>
        <item x="299"/>
        <item x="259"/>
        <item x="264"/>
        <item x="145"/>
        <item x="276"/>
        <item x="58"/>
        <item x="10"/>
        <item x="90"/>
        <item x="200"/>
        <item x="302"/>
        <item x="289"/>
        <item x="38"/>
        <item x="48"/>
        <item x="307"/>
        <item x="345"/>
        <item x="165"/>
        <item x="217"/>
        <item x="334"/>
        <item x="19"/>
        <item x="308"/>
        <item x="24"/>
        <item x="251"/>
        <item x="232"/>
        <item x="360"/>
        <item x="93"/>
        <item x="12"/>
        <item x="82"/>
        <item x="14"/>
        <item x="6"/>
        <item x="98"/>
        <item x="8"/>
        <item x="25"/>
        <item x="102"/>
        <item x="114"/>
        <item x="216"/>
        <item x="150"/>
        <item x="45"/>
        <item x="227"/>
        <item x="59"/>
        <item m="1" x="362"/>
        <item x="1"/>
        <item x="79"/>
        <item x="321"/>
        <item x="270"/>
        <item x="182"/>
        <item x="219"/>
        <item x="252"/>
        <item x="202"/>
        <item x="328"/>
        <item x="35"/>
        <item x="0"/>
        <item x="351"/>
        <item x="283"/>
        <item x="183"/>
        <item x="155"/>
        <item x="258"/>
        <item x="225"/>
        <item x="326"/>
        <item x="204"/>
        <item x="23"/>
        <item x="294"/>
        <item x="20"/>
        <item x="37"/>
        <item x="67"/>
        <item x="263"/>
        <item x="169"/>
        <item x="46"/>
        <item x="69"/>
        <item x="78"/>
        <item x="230"/>
        <item x="52"/>
        <item x="137"/>
        <item x="339"/>
        <item x="70"/>
        <item x="30"/>
        <item x="125"/>
        <item x="189"/>
        <item x="212"/>
        <item x="83"/>
        <item x="100"/>
        <item x="325"/>
        <item x="241"/>
        <item x="63"/>
        <item x="226"/>
        <item x="269"/>
        <item x="99"/>
        <item x="310"/>
        <item x="196"/>
        <item x="129"/>
        <item x="186"/>
        <item x="49"/>
        <item x="195"/>
        <item x="75"/>
        <item x="332"/>
        <item x="330"/>
        <item x="33"/>
        <item x="282"/>
        <item x="255"/>
        <item x="26"/>
        <item x="350"/>
        <item x="201"/>
        <item x="343"/>
        <item x="103"/>
        <item x="180"/>
        <item x="116"/>
        <item x="76"/>
        <item x="192"/>
        <item x="87"/>
        <item x="29"/>
        <item x="306"/>
        <item x="193"/>
        <item x="84"/>
        <item x="172"/>
        <item x="338"/>
        <item x="347"/>
        <item x="85"/>
        <item x="344"/>
        <item x="173"/>
        <item x="9"/>
        <item x="81"/>
        <item x="89"/>
        <item x="336"/>
        <item x="218"/>
        <item x="314"/>
        <item x="313"/>
        <item x="253"/>
        <item x="199"/>
        <item t="default"/>
      </items>
    </pivotField>
    <pivotField showAll="0">
      <items count="6">
        <item x="0"/>
        <item x="4"/>
        <item x="3"/>
        <item x="1"/>
        <item x="2"/>
        <item t="default"/>
      </items>
    </pivotField>
    <pivotField showAll="0"/>
    <pivotField numFmtId="3" showAll="0"/>
    <pivotField dataField="1" numFmtId="3" showAll="0"/>
    <pivotField numFmtId="3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omme de Chiffre d'affaires" fld="8" baseField="0" baseItem="0" numFmtId="3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A3FE53-1331-48B6-A311-13A149DC8DB0}" name="Tableau croisé dynamique7" cacheId="0" applyNumberFormats="0" applyBorderFormats="0" applyFontFormats="0" applyPatternFormats="0" applyAlignmentFormats="0" applyWidthHeightFormats="1" dataCaption="Valeurs" updatedVersion="8" minRefreshableVersion="5" useAutoFormatting="1" itemPrintTitles="1" createdVersion="8" indent="0" outline="1" outlineData="1" multipleFieldFilters="0" chartFormat="7">
  <location ref="B82:C88" firstHeaderRow="1" firstDataRow="1" firstDataCol="1"/>
  <pivotFields count="12">
    <pivotField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axis="axisRow" showAll="0" measureFilter="1" sortType="ascending">
      <items count="226">
        <item x="78"/>
        <item x="192"/>
        <item x="29"/>
        <item x="154"/>
        <item x="201"/>
        <item x="104"/>
        <item x="18"/>
        <item x="61"/>
        <item x="195"/>
        <item x="97"/>
        <item x="46"/>
        <item x="39"/>
        <item x="194"/>
        <item x="146"/>
        <item x="183"/>
        <item x="155"/>
        <item x="116"/>
        <item x="62"/>
        <item x="85"/>
        <item x="224"/>
        <item x="151"/>
        <item x="99"/>
        <item x="221"/>
        <item x="159"/>
        <item x="44"/>
        <item x="73"/>
        <item x="145"/>
        <item x="100"/>
        <item x="105"/>
        <item x="131"/>
        <item x="168"/>
        <item x="50"/>
        <item x="156"/>
        <item x="0"/>
        <item x="17"/>
        <item x="14"/>
        <item x="72"/>
        <item x="54"/>
        <item x="33"/>
        <item x="111"/>
        <item x="167"/>
        <item x="170"/>
        <item x="25"/>
        <item x="213"/>
        <item x="134"/>
        <item x="209"/>
        <item x="148"/>
        <item x="66"/>
        <item x="113"/>
        <item x="27"/>
        <item x="172"/>
        <item x="138"/>
        <item x="130"/>
        <item x="51"/>
        <item x="7"/>
        <item x="11"/>
        <item x="149"/>
        <item x="91"/>
        <item x="102"/>
        <item x="26"/>
        <item x="49"/>
        <item x="58"/>
        <item x="16"/>
        <item x="112"/>
        <item x="81"/>
        <item x="165"/>
        <item x="76"/>
        <item x="190"/>
        <item x="218"/>
        <item x="193"/>
        <item x="59"/>
        <item x="3"/>
        <item x="206"/>
        <item x="129"/>
        <item x="143"/>
        <item x="162"/>
        <item x="12"/>
        <item x="82"/>
        <item x="103"/>
        <item x="83"/>
        <item x="160"/>
        <item x="181"/>
        <item x="185"/>
        <item x="177"/>
        <item x="40"/>
        <item x="8"/>
        <item x="5"/>
        <item x="60"/>
        <item x="176"/>
        <item x="20"/>
        <item x="171"/>
        <item x="88"/>
        <item x="197"/>
        <item x="45"/>
        <item x="67"/>
        <item x="122"/>
        <item x="28"/>
        <item x="56"/>
        <item x="86"/>
        <item x="80"/>
        <item x="137"/>
        <item x="144"/>
        <item x="188"/>
        <item x="132"/>
        <item x="127"/>
        <item x="199"/>
        <item x="164"/>
        <item x="10"/>
        <item x="142"/>
        <item x="35"/>
        <item x="84"/>
        <item x="38"/>
        <item x="114"/>
        <item x="157"/>
        <item x="135"/>
        <item x="92"/>
        <item x="204"/>
        <item x="211"/>
        <item x="115"/>
        <item x="15"/>
        <item x="75"/>
        <item x="19"/>
        <item x="24"/>
        <item x="4"/>
        <item x="119"/>
        <item x="2"/>
        <item x="191"/>
        <item x="43"/>
        <item x="214"/>
        <item x="42"/>
        <item x="47"/>
        <item x="108"/>
        <item x="186"/>
        <item x="94"/>
        <item x="68"/>
        <item x="106"/>
        <item x="120"/>
        <item x="217"/>
        <item x="74"/>
        <item x="34"/>
        <item x="219"/>
        <item x="107"/>
        <item x="140"/>
        <item x="184"/>
        <item x="6"/>
        <item x="87"/>
        <item x="71"/>
        <item x="117"/>
        <item x="121"/>
        <item x="189"/>
        <item x="36"/>
        <item x="98"/>
        <item x="65"/>
        <item x="150"/>
        <item x="161"/>
        <item x="55"/>
        <item x="22"/>
        <item x="173"/>
        <item x="52"/>
        <item x="223"/>
        <item x="175"/>
        <item x="139"/>
        <item x="220"/>
        <item x="210"/>
        <item x="125"/>
        <item x="123"/>
        <item x="96"/>
        <item x="89"/>
        <item x="216"/>
        <item x="200"/>
        <item x="174"/>
        <item x="215"/>
        <item x="79"/>
        <item x="70"/>
        <item x="182"/>
        <item x="21"/>
        <item x="9"/>
        <item x="69"/>
        <item x="158"/>
        <item x="178"/>
        <item x="208"/>
        <item x="136"/>
        <item x="53"/>
        <item x="126"/>
        <item x="109"/>
        <item x="37"/>
        <item x="93"/>
        <item x="212"/>
        <item x="141"/>
        <item x="169"/>
        <item x="222"/>
        <item x="180"/>
        <item x="13"/>
        <item x="152"/>
        <item x="30"/>
        <item x="95"/>
        <item x="90"/>
        <item x="153"/>
        <item x="133"/>
        <item x="64"/>
        <item x="101"/>
        <item x="41"/>
        <item x="57"/>
        <item x="31"/>
        <item x="77"/>
        <item x="179"/>
        <item x="207"/>
        <item x="32"/>
        <item x="196"/>
        <item x="48"/>
        <item x="187"/>
        <item x="147"/>
        <item x="203"/>
        <item x="1"/>
        <item x="23"/>
        <item x="63"/>
        <item x="202"/>
        <item x="198"/>
        <item x="205"/>
        <item x="118"/>
        <item x="128"/>
        <item x="163"/>
        <item x="166"/>
        <item x="124"/>
        <item x="1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366">
        <item x="131"/>
        <item x="105"/>
        <item x="110"/>
        <item x="224"/>
        <item x="162"/>
        <item x="153"/>
        <item x="248"/>
        <item x="16"/>
        <item x="64"/>
        <item x="190"/>
        <item x="250"/>
        <item x="146"/>
        <item x="214"/>
        <item x="318"/>
        <item x="356"/>
        <item x="222"/>
        <item x="206"/>
        <item x="359"/>
        <item x="17"/>
        <item x="191"/>
        <item x="88"/>
        <item x="262"/>
        <item x="358"/>
        <item x="5"/>
        <item x="273"/>
        <item x="197"/>
        <item x="142"/>
        <item x="300"/>
        <item x="55"/>
        <item x="127"/>
        <item x="133"/>
        <item x="28"/>
        <item x="113"/>
        <item x="324"/>
        <item x="266"/>
        <item x="111"/>
        <item x="361"/>
        <item x="236"/>
        <item x="287"/>
        <item x="247"/>
        <item x="107"/>
        <item x="135"/>
        <item x="205"/>
        <item x="237"/>
        <item x="151"/>
        <item x="31"/>
        <item x="209"/>
        <item x="278"/>
        <item x="159"/>
        <item x="234"/>
        <item x="22"/>
        <item x="176"/>
        <item x="54"/>
        <item x="4"/>
        <item x="7"/>
        <item x="62"/>
        <item x="327"/>
        <item x="34"/>
        <item x="272"/>
        <item x="301"/>
        <item x="144"/>
        <item x="94"/>
        <item x="65"/>
        <item x="284"/>
        <item x="32"/>
        <item x="296"/>
        <item x="40"/>
        <item x="57"/>
        <item x="194"/>
        <item x="254"/>
        <item x="106"/>
        <item x="312"/>
        <item x="279"/>
        <item x="256"/>
        <item x="181"/>
        <item x="86"/>
        <item x="246"/>
        <item x="160"/>
        <item x="208"/>
        <item x="72"/>
        <item x="71"/>
        <item x="221"/>
        <item x="101"/>
        <item x="285"/>
        <item x="245"/>
        <item x="331"/>
        <item x="323"/>
        <item x="355"/>
        <item x="243"/>
        <item x="291"/>
        <item x="329"/>
        <item x="47"/>
        <item x="274"/>
        <item x="15"/>
        <item x="348"/>
        <item x="39"/>
        <item x="112"/>
        <item x="322"/>
        <item x="198"/>
        <item x="128"/>
        <item x="261"/>
        <item x="119"/>
        <item x="174"/>
        <item x="18"/>
        <item x="115"/>
        <item x="288"/>
        <item x="27"/>
        <item x="170"/>
        <item x="188"/>
        <item x="316"/>
        <item x="92"/>
        <item x="108"/>
        <item x="148"/>
        <item x="126"/>
        <item x="267"/>
        <item x="11"/>
        <item x="271"/>
        <item x="138"/>
        <item x="207"/>
        <item x="354"/>
        <item x="121"/>
        <item x="311"/>
        <item x="167"/>
        <item x="187"/>
        <item x="280"/>
        <item x="231"/>
        <item x="215"/>
        <item x="352"/>
        <item x="124"/>
        <item x="42"/>
        <item x="73"/>
        <item x="166"/>
        <item x="163"/>
        <item x="211"/>
        <item x="164"/>
        <item x="320"/>
        <item x="337"/>
        <item x="168"/>
        <item x="185"/>
        <item x="3"/>
        <item x="233"/>
        <item x="120"/>
        <item x="122"/>
        <item x="141"/>
        <item x="240"/>
        <item x="309"/>
        <item x="97"/>
        <item x="152"/>
        <item x="179"/>
        <item x="228"/>
        <item x="260"/>
        <item x="317"/>
        <item x="21"/>
        <item x="293"/>
        <item x="118"/>
        <item x="130"/>
        <item x="298"/>
        <item x="51"/>
        <item m="1" x="363"/>
        <item x="132"/>
        <item x="60"/>
        <item x="139"/>
        <item x="239"/>
        <item x="50"/>
        <item x="143"/>
        <item x="61"/>
        <item x="175"/>
        <item x="242"/>
        <item x="357"/>
        <item x="74"/>
        <item x="292"/>
        <item x="161"/>
        <item x="275"/>
        <item x="303"/>
        <item x="149"/>
        <item x="117"/>
        <item x="156"/>
        <item x="220"/>
        <item x="140"/>
        <item x="349"/>
        <item x="223"/>
        <item x="157"/>
        <item x="304"/>
        <item x="297"/>
        <item x="136"/>
        <item x="244"/>
        <item x="177"/>
        <item x="203"/>
        <item x="277"/>
        <item x="96"/>
        <item x="305"/>
        <item x="268"/>
        <item x="43"/>
        <item x="68"/>
        <item x="265"/>
        <item x="44"/>
        <item x="340"/>
        <item x="154"/>
        <item x="56"/>
        <item x="66"/>
        <item x="91"/>
        <item x="53"/>
        <item x="335"/>
        <item x="123"/>
        <item x="80"/>
        <item x="353"/>
        <item x="341"/>
        <item x="184"/>
        <item x="257"/>
        <item x="36"/>
        <item x="290"/>
        <item x="134"/>
        <item x="295"/>
        <item x="109"/>
        <item x="147"/>
        <item x="171"/>
        <item x="95"/>
        <item x="229"/>
        <item x="235"/>
        <item m="1" x="364"/>
        <item x="286"/>
        <item x="333"/>
        <item x="281"/>
        <item x="104"/>
        <item x="319"/>
        <item x="2"/>
        <item x="238"/>
        <item x="210"/>
        <item x="249"/>
        <item x="342"/>
        <item x="77"/>
        <item x="41"/>
        <item x="158"/>
        <item x="178"/>
        <item x="315"/>
        <item x="346"/>
        <item x="213"/>
        <item x="13"/>
        <item x="299"/>
        <item x="259"/>
        <item x="264"/>
        <item x="145"/>
        <item x="276"/>
        <item x="58"/>
        <item x="10"/>
        <item x="90"/>
        <item x="200"/>
        <item x="302"/>
        <item x="289"/>
        <item x="38"/>
        <item x="48"/>
        <item x="307"/>
        <item x="345"/>
        <item x="165"/>
        <item x="217"/>
        <item x="334"/>
        <item x="19"/>
        <item x="308"/>
        <item x="24"/>
        <item x="251"/>
        <item x="232"/>
        <item x="360"/>
        <item x="93"/>
        <item x="12"/>
        <item x="82"/>
        <item x="14"/>
        <item x="6"/>
        <item x="98"/>
        <item x="8"/>
        <item x="25"/>
        <item x="102"/>
        <item x="114"/>
        <item x="216"/>
        <item x="150"/>
        <item x="45"/>
        <item x="227"/>
        <item x="59"/>
        <item m="1" x="362"/>
        <item x="1"/>
        <item x="79"/>
        <item x="321"/>
        <item x="270"/>
        <item x="182"/>
        <item x="219"/>
        <item x="252"/>
        <item x="202"/>
        <item x="328"/>
        <item x="35"/>
        <item x="0"/>
        <item x="351"/>
        <item x="283"/>
        <item x="183"/>
        <item x="155"/>
        <item x="258"/>
        <item x="225"/>
        <item x="326"/>
        <item x="204"/>
        <item x="23"/>
        <item x="294"/>
        <item x="20"/>
        <item x="37"/>
        <item x="67"/>
        <item x="263"/>
        <item x="169"/>
        <item x="46"/>
        <item x="69"/>
        <item x="78"/>
        <item x="230"/>
        <item x="52"/>
        <item x="137"/>
        <item x="339"/>
        <item x="70"/>
        <item x="30"/>
        <item x="125"/>
        <item x="189"/>
        <item x="212"/>
        <item x="83"/>
        <item x="100"/>
        <item x="325"/>
        <item x="241"/>
        <item x="63"/>
        <item x="226"/>
        <item x="269"/>
        <item x="99"/>
        <item x="310"/>
        <item x="196"/>
        <item x="129"/>
        <item x="186"/>
        <item x="49"/>
        <item x="195"/>
        <item x="75"/>
        <item x="332"/>
        <item x="330"/>
        <item x="33"/>
        <item x="282"/>
        <item x="255"/>
        <item x="26"/>
        <item x="350"/>
        <item x="201"/>
        <item x="343"/>
        <item x="103"/>
        <item x="180"/>
        <item x="116"/>
        <item x="76"/>
        <item x="192"/>
        <item x="87"/>
        <item x="29"/>
        <item x="306"/>
        <item x="193"/>
        <item x="84"/>
        <item x="172"/>
        <item x="338"/>
        <item x="347"/>
        <item x="85"/>
        <item x="344"/>
        <item x="173"/>
        <item x="9"/>
        <item x="81"/>
        <item x="89"/>
        <item x="336"/>
        <item x="218"/>
        <item x="314"/>
        <item x="313"/>
        <item x="253"/>
        <item x="199"/>
        <item t="default"/>
      </items>
    </pivotField>
    <pivotField showAll="0">
      <items count="6">
        <item x="0"/>
        <item x="4"/>
        <item x="3"/>
        <item x="1"/>
        <item x="2"/>
        <item t="default"/>
      </items>
    </pivotField>
    <pivotField showAll="0"/>
    <pivotField numFmtId="3" showAll="0"/>
    <pivotField dataField="1" numFmtId="3" showAll="0"/>
    <pivotField numFmtId="3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3"/>
  </rowFields>
  <rowItems count="6">
    <i>
      <x v="198"/>
    </i>
    <i>
      <x v="58"/>
    </i>
    <i>
      <x v="209"/>
    </i>
    <i>
      <x v="33"/>
    </i>
    <i>
      <x v="89"/>
    </i>
    <i t="grand">
      <x/>
    </i>
  </rowItems>
  <colItems count="1">
    <i/>
  </colItems>
  <dataFields count="1">
    <dataField name="Somme de Chiffre d'affaires" fld="8" baseField="0" baseItem="0" numFmtId="3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0C0C4-2F39-4F29-B597-AD61C595B75F}" name="Tableau croisé dynamique6" cacheId="0" applyNumberFormats="0" applyBorderFormats="0" applyFontFormats="0" applyPatternFormats="0" applyAlignmentFormats="0" applyWidthHeightFormats="1" dataCaption="Valeurs" updatedVersion="8" minRefreshableVersion="5" useAutoFormatting="1" itemPrintTitles="1" createdVersion="8" indent="0" outline="1" outlineData="1" multipleFieldFilters="0" chartFormat="5">
  <location ref="B73:C79" firstHeaderRow="1" firstDataRow="1" firstDataCol="1"/>
  <pivotFields count="12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numFmtId="14" showAll="0">
      <items count="366">
        <item x="131"/>
        <item x="105"/>
        <item x="110"/>
        <item x="224"/>
        <item x="162"/>
        <item x="153"/>
        <item x="248"/>
        <item x="16"/>
        <item x="64"/>
        <item x="190"/>
        <item x="250"/>
        <item x="146"/>
        <item x="214"/>
        <item x="318"/>
        <item x="356"/>
        <item x="222"/>
        <item x="206"/>
        <item x="359"/>
        <item x="17"/>
        <item x="191"/>
        <item x="88"/>
        <item x="262"/>
        <item x="358"/>
        <item x="5"/>
        <item x="273"/>
        <item x="197"/>
        <item x="142"/>
        <item x="300"/>
        <item x="55"/>
        <item x="127"/>
        <item x="133"/>
        <item x="28"/>
        <item x="113"/>
        <item x="324"/>
        <item x="266"/>
        <item x="111"/>
        <item x="361"/>
        <item x="236"/>
        <item x="287"/>
        <item x="247"/>
        <item x="107"/>
        <item x="135"/>
        <item x="205"/>
        <item x="237"/>
        <item x="151"/>
        <item x="31"/>
        <item x="209"/>
        <item x="278"/>
        <item x="159"/>
        <item x="234"/>
        <item x="22"/>
        <item x="176"/>
        <item x="54"/>
        <item x="4"/>
        <item x="7"/>
        <item x="62"/>
        <item x="327"/>
        <item x="34"/>
        <item x="272"/>
        <item x="301"/>
        <item x="144"/>
        <item x="94"/>
        <item x="65"/>
        <item x="284"/>
        <item x="32"/>
        <item x="296"/>
        <item x="40"/>
        <item x="57"/>
        <item x="194"/>
        <item x="254"/>
        <item x="106"/>
        <item x="312"/>
        <item x="279"/>
        <item x="256"/>
        <item x="181"/>
        <item x="86"/>
        <item x="246"/>
        <item x="160"/>
        <item x="208"/>
        <item x="72"/>
        <item x="71"/>
        <item x="221"/>
        <item x="101"/>
        <item x="285"/>
        <item x="245"/>
        <item x="331"/>
        <item x="323"/>
        <item x="355"/>
        <item x="243"/>
        <item x="291"/>
        <item x="329"/>
        <item x="47"/>
        <item x="274"/>
        <item x="15"/>
        <item x="348"/>
        <item x="39"/>
        <item x="112"/>
        <item x="322"/>
        <item x="198"/>
        <item x="128"/>
        <item x="261"/>
        <item x="119"/>
        <item x="174"/>
        <item x="18"/>
        <item x="115"/>
        <item x="288"/>
        <item x="27"/>
        <item x="170"/>
        <item x="188"/>
        <item x="316"/>
        <item x="92"/>
        <item x="108"/>
        <item x="148"/>
        <item x="126"/>
        <item x="267"/>
        <item x="11"/>
        <item x="271"/>
        <item x="138"/>
        <item x="207"/>
        <item x="354"/>
        <item x="121"/>
        <item x="311"/>
        <item x="167"/>
        <item x="187"/>
        <item x="280"/>
        <item x="231"/>
        <item x="215"/>
        <item x="352"/>
        <item x="124"/>
        <item x="42"/>
        <item x="73"/>
        <item x="166"/>
        <item x="163"/>
        <item x="211"/>
        <item x="164"/>
        <item x="320"/>
        <item x="337"/>
        <item x="168"/>
        <item x="185"/>
        <item x="3"/>
        <item x="233"/>
        <item x="120"/>
        <item x="122"/>
        <item x="141"/>
        <item x="240"/>
        <item x="309"/>
        <item x="97"/>
        <item x="152"/>
        <item x="179"/>
        <item x="228"/>
        <item x="260"/>
        <item x="317"/>
        <item x="21"/>
        <item x="293"/>
        <item x="118"/>
        <item x="130"/>
        <item x="298"/>
        <item x="51"/>
        <item m="1" x="363"/>
        <item x="132"/>
        <item x="60"/>
        <item x="139"/>
        <item x="239"/>
        <item x="50"/>
        <item x="143"/>
        <item x="61"/>
        <item x="175"/>
        <item x="242"/>
        <item x="357"/>
        <item x="74"/>
        <item x="292"/>
        <item x="161"/>
        <item x="275"/>
        <item x="303"/>
        <item x="149"/>
        <item x="117"/>
        <item x="156"/>
        <item x="220"/>
        <item x="140"/>
        <item x="349"/>
        <item x="223"/>
        <item x="157"/>
        <item x="304"/>
        <item x="297"/>
        <item x="136"/>
        <item x="244"/>
        <item x="177"/>
        <item x="203"/>
        <item x="277"/>
        <item x="96"/>
        <item x="305"/>
        <item x="268"/>
        <item x="43"/>
        <item x="68"/>
        <item x="265"/>
        <item x="44"/>
        <item x="340"/>
        <item x="154"/>
        <item x="56"/>
        <item x="66"/>
        <item x="91"/>
        <item x="53"/>
        <item x="335"/>
        <item x="123"/>
        <item x="80"/>
        <item x="353"/>
        <item x="341"/>
        <item x="184"/>
        <item x="257"/>
        <item x="36"/>
        <item x="290"/>
        <item x="134"/>
        <item x="295"/>
        <item x="109"/>
        <item x="147"/>
        <item x="171"/>
        <item x="95"/>
        <item x="229"/>
        <item x="235"/>
        <item m="1" x="364"/>
        <item x="286"/>
        <item x="333"/>
        <item x="281"/>
        <item x="104"/>
        <item x="319"/>
        <item x="2"/>
        <item x="238"/>
        <item x="210"/>
        <item x="249"/>
        <item x="342"/>
        <item x="77"/>
        <item x="41"/>
        <item x="158"/>
        <item x="178"/>
        <item x="315"/>
        <item x="346"/>
        <item x="213"/>
        <item x="13"/>
        <item x="299"/>
        <item x="259"/>
        <item x="264"/>
        <item x="145"/>
        <item x="276"/>
        <item x="58"/>
        <item x="10"/>
        <item x="90"/>
        <item x="200"/>
        <item x="302"/>
        <item x="289"/>
        <item x="38"/>
        <item x="48"/>
        <item x="307"/>
        <item x="345"/>
        <item x="165"/>
        <item x="217"/>
        <item x="334"/>
        <item x="19"/>
        <item x="308"/>
        <item x="24"/>
        <item x="251"/>
        <item x="232"/>
        <item x="360"/>
        <item x="93"/>
        <item x="12"/>
        <item x="82"/>
        <item x="14"/>
        <item x="6"/>
        <item x="98"/>
        <item x="8"/>
        <item x="25"/>
        <item x="102"/>
        <item x="114"/>
        <item x="216"/>
        <item x="150"/>
        <item x="45"/>
        <item x="227"/>
        <item x="59"/>
        <item m="1" x="362"/>
        <item x="1"/>
        <item x="79"/>
        <item x="321"/>
        <item x="270"/>
        <item x="182"/>
        <item x="219"/>
        <item x="252"/>
        <item x="202"/>
        <item x="328"/>
        <item x="35"/>
        <item x="0"/>
        <item x="351"/>
        <item x="283"/>
        <item x="183"/>
        <item x="155"/>
        <item x="258"/>
        <item x="225"/>
        <item x="326"/>
        <item x="204"/>
        <item x="23"/>
        <item x="294"/>
        <item x="20"/>
        <item x="37"/>
        <item x="67"/>
        <item x="263"/>
        <item x="169"/>
        <item x="46"/>
        <item x="69"/>
        <item x="78"/>
        <item x="230"/>
        <item x="52"/>
        <item x="137"/>
        <item x="339"/>
        <item x="70"/>
        <item x="30"/>
        <item x="125"/>
        <item x="189"/>
        <item x="212"/>
        <item x="83"/>
        <item x="100"/>
        <item x="325"/>
        <item x="241"/>
        <item x="63"/>
        <item x="226"/>
        <item x="269"/>
        <item x="99"/>
        <item x="310"/>
        <item x="196"/>
        <item x="129"/>
        <item x="186"/>
        <item x="49"/>
        <item x="195"/>
        <item x="75"/>
        <item x="332"/>
        <item x="330"/>
        <item x="33"/>
        <item x="282"/>
        <item x="255"/>
        <item x="26"/>
        <item x="350"/>
        <item x="201"/>
        <item x="343"/>
        <item x="103"/>
        <item x="180"/>
        <item x="116"/>
        <item x="76"/>
        <item x="192"/>
        <item x="87"/>
        <item x="29"/>
        <item x="306"/>
        <item x="193"/>
        <item x="84"/>
        <item x="172"/>
        <item x="338"/>
        <item x="347"/>
        <item x="85"/>
        <item x="344"/>
        <item x="173"/>
        <item x="9"/>
        <item x="81"/>
        <item x="89"/>
        <item x="336"/>
        <item x="218"/>
        <item x="314"/>
        <item x="313"/>
        <item x="253"/>
        <item x="199"/>
        <item t="default"/>
      </items>
    </pivotField>
    <pivotField showAll="0">
      <items count="6">
        <item x="0"/>
        <item x="4"/>
        <item x="3"/>
        <item x="1"/>
        <item x="2"/>
        <item t="default"/>
      </items>
    </pivotField>
    <pivotField dataField="1" showAll="0"/>
    <pivotField numFmtId="3" showAll="0"/>
    <pivotField numFmtId="3" showAll="0"/>
    <pivotField numFmtId="3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Quantité" fld="6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backgroundRefresh="0" connectionId="1" xr16:uid="{3D97554E-D03A-44DF-B306-8504E90569DA}" autoFormatId="16" applyNumberFormats="0" applyBorderFormats="0" applyFontFormats="0" applyPatternFormats="0" applyAlignmentFormats="0" applyWidthHeightFormats="0">
  <queryTableRefresh nextId="11">
    <queryTableFields count="10">
      <queryTableField id="1" name="Commercial" tableColumnId="1"/>
      <queryTableField id="2" name="Ville" tableColumnId="2"/>
      <queryTableField id="3" name="Région" tableColumnId="3"/>
      <queryTableField id="4" name="Client" tableColumnId="4"/>
      <queryTableField id="5" name="Date de commande" tableColumnId="5"/>
      <queryTableField id="6" name="Article" tableColumnId="6"/>
      <queryTableField id="7" name="Quantité" tableColumnId="7"/>
      <queryTableField id="8" name="Prix" tableColumnId="8"/>
      <queryTableField id="9" name="Chiffre d'affaires" tableColumnId="9"/>
      <queryTableField id="10" name="Bénéfice" tableColumnId="10"/>
    </queryTableFields>
  </queryTableRefresh>
  <extLst>
    <ext xmlns:x15="http://schemas.microsoft.com/office/spreadsheetml/2010/11/main" uri="{883FBD77-0823-4a55-B5E3-86C4891E6966}">
      <x15:queryTable sourceDataName="Requête - Tableau1 (2)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Ville" xr10:uid="{A6A98C91-A60C-429A-9FA6-6D2542B49BEE}" sourceName="Ville">
  <pivotTables>
    <pivotTable tabId="20" name="Tableau croisé dynamique2"/>
    <pivotTable tabId="20" name="Tableau croisé dynamique1"/>
  </pivotTables>
  <data>
    <tabular pivotCacheId="942706781">
      <items count="23">
        <i x="13" s="1"/>
        <i x="14" s="1"/>
        <i x="12" s="1"/>
        <i x="11" s="1"/>
        <i x="2" s="1"/>
        <i x="6" s="1"/>
        <i x="5" s="1"/>
        <i x="3" s="1"/>
        <i x="4" s="1"/>
        <i x="7" s="1"/>
        <i x="0" s="1"/>
        <i x="1" s="1"/>
        <i x="8" s="1"/>
        <i x="9" s="1"/>
        <i x="10" s="1"/>
        <i x="15" s="1" nd="1"/>
        <i x="21" s="1" nd="1"/>
        <i x="18" s="1" nd="1"/>
        <i x="16" s="1" nd="1"/>
        <i x="20" s="1" nd="1"/>
        <i x="19" s="1" nd="1"/>
        <i x="17" s="1" nd="1"/>
        <i x="22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Commercial" xr10:uid="{47757F77-3E14-4EF8-8FD1-9BF363AB81EB}" sourceName="Commercial">
  <pivotTables>
    <pivotTable tabId="20" name="Tableau croisé dynamique6"/>
    <pivotTable tabId="20" name="Tableau croisé dynamique5"/>
    <pivotTable tabId="20" name="Tableau croisé dynamique7"/>
    <pivotTable tabId="20" name="Tableau croisé dynamique8"/>
  </pivotTables>
  <data>
    <tabular pivotCacheId="296051890">
      <items count="5">
        <i x="0" s="1"/>
        <i x="1" s="1"/>
        <i x="2" s="1"/>
        <i x="3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Article" xr10:uid="{EAFD608A-41B7-48C6-9AC8-A563BAC12D99}" sourceName="Article">
  <pivotTables>
    <pivotTable tabId="20" name="Tableau croisé dynamique5"/>
    <pivotTable tabId="20" name="Tableau croisé dynamique6"/>
    <pivotTable tabId="20" name="Tableau croisé dynamique7"/>
  </pivotTables>
  <data>
    <tabular pivotCacheId="296051890">
      <items count="5">
        <i x="0" s="1"/>
        <i x="4" s="1"/>
        <i x="3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Ville" xr10:uid="{42BFC1AA-6675-4C65-B4E5-9C160637294B}" cache="Segment_Ville" caption="Ville" columnCount="4" style="SlicerStyleLight1" rowHeight="234950"/>
  <slicer name="Commercial" xr10:uid="{E59116E9-76AC-4D45-BCA4-CDBA20BC4109}" cache="Segment_Commercial" caption="Commercial" columnCount="2" style="SlicerStyleLight1" rowHeight="234950"/>
  <slicer name="Article" xr10:uid="{71D58A6E-4404-43FC-8F56-47C470206613}" cache="Segment_Article" caption="Article" columnCount="2" style="SlicerStyleLight1" rowHeight="23495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0E9947-1DE0-47DE-96DB-9D4D3B5DF404}" name="Tableau1" displayName="Tableau1" ref="A1:J2001" totalsRowShown="0" headerRowDxfId="20" headerRowBorderDxfId="19" tableBorderDxfId="18" totalsRowBorderDxfId="17">
  <autoFilter ref="A1:J2001" xr:uid="{C50E9947-1DE0-47DE-96DB-9D4D3B5DF404}"/>
  <tableColumns count="10">
    <tableColumn id="1" xr3:uid="{3A9F8635-C46C-496E-935E-A58A9783A748}" name="Commercial" dataDxfId="16"/>
    <tableColumn id="2" xr3:uid="{6DBF05ED-E3C1-44D3-9F96-7D1C5D6E3526}" name="Ville" dataDxfId="15"/>
    <tableColumn id="3" xr3:uid="{139292E8-6D4B-47E0-A940-958D75EE8DE6}" name="Région" dataDxfId="14"/>
    <tableColumn id="4" xr3:uid="{DC454860-C011-4507-A531-12DB3E48AF08}" name="Client" dataDxfId="13"/>
    <tableColumn id="5" xr3:uid="{15144466-C367-4FEB-B7DE-A24BC8550F65}" name="Date de commande" dataDxfId="12">
      <calculatedColumnFormula>DATE(2025,1,1)+RANDBETWEEN(0,364)</calculatedColumnFormula>
    </tableColumn>
    <tableColumn id="6" xr3:uid="{A602CC1E-3DA7-42A9-8BD3-DFCAFA832E55}" name="Article" dataDxfId="11"/>
    <tableColumn id="7" xr3:uid="{46A2BA19-3012-4793-B749-B35A362A49A2}" name="Quantité" dataDxfId="10"/>
    <tableColumn id="8" xr3:uid="{97BF73D7-994B-4D36-B25C-F39F987F1E7D}" name="Prix" dataDxfId="9"/>
    <tableColumn id="9" xr3:uid="{3D30D2E6-A800-40CA-AFFB-FCEB3E85AC33}" name="Chiffre d'affaires" dataDxfId="8"/>
    <tableColumn id="10" xr3:uid="{378D0F86-7E29-4074-9696-36FC13B1C679}" name="Bénéfice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2264F34-C52D-430C-84CE-8C8A16C6DD5F}" name="Tableau1__2" displayName="Tableau1__2" ref="A1:J1611" tableType="queryTable" totalsRowShown="0">
  <autoFilter ref="A1:J1611" xr:uid="{C2264F34-C52D-430C-84CE-8C8A16C6DD5F}"/>
  <tableColumns count="10">
    <tableColumn id="1" xr3:uid="{C534DF5E-CB12-42B6-8863-7BF17D28AA0D}" uniqueName="1" name="Commercial" queryTableFieldId="1" dataDxfId="6"/>
    <tableColumn id="2" xr3:uid="{CE9F474E-9EAE-4ED6-812B-1FC4FC8E6367}" uniqueName="2" name="Ville" queryTableFieldId="2" dataDxfId="5"/>
    <tableColumn id="3" xr3:uid="{68045BFD-C1DE-4873-BFE6-359669A0DCA8}" uniqueName="3" name="Région" queryTableFieldId="3" dataDxfId="4"/>
    <tableColumn id="4" xr3:uid="{FB466D46-6905-4099-BFBC-4AA13E1C137F}" uniqueName="4" name="Client" queryTableFieldId="4" dataDxfId="3"/>
    <tableColumn id="5" xr3:uid="{2077F57B-631E-414F-84A0-9BA8205C4070}" uniqueName="5" name="Date de commande" queryTableFieldId="5" dataDxfId="2"/>
    <tableColumn id="6" xr3:uid="{395F0DD9-28BB-4B63-A66D-D421762B480A}" uniqueName="6" name="Article" queryTableFieldId="6" dataDxfId="1"/>
    <tableColumn id="7" xr3:uid="{72B8AF9A-A48C-481F-ABE1-5B26547903BF}" uniqueName="7" name="Quantité" queryTableFieldId="7"/>
    <tableColumn id="8" xr3:uid="{701EBFF3-EA21-439C-81EA-EAB396AF829B}" uniqueName="8" name="Prix" queryTableFieldId="8"/>
    <tableColumn id="9" xr3:uid="{F2791EE8-B64E-4AA4-9214-221BE476BC6A}" uniqueName="9" name="Chiffre d'affaires" queryTableFieldId="9"/>
    <tableColumn id="10" xr3:uid="{809A61A7-B570-43BC-BD6D-CDC6D7221D4F}" uniqueName="10" name="Bénéfice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Personnalisé 1">
      <a:dk1>
        <a:srgbClr val="000000"/>
      </a:dk1>
      <a:lt1>
        <a:srgbClr val="FFFFFF"/>
      </a:lt1>
      <a:dk2>
        <a:srgbClr val="666666"/>
      </a:dk2>
      <a:lt2>
        <a:srgbClr val="CCCCCC"/>
      </a:lt2>
      <a:accent1>
        <a:srgbClr val="2185C5"/>
      </a:accent1>
      <a:accent2>
        <a:srgbClr val="FF9715"/>
      </a:accent2>
      <a:accent3>
        <a:srgbClr val="F20253"/>
      </a:accent3>
      <a:accent4>
        <a:srgbClr val="677480"/>
      </a:accent4>
      <a:accent5>
        <a:srgbClr val="7ECEFD"/>
      </a:accent5>
      <a:accent6>
        <a:srgbClr val="97ABBC"/>
      </a:accent6>
      <a:hlink>
        <a:srgbClr val="1155CC"/>
      </a:hlink>
      <a:folHlink>
        <a:srgbClr val="6611C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ChronologieNative_Date_de_commande" xr10:uid="{61C71767-9D73-4305-A3E1-BD4EFFA2E59B}" sourceName="Date de commande">
  <pivotTables>
    <pivotTable tabId="20" name="Tableau croisé dynamique5"/>
    <pivotTable tabId="20" name="Tableau croisé dynamique6"/>
    <pivotTable tabId="20" name="Tableau croisé dynamique7"/>
    <pivotTable tabId="20" name="Tableau croisé dynamique8"/>
  </pivotTables>
  <state minimalRefreshVersion="6" lastRefreshVersion="6" pivotCacheId="296051890" filterType="unknown"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de commande" xr10:uid="{4A7E4C9A-4942-4AF8-87D8-95C94088AFFB}" cache="ChronologieNative_Date_de_commande" caption="Date de commande" level="2" selectionLevel="2" scrollPosition="2025-08-23T00:00:00" style="TimeSlicerStyleLight3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microsoft.com/office/2011/relationships/timeline" Target="../timelines/timelin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01"/>
  <sheetViews>
    <sheetView zoomScale="60" zoomScaleNormal="60" workbookViewId="0">
      <selection activeCell="Q27" sqref="Q27"/>
    </sheetView>
  </sheetViews>
  <sheetFormatPr baseColWidth="10" defaultColWidth="8.88671875" defaultRowHeight="14.4" x14ac:dyDescent="0.3"/>
  <cols>
    <col min="1" max="1" width="16.44140625" style="1" customWidth="1"/>
    <col min="2" max="2" width="14.5546875" style="1" customWidth="1"/>
    <col min="3" max="3" width="11.109375" style="1" customWidth="1"/>
    <col min="4" max="4" width="19.6640625" style="1" customWidth="1"/>
    <col min="5" max="5" width="30.6640625" style="2" bestFit="1" customWidth="1"/>
    <col min="6" max="6" width="11.21875" style="1" bestFit="1" customWidth="1"/>
    <col min="7" max="7" width="12.77734375" style="2" customWidth="1"/>
    <col min="8" max="8" width="8.109375" style="2" bestFit="1" customWidth="1"/>
    <col min="9" max="9" width="22.77734375" style="2" customWidth="1"/>
    <col min="10" max="10" width="13.109375" style="3" customWidth="1"/>
    <col min="11" max="16384" width="8.88671875" style="1"/>
  </cols>
  <sheetData>
    <row r="1" spans="1:10" ht="22.2" customHeight="1" x14ac:dyDescent="0.3">
      <c r="A1" s="18" t="s">
        <v>1</v>
      </c>
      <c r="B1" s="19" t="s">
        <v>2</v>
      </c>
      <c r="C1" s="19" t="s">
        <v>0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9</v>
      </c>
      <c r="J1" s="20" t="s">
        <v>8</v>
      </c>
    </row>
    <row r="2" spans="1:10" x14ac:dyDescent="0.3">
      <c r="A2" s="14" t="s">
        <v>10</v>
      </c>
      <c r="B2" s="4" t="s">
        <v>11</v>
      </c>
      <c r="C2" s="4" t="s">
        <v>12</v>
      </c>
      <c r="D2" s="4" t="s">
        <v>13</v>
      </c>
      <c r="E2" s="13">
        <f t="shared" ref="E2:E66" ca="1" si="0">DATE(2025,1,1)+RANDBETWEEN(0,364)</f>
        <v>45935</v>
      </c>
      <c r="F2" s="4" t="s">
        <v>14</v>
      </c>
      <c r="G2" s="5">
        <v>5</v>
      </c>
      <c r="H2" s="6">
        <v>18500</v>
      </c>
      <c r="I2" s="6">
        <v>84104</v>
      </c>
      <c r="J2" s="16">
        <v>10092</v>
      </c>
    </row>
    <row r="3" spans="1:10" x14ac:dyDescent="0.3">
      <c r="A3" s="15" t="s">
        <v>15</v>
      </c>
      <c r="B3" s="7" t="s">
        <v>16</v>
      </c>
      <c r="C3" s="7" t="s">
        <v>12</v>
      </c>
      <c r="D3" s="7" t="s">
        <v>17</v>
      </c>
      <c r="E3" s="13">
        <f t="shared" ca="1" si="0"/>
        <v>45733</v>
      </c>
      <c r="F3" s="7" t="s">
        <v>14</v>
      </c>
      <c r="G3" s="8">
        <v>2</v>
      </c>
      <c r="H3" s="9">
        <v>18500</v>
      </c>
      <c r="I3" s="9">
        <v>40676</v>
      </c>
      <c r="J3" s="17">
        <v>4881</v>
      </c>
    </row>
    <row r="4" spans="1:10" x14ac:dyDescent="0.3">
      <c r="A4" s="14" t="s">
        <v>18</v>
      </c>
      <c r="B4" s="4" t="s">
        <v>19</v>
      </c>
      <c r="C4" s="4" t="s">
        <v>12</v>
      </c>
      <c r="D4" s="4" t="s">
        <v>20</v>
      </c>
      <c r="E4" s="13">
        <f t="shared" ca="1" si="0"/>
        <v>45841</v>
      </c>
      <c r="F4" s="4" t="s">
        <v>21</v>
      </c>
      <c r="G4" s="5">
        <v>1</v>
      </c>
      <c r="H4" s="6">
        <v>12500</v>
      </c>
      <c r="I4" s="6">
        <v>12725</v>
      </c>
      <c r="J4" s="16">
        <v>1018</v>
      </c>
    </row>
    <row r="5" spans="1:10" x14ac:dyDescent="0.3">
      <c r="A5" s="15" t="s">
        <v>15</v>
      </c>
      <c r="B5" s="7" t="s">
        <v>22</v>
      </c>
      <c r="C5" s="7" t="s">
        <v>23</v>
      </c>
      <c r="D5" s="7" t="s">
        <v>24</v>
      </c>
      <c r="E5" s="13">
        <f t="shared" ca="1" si="0"/>
        <v>45830</v>
      </c>
      <c r="F5" s="7" t="s">
        <v>21</v>
      </c>
      <c r="G5" s="8">
        <v>1</v>
      </c>
      <c r="H5" s="9">
        <v>12500</v>
      </c>
      <c r="I5" s="9">
        <v>11375</v>
      </c>
      <c r="J5" s="17">
        <v>910</v>
      </c>
    </row>
    <row r="6" spans="1:10" x14ac:dyDescent="0.3">
      <c r="A6" s="14" t="s">
        <v>15</v>
      </c>
      <c r="B6" s="4" t="s">
        <v>25</v>
      </c>
      <c r="C6" s="4" t="s">
        <v>26</v>
      </c>
      <c r="D6" s="4" t="s">
        <v>27</v>
      </c>
      <c r="E6" s="13">
        <f t="shared" ca="1" si="0"/>
        <v>45879</v>
      </c>
      <c r="F6" s="4" t="s">
        <v>14</v>
      </c>
      <c r="G6" s="5">
        <v>9</v>
      </c>
      <c r="H6" s="6">
        <v>18500</v>
      </c>
      <c r="I6" s="6">
        <v>149936</v>
      </c>
      <c r="J6" s="16">
        <v>17992</v>
      </c>
    </row>
    <row r="7" spans="1:10" x14ac:dyDescent="0.3">
      <c r="A7" s="15" t="s">
        <v>15</v>
      </c>
      <c r="B7" s="7" t="s">
        <v>11</v>
      </c>
      <c r="C7" s="7" t="s">
        <v>12</v>
      </c>
      <c r="D7" s="7" t="s">
        <v>28</v>
      </c>
      <c r="E7" s="13">
        <f t="shared" ca="1" si="0"/>
        <v>45982</v>
      </c>
      <c r="F7" s="7" t="s">
        <v>21</v>
      </c>
      <c r="G7" s="8">
        <v>1</v>
      </c>
      <c r="H7" s="9">
        <v>12500</v>
      </c>
      <c r="I7" s="9">
        <v>12254</v>
      </c>
      <c r="J7" s="17">
        <v>980</v>
      </c>
    </row>
    <row r="8" spans="1:10" x14ac:dyDescent="0.3">
      <c r="A8" s="14" t="s">
        <v>10</v>
      </c>
      <c r="B8" s="4" t="s">
        <v>29</v>
      </c>
      <c r="C8" s="4" t="s">
        <v>26</v>
      </c>
      <c r="D8" s="4" t="s">
        <v>30</v>
      </c>
      <c r="E8" s="13">
        <f t="shared" ca="1" si="0"/>
        <v>45680</v>
      </c>
      <c r="F8" s="4" t="s">
        <v>21</v>
      </c>
      <c r="G8" s="5">
        <v>2</v>
      </c>
      <c r="H8" s="6">
        <v>12500</v>
      </c>
      <c r="I8" s="6">
        <v>24413</v>
      </c>
      <c r="J8" s="16">
        <v>1953</v>
      </c>
    </row>
    <row r="9" spans="1:10" x14ac:dyDescent="0.3">
      <c r="A9" s="15" t="s">
        <v>15</v>
      </c>
      <c r="B9" s="7" t="s">
        <v>31</v>
      </c>
      <c r="C9" s="7" t="s">
        <v>12</v>
      </c>
      <c r="D9" s="7" t="s">
        <v>32</v>
      </c>
      <c r="E9" s="13">
        <f t="shared" ca="1" si="0"/>
        <v>45971</v>
      </c>
      <c r="F9" s="7" t="s">
        <v>33</v>
      </c>
      <c r="G9" s="8">
        <v>4</v>
      </c>
      <c r="H9" s="9">
        <v>45000</v>
      </c>
      <c r="I9" s="9">
        <v>193941</v>
      </c>
      <c r="J9" s="17">
        <v>34909</v>
      </c>
    </row>
    <row r="10" spans="1:10" x14ac:dyDescent="0.3">
      <c r="A10" s="14" t="s">
        <v>18</v>
      </c>
      <c r="B10" s="4" t="s">
        <v>31</v>
      </c>
      <c r="C10" s="4" t="s">
        <v>12</v>
      </c>
      <c r="D10" s="4" t="s">
        <v>34</v>
      </c>
      <c r="E10" s="13">
        <f t="shared" ca="1" si="0"/>
        <v>45902</v>
      </c>
      <c r="F10" s="4" t="s">
        <v>33</v>
      </c>
      <c r="G10" s="5">
        <v>3</v>
      </c>
      <c r="H10" s="6">
        <v>45000</v>
      </c>
      <c r="I10" s="6">
        <v>134028</v>
      </c>
      <c r="J10" s="16">
        <v>24125</v>
      </c>
    </row>
    <row r="11" spans="1:10" x14ac:dyDescent="0.3">
      <c r="A11" s="15" t="s">
        <v>10</v>
      </c>
      <c r="B11" s="7" t="s">
        <v>22</v>
      </c>
      <c r="C11" s="7" t="s">
        <v>23</v>
      </c>
      <c r="D11" s="7" t="s">
        <v>35</v>
      </c>
      <c r="E11" s="13">
        <f t="shared" ca="1" si="0"/>
        <v>45765</v>
      </c>
      <c r="F11" s="7" t="s">
        <v>36</v>
      </c>
      <c r="G11" s="8">
        <v>10</v>
      </c>
      <c r="H11" s="9">
        <v>55000</v>
      </c>
      <c r="I11" s="9">
        <v>534621</v>
      </c>
      <c r="J11" s="17">
        <v>117617</v>
      </c>
    </row>
    <row r="12" spans="1:10" x14ac:dyDescent="0.3">
      <c r="A12" s="14" t="s">
        <v>37</v>
      </c>
      <c r="B12" s="4" t="s">
        <v>38</v>
      </c>
      <c r="C12" s="4" t="s">
        <v>23</v>
      </c>
      <c r="D12" s="4" t="s">
        <v>39</v>
      </c>
      <c r="E12" s="13">
        <f t="shared" ca="1" si="0"/>
        <v>45904</v>
      </c>
      <c r="F12" s="4" t="s">
        <v>40</v>
      </c>
      <c r="G12" s="5">
        <v>5</v>
      </c>
      <c r="H12" s="6">
        <v>15000</v>
      </c>
      <c r="I12" s="6">
        <v>76739</v>
      </c>
      <c r="J12" s="16">
        <v>7674</v>
      </c>
    </row>
    <row r="13" spans="1:10" x14ac:dyDescent="0.3">
      <c r="A13" s="15" t="s">
        <v>41</v>
      </c>
      <c r="B13" s="7" t="s">
        <v>31</v>
      </c>
      <c r="C13" s="7" t="s">
        <v>12</v>
      </c>
      <c r="D13" s="7" t="s">
        <v>42</v>
      </c>
      <c r="E13" s="13">
        <f t="shared" ca="1" si="0"/>
        <v>45673</v>
      </c>
      <c r="F13" s="7" t="s">
        <v>40</v>
      </c>
      <c r="G13" s="8">
        <v>8</v>
      </c>
      <c r="H13" s="9">
        <v>15000</v>
      </c>
      <c r="I13" s="9">
        <v>129776</v>
      </c>
      <c r="J13" s="17">
        <v>12978</v>
      </c>
    </row>
    <row r="14" spans="1:10" x14ac:dyDescent="0.3">
      <c r="A14" s="14" t="s">
        <v>10</v>
      </c>
      <c r="B14" s="4" t="s">
        <v>19</v>
      </c>
      <c r="C14" s="4" t="s">
        <v>12</v>
      </c>
      <c r="D14" s="4" t="s">
        <v>43</v>
      </c>
      <c r="E14" s="13">
        <f t="shared" ca="1" si="0"/>
        <v>45752</v>
      </c>
      <c r="F14" s="4" t="s">
        <v>21</v>
      </c>
      <c r="G14" s="5">
        <v>8</v>
      </c>
      <c r="H14" s="6">
        <v>12500</v>
      </c>
      <c r="I14" s="6">
        <v>100609</v>
      </c>
      <c r="J14" s="16">
        <v>8049</v>
      </c>
    </row>
    <row r="15" spans="1:10" x14ac:dyDescent="0.3">
      <c r="A15" s="15" t="s">
        <v>18</v>
      </c>
      <c r="B15" s="7" t="s">
        <v>19</v>
      </c>
      <c r="C15" s="7" t="s">
        <v>12</v>
      </c>
      <c r="D15" s="7" t="s">
        <v>44</v>
      </c>
      <c r="E15" s="13">
        <f t="shared" ca="1" si="0"/>
        <v>45803</v>
      </c>
      <c r="F15" s="7" t="s">
        <v>40</v>
      </c>
      <c r="G15" s="8">
        <v>5</v>
      </c>
      <c r="H15" s="9">
        <v>15000</v>
      </c>
      <c r="I15" s="9">
        <v>79825</v>
      </c>
      <c r="J15" s="17">
        <v>7982</v>
      </c>
    </row>
    <row r="16" spans="1:10" x14ac:dyDescent="0.3">
      <c r="A16" s="14" t="s">
        <v>37</v>
      </c>
      <c r="B16" s="4" t="s">
        <v>16</v>
      </c>
      <c r="C16" s="4" t="s">
        <v>12</v>
      </c>
      <c r="D16" s="4" t="s">
        <v>45</v>
      </c>
      <c r="E16" s="13">
        <f t="shared" ca="1" si="0"/>
        <v>45920</v>
      </c>
      <c r="F16" s="4" t="s">
        <v>40</v>
      </c>
      <c r="G16" s="5">
        <v>3</v>
      </c>
      <c r="H16" s="6">
        <v>15000</v>
      </c>
      <c r="I16" s="6">
        <v>42227</v>
      </c>
      <c r="J16" s="16">
        <v>4223</v>
      </c>
    </row>
    <row r="17" spans="1:10" x14ac:dyDescent="0.3">
      <c r="A17" s="15" t="s">
        <v>37</v>
      </c>
      <c r="B17" s="7" t="s">
        <v>46</v>
      </c>
      <c r="C17" s="7" t="s">
        <v>26</v>
      </c>
      <c r="D17" s="7" t="s">
        <v>47</v>
      </c>
      <c r="E17" s="13">
        <f t="shared" ca="1" si="0"/>
        <v>45945</v>
      </c>
      <c r="F17" s="7" t="s">
        <v>14</v>
      </c>
      <c r="G17" s="8">
        <v>2</v>
      </c>
      <c r="H17" s="9">
        <v>18500</v>
      </c>
      <c r="I17" s="9">
        <v>33418</v>
      </c>
      <c r="J17" s="17">
        <v>4010</v>
      </c>
    </row>
    <row r="18" spans="1:10" x14ac:dyDescent="0.3">
      <c r="A18" s="14" t="s">
        <v>10</v>
      </c>
      <c r="B18" s="4" t="s">
        <v>22</v>
      </c>
      <c r="C18" s="4" t="s">
        <v>23</v>
      </c>
      <c r="D18" s="4" t="s">
        <v>48</v>
      </c>
      <c r="E18" s="13">
        <f t="shared" ca="1" si="0"/>
        <v>45923</v>
      </c>
      <c r="F18" s="4" t="s">
        <v>14</v>
      </c>
      <c r="G18" s="5">
        <v>4</v>
      </c>
      <c r="H18" s="6">
        <v>18500</v>
      </c>
      <c r="I18" s="6">
        <v>71482</v>
      </c>
      <c r="J18" s="16">
        <v>8578</v>
      </c>
    </row>
    <row r="19" spans="1:10" x14ac:dyDescent="0.3">
      <c r="A19" s="15" t="s">
        <v>10</v>
      </c>
      <c r="B19" s="7" t="s">
        <v>19</v>
      </c>
      <c r="C19" s="7" t="s">
        <v>12</v>
      </c>
      <c r="D19" s="7" t="s">
        <v>49</v>
      </c>
      <c r="E19" s="13">
        <f t="shared" ca="1" si="0"/>
        <v>45989</v>
      </c>
      <c r="F19" s="7" t="s">
        <v>33</v>
      </c>
      <c r="G19" s="8">
        <v>7</v>
      </c>
      <c r="H19" s="9">
        <v>45000</v>
      </c>
      <c r="I19" s="9">
        <v>346232</v>
      </c>
      <c r="J19" s="17">
        <v>62322</v>
      </c>
    </row>
    <row r="20" spans="1:10" x14ac:dyDescent="0.3">
      <c r="A20" s="14" t="s">
        <v>15</v>
      </c>
      <c r="B20" s="4" t="s">
        <v>25</v>
      </c>
      <c r="C20" s="4" t="s">
        <v>26</v>
      </c>
      <c r="D20" s="4" t="s">
        <v>50</v>
      </c>
      <c r="E20" s="13">
        <f t="shared" ca="1" si="0"/>
        <v>45840</v>
      </c>
      <c r="F20" s="4" t="s">
        <v>36</v>
      </c>
      <c r="G20" s="5">
        <v>4</v>
      </c>
      <c r="H20" s="6">
        <v>55000</v>
      </c>
      <c r="I20" s="6">
        <v>204627</v>
      </c>
      <c r="J20" s="16">
        <v>45018</v>
      </c>
    </row>
    <row r="21" spans="1:10" x14ac:dyDescent="0.3">
      <c r="A21" s="15" t="s">
        <v>18</v>
      </c>
      <c r="B21" s="7" t="s">
        <v>51</v>
      </c>
      <c r="C21" s="7" t="s">
        <v>12</v>
      </c>
      <c r="D21" s="7" t="s">
        <v>52</v>
      </c>
      <c r="E21" s="13">
        <f t="shared" ca="1" si="0"/>
        <v>45844</v>
      </c>
      <c r="F21" s="7" t="s">
        <v>14</v>
      </c>
      <c r="G21" s="8">
        <v>10</v>
      </c>
      <c r="H21" s="9">
        <v>18500</v>
      </c>
      <c r="I21" s="9">
        <v>187317</v>
      </c>
      <c r="J21" s="17">
        <v>22478</v>
      </c>
    </row>
    <row r="22" spans="1:10" x14ac:dyDescent="0.3">
      <c r="A22" s="14" t="s">
        <v>41</v>
      </c>
      <c r="B22" s="4" t="s">
        <v>22</v>
      </c>
      <c r="C22" s="4" t="s">
        <v>23</v>
      </c>
      <c r="D22" s="4" t="s">
        <v>53</v>
      </c>
      <c r="E22" s="13">
        <f t="shared" ca="1" si="0"/>
        <v>45771</v>
      </c>
      <c r="F22" s="4" t="s">
        <v>33</v>
      </c>
      <c r="G22" s="5">
        <v>3</v>
      </c>
      <c r="H22" s="6">
        <v>45000</v>
      </c>
      <c r="I22" s="6">
        <v>129072</v>
      </c>
      <c r="J22" s="16">
        <v>23233</v>
      </c>
    </row>
    <row r="23" spans="1:10" x14ac:dyDescent="0.3">
      <c r="A23" s="15" t="s">
        <v>10</v>
      </c>
      <c r="B23" s="7" t="s">
        <v>11</v>
      </c>
      <c r="C23" s="7" t="s">
        <v>12</v>
      </c>
      <c r="D23" s="7" t="s">
        <v>54</v>
      </c>
      <c r="E23" s="13">
        <f t="shared" ca="1" si="0"/>
        <v>45681</v>
      </c>
      <c r="F23" s="7" t="s">
        <v>21</v>
      </c>
      <c r="G23" s="8">
        <v>9</v>
      </c>
      <c r="H23" s="9">
        <v>12500</v>
      </c>
      <c r="I23" s="9">
        <v>112219</v>
      </c>
      <c r="J23" s="17">
        <v>8978</v>
      </c>
    </row>
    <row r="24" spans="1:10" x14ac:dyDescent="0.3">
      <c r="A24" s="14" t="s">
        <v>41</v>
      </c>
      <c r="B24" s="4" t="s">
        <v>38</v>
      </c>
      <c r="C24" s="4" t="s">
        <v>23</v>
      </c>
      <c r="D24" s="4" t="s">
        <v>55</v>
      </c>
      <c r="E24" s="13">
        <f t="shared" ca="1" si="0"/>
        <v>45923</v>
      </c>
      <c r="F24" s="4" t="s">
        <v>33</v>
      </c>
      <c r="G24" s="5">
        <v>10</v>
      </c>
      <c r="H24" s="6">
        <v>45000</v>
      </c>
      <c r="I24" s="6">
        <v>416090</v>
      </c>
      <c r="J24" s="16">
        <v>74896</v>
      </c>
    </row>
    <row r="25" spans="1:10" x14ac:dyDescent="0.3">
      <c r="A25" s="15" t="s">
        <v>37</v>
      </c>
      <c r="B25" s="7" t="s">
        <v>56</v>
      </c>
      <c r="C25" s="7" t="s">
        <v>23</v>
      </c>
      <c r="D25" s="7" t="s">
        <v>57</v>
      </c>
      <c r="E25" s="13">
        <f t="shared" ca="1" si="0"/>
        <v>45879</v>
      </c>
      <c r="F25" s="7" t="s">
        <v>33</v>
      </c>
      <c r="G25" s="8">
        <v>1</v>
      </c>
      <c r="H25" s="9">
        <v>45000</v>
      </c>
      <c r="I25" s="9">
        <v>40736</v>
      </c>
      <c r="J25" s="17">
        <v>7332</v>
      </c>
    </row>
    <row r="26" spans="1:10" x14ac:dyDescent="0.3">
      <c r="A26" s="14" t="s">
        <v>10</v>
      </c>
      <c r="B26" s="4" t="s">
        <v>16</v>
      </c>
      <c r="C26" s="4" t="s">
        <v>12</v>
      </c>
      <c r="D26" s="4" t="s">
        <v>58</v>
      </c>
      <c r="E26" s="13">
        <f t="shared" ca="1" si="0"/>
        <v>45871</v>
      </c>
      <c r="F26" s="4" t="s">
        <v>33</v>
      </c>
      <c r="G26" s="5">
        <v>5</v>
      </c>
      <c r="H26" s="6">
        <v>45000</v>
      </c>
      <c r="I26" s="6">
        <v>227540</v>
      </c>
      <c r="J26" s="16">
        <v>40957</v>
      </c>
    </row>
    <row r="27" spans="1:10" x14ac:dyDescent="0.3">
      <c r="A27" s="15" t="s">
        <v>15</v>
      </c>
      <c r="B27" s="7" t="s">
        <v>16</v>
      </c>
      <c r="C27" s="7" t="s">
        <v>12</v>
      </c>
      <c r="D27" s="7" t="s">
        <v>59</v>
      </c>
      <c r="E27" s="13">
        <f t="shared" ca="1" si="0"/>
        <v>45810</v>
      </c>
      <c r="F27" s="7" t="s">
        <v>33</v>
      </c>
      <c r="G27" s="8">
        <v>9</v>
      </c>
      <c r="H27" s="9">
        <v>45000</v>
      </c>
      <c r="I27" s="9">
        <v>390208</v>
      </c>
      <c r="J27" s="17">
        <v>70237</v>
      </c>
    </row>
    <row r="28" spans="1:10" x14ac:dyDescent="0.3">
      <c r="A28" s="14" t="s">
        <v>15</v>
      </c>
      <c r="B28" s="4" t="s">
        <v>25</v>
      </c>
      <c r="C28" s="4" t="s">
        <v>26</v>
      </c>
      <c r="D28" s="4" t="s">
        <v>60</v>
      </c>
      <c r="E28" s="13">
        <f t="shared" ca="1" si="0"/>
        <v>45810</v>
      </c>
      <c r="F28" s="4" t="s">
        <v>14</v>
      </c>
      <c r="G28" s="5">
        <v>4</v>
      </c>
      <c r="H28" s="6">
        <v>18500</v>
      </c>
      <c r="I28" s="6">
        <v>68556</v>
      </c>
      <c r="J28" s="16">
        <v>8227</v>
      </c>
    </row>
    <row r="29" spans="1:10" x14ac:dyDescent="0.3">
      <c r="A29" s="15" t="s">
        <v>37</v>
      </c>
      <c r="B29" s="7" t="s">
        <v>11</v>
      </c>
      <c r="C29" s="7" t="s">
        <v>12</v>
      </c>
      <c r="D29" s="7" t="s">
        <v>61</v>
      </c>
      <c r="E29" s="13">
        <f t="shared" ca="1" si="0"/>
        <v>45733</v>
      </c>
      <c r="F29" s="7" t="s">
        <v>40</v>
      </c>
      <c r="G29" s="8">
        <v>8</v>
      </c>
      <c r="H29" s="9">
        <v>15000</v>
      </c>
      <c r="I29" s="9">
        <v>116447</v>
      </c>
      <c r="J29" s="17">
        <v>11645</v>
      </c>
    </row>
    <row r="30" spans="1:10" x14ac:dyDescent="0.3">
      <c r="A30" s="14" t="s">
        <v>37</v>
      </c>
      <c r="B30" s="4" t="s">
        <v>46</v>
      </c>
      <c r="C30" s="4" t="s">
        <v>26</v>
      </c>
      <c r="D30" s="4" t="s">
        <v>62</v>
      </c>
      <c r="E30" s="13">
        <f t="shared" ca="1" si="0"/>
        <v>45909</v>
      </c>
      <c r="F30" s="4" t="s">
        <v>21</v>
      </c>
      <c r="G30" s="5">
        <v>3</v>
      </c>
      <c r="H30" s="6">
        <v>12500</v>
      </c>
      <c r="I30" s="6">
        <v>33846</v>
      </c>
      <c r="J30" s="16">
        <v>2708</v>
      </c>
    </row>
    <row r="31" spans="1:10" x14ac:dyDescent="0.3">
      <c r="A31" s="15" t="s">
        <v>15</v>
      </c>
      <c r="B31" s="7" t="s">
        <v>16</v>
      </c>
      <c r="C31" s="7" t="s">
        <v>12</v>
      </c>
      <c r="D31" s="7" t="s">
        <v>63</v>
      </c>
      <c r="E31" s="13">
        <f t="shared" ca="1" si="0"/>
        <v>45740</v>
      </c>
      <c r="F31" s="7" t="s">
        <v>14</v>
      </c>
      <c r="G31" s="8">
        <v>5</v>
      </c>
      <c r="H31" s="9">
        <v>18500</v>
      </c>
      <c r="I31" s="9">
        <v>99520</v>
      </c>
      <c r="J31" s="17">
        <v>11942</v>
      </c>
    </row>
    <row r="32" spans="1:10" x14ac:dyDescent="0.3">
      <c r="A32" s="14" t="s">
        <v>41</v>
      </c>
      <c r="B32" s="4" t="s">
        <v>11</v>
      </c>
      <c r="C32" s="4" t="s">
        <v>12</v>
      </c>
      <c r="D32" s="4" t="s">
        <v>55</v>
      </c>
      <c r="E32" s="13">
        <f t="shared" ca="1" si="0"/>
        <v>45924</v>
      </c>
      <c r="F32" s="4" t="s">
        <v>40</v>
      </c>
      <c r="G32" s="5">
        <v>1</v>
      </c>
      <c r="H32" s="6">
        <v>15000</v>
      </c>
      <c r="I32" s="6">
        <v>15144</v>
      </c>
      <c r="J32" s="16">
        <v>1514</v>
      </c>
    </row>
    <row r="33" spans="1:10" x14ac:dyDescent="0.3">
      <c r="A33" s="15" t="s">
        <v>41</v>
      </c>
      <c r="B33" s="7" t="s">
        <v>51</v>
      </c>
      <c r="C33" s="7" t="s">
        <v>12</v>
      </c>
      <c r="D33" s="7" t="s">
        <v>64</v>
      </c>
      <c r="E33" s="13">
        <f t="shared" ca="1" si="0"/>
        <v>45827</v>
      </c>
      <c r="F33" s="7" t="s">
        <v>33</v>
      </c>
      <c r="G33" s="8">
        <v>8</v>
      </c>
      <c r="H33" s="9">
        <v>45000</v>
      </c>
      <c r="I33" s="9">
        <v>375984</v>
      </c>
      <c r="J33" s="17">
        <v>67677</v>
      </c>
    </row>
    <row r="34" spans="1:10" x14ac:dyDescent="0.3">
      <c r="A34" s="14" t="s">
        <v>37</v>
      </c>
      <c r="B34" s="4" t="s">
        <v>22</v>
      </c>
      <c r="C34" s="4" t="s">
        <v>23</v>
      </c>
      <c r="D34" s="4" t="s">
        <v>65</v>
      </c>
      <c r="E34" s="13">
        <f t="shared" ca="1" si="0"/>
        <v>45941</v>
      </c>
      <c r="F34" s="4" t="s">
        <v>21</v>
      </c>
      <c r="G34" s="5">
        <v>2</v>
      </c>
      <c r="H34" s="6">
        <v>12500</v>
      </c>
      <c r="I34" s="6">
        <v>24474</v>
      </c>
      <c r="J34" s="16">
        <v>1958</v>
      </c>
    </row>
    <row r="35" spans="1:10" x14ac:dyDescent="0.3">
      <c r="A35" s="15" t="s">
        <v>18</v>
      </c>
      <c r="B35" s="7" t="s">
        <v>38</v>
      </c>
      <c r="C35" s="7" t="s">
        <v>23</v>
      </c>
      <c r="D35" s="7" t="s">
        <v>57</v>
      </c>
      <c r="E35" s="13">
        <f t="shared" ca="1" si="0"/>
        <v>45896</v>
      </c>
      <c r="F35" s="7" t="s">
        <v>21</v>
      </c>
      <c r="G35" s="8">
        <v>6</v>
      </c>
      <c r="H35" s="9">
        <v>12500</v>
      </c>
      <c r="I35" s="9">
        <v>67803</v>
      </c>
      <c r="J35" s="17">
        <v>5424</v>
      </c>
    </row>
    <row r="36" spans="1:10" x14ac:dyDescent="0.3">
      <c r="A36" s="14" t="s">
        <v>15</v>
      </c>
      <c r="B36" s="4" t="s">
        <v>19</v>
      </c>
      <c r="C36" s="4" t="s">
        <v>12</v>
      </c>
      <c r="D36" s="4" t="s">
        <v>66</v>
      </c>
      <c r="E36" s="13">
        <f t="shared" ca="1" si="0"/>
        <v>45752</v>
      </c>
      <c r="F36" s="4" t="s">
        <v>14</v>
      </c>
      <c r="G36" s="5">
        <v>8</v>
      </c>
      <c r="H36" s="6">
        <v>18500</v>
      </c>
      <c r="I36" s="6">
        <v>135511</v>
      </c>
      <c r="J36" s="16">
        <v>16261</v>
      </c>
    </row>
    <row r="37" spans="1:10" x14ac:dyDescent="0.3">
      <c r="A37" s="15" t="s">
        <v>15</v>
      </c>
      <c r="B37" s="7" t="s">
        <v>51</v>
      </c>
      <c r="C37" s="7" t="s">
        <v>12</v>
      </c>
      <c r="D37" s="7" t="s">
        <v>67</v>
      </c>
      <c r="E37" s="13">
        <f t="shared" ca="1" si="0"/>
        <v>45722</v>
      </c>
      <c r="F37" s="7" t="s">
        <v>33</v>
      </c>
      <c r="G37" s="8">
        <v>6</v>
      </c>
      <c r="H37" s="9">
        <v>45000</v>
      </c>
      <c r="I37" s="9">
        <v>273754</v>
      </c>
      <c r="J37" s="17">
        <v>49276</v>
      </c>
    </row>
    <row r="38" spans="1:10" x14ac:dyDescent="0.3">
      <c r="A38" s="14" t="s">
        <v>15</v>
      </c>
      <c r="B38" s="4" t="s">
        <v>11</v>
      </c>
      <c r="C38" s="4" t="s">
        <v>12</v>
      </c>
      <c r="D38" s="4" t="s">
        <v>35</v>
      </c>
      <c r="E38" s="13">
        <f t="shared" ca="1" si="0"/>
        <v>45781</v>
      </c>
      <c r="F38" s="4" t="s">
        <v>33</v>
      </c>
      <c r="G38" s="5">
        <v>2</v>
      </c>
      <c r="H38" s="6">
        <v>45000</v>
      </c>
      <c r="I38" s="6">
        <v>84794</v>
      </c>
      <c r="J38" s="16">
        <v>15263</v>
      </c>
    </row>
    <row r="39" spans="1:10" x14ac:dyDescent="0.3">
      <c r="A39" s="15" t="s">
        <v>37</v>
      </c>
      <c r="B39" s="7" t="s">
        <v>19</v>
      </c>
      <c r="C39" s="7" t="s">
        <v>12</v>
      </c>
      <c r="D39" s="7" t="s">
        <v>68</v>
      </c>
      <c r="E39" s="13">
        <f t="shared" ca="1" si="0"/>
        <v>45747</v>
      </c>
      <c r="F39" s="7" t="s">
        <v>14</v>
      </c>
      <c r="G39" s="8">
        <v>6</v>
      </c>
      <c r="H39" s="9">
        <v>18500</v>
      </c>
      <c r="I39" s="9">
        <v>120992</v>
      </c>
      <c r="J39" s="17">
        <v>14519</v>
      </c>
    </row>
    <row r="40" spans="1:10" x14ac:dyDescent="0.3">
      <c r="A40" s="14" t="s">
        <v>15</v>
      </c>
      <c r="B40" s="4" t="s">
        <v>16</v>
      </c>
      <c r="C40" s="4" t="s">
        <v>12</v>
      </c>
      <c r="D40" s="4" t="s">
        <v>13</v>
      </c>
      <c r="E40" s="13">
        <f t="shared" ca="1" si="0"/>
        <v>45720</v>
      </c>
      <c r="F40" s="4" t="s">
        <v>14</v>
      </c>
      <c r="G40" s="5">
        <v>10</v>
      </c>
      <c r="H40" s="6">
        <v>18500</v>
      </c>
      <c r="I40" s="6">
        <v>188910</v>
      </c>
      <c r="J40" s="16">
        <v>22669</v>
      </c>
    </row>
    <row r="41" spans="1:10" x14ac:dyDescent="0.3">
      <c r="A41" s="15" t="s">
        <v>18</v>
      </c>
      <c r="B41" s="7" t="s">
        <v>31</v>
      </c>
      <c r="C41" s="7" t="s">
        <v>12</v>
      </c>
      <c r="D41" s="7" t="s">
        <v>69</v>
      </c>
      <c r="E41" s="13">
        <f t="shared" ca="1" si="0"/>
        <v>45872</v>
      </c>
      <c r="F41" s="7" t="s">
        <v>33</v>
      </c>
      <c r="G41" s="8">
        <v>3</v>
      </c>
      <c r="H41" s="9">
        <v>45000</v>
      </c>
      <c r="I41" s="9">
        <v>147753</v>
      </c>
      <c r="J41" s="17">
        <v>26596</v>
      </c>
    </row>
    <row r="42" spans="1:10" x14ac:dyDescent="0.3">
      <c r="A42" s="14" t="s">
        <v>37</v>
      </c>
      <c r="B42" s="4" t="s">
        <v>38</v>
      </c>
      <c r="C42" s="4" t="s">
        <v>23</v>
      </c>
      <c r="D42" s="4" t="s">
        <v>70</v>
      </c>
      <c r="E42" s="13">
        <f t="shared" ca="1" si="0"/>
        <v>45886</v>
      </c>
      <c r="F42" s="4" t="s">
        <v>21</v>
      </c>
      <c r="G42" s="5">
        <v>2</v>
      </c>
      <c r="H42" s="6">
        <v>12500</v>
      </c>
      <c r="I42" s="6">
        <v>26427</v>
      </c>
      <c r="J42" s="16">
        <v>2114</v>
      </c>
    </row>
    <row r="43" spans="1:10" x14ac:dyDescent="0.3">
      <c r="A43" s="15" t="s">
        <v>15</v>
      </c>
      <c r="B43" s="7" t="s">
        <v>19</v>
      </c>
      <c r="C43" s="7" t="s">
        <v>12</v>
      </c>
      <c r="D43" s="7" t="s">
        <v>71</v>
      </c>
      <c r="E43" s="13">
        <f t="shared" ca="1" si="0"/>
        <v>45850</v>
      </c>
      <c r="F43" s="7" t="s">
        <v>36</v>
      </c>
      <c r="G43" s="8">
        <v>5</v>
      </c>
      <c r="H43" s="9">
        <v>55000</v>
      </c>
      <c r="I43" s="9">
        <v>249295</v>
      </c>
      <c r="J43" s="17">
        <v>54845</v>
      </c>
    </row>
    <row r="44" spans="1:10" x14ac:dyDescent="0.3">
      <c r="A44" s="14" t="s">
        <v>15</v>
      </c>
      <c r="B44" s="4" t="s">
        <v>29</v>
      </c>
      <c r="C44" s="4" t="s">
        <v>26</v>
      </c>
      <c r="D44" s="4" t="s">
        <v>72</v>
      </c>
      <c r="E44" s="13">
        <f t="shared" ca="1" si="0"/>
        <v>45658</v>
      </c>
      <c r="F44" s="4" t="s">
        <v>33</v>
      </c>
      <c r="G44" s="5">
        <v>4</v>
      </c>
      <c r="H44" s="6">
        <v>45000</v>
      </c>
      <c r="I44" s="6">
        <v>176536</v>
      </c>
      <c r="J44" s="16">
        <v>31776</v>
      </c>
    </row>
    <row r="45" spans="1:10" x14ac:dyDescent="0.3">
      <c r="A45" s="15" t="s">
        <v>37</v>
      </c>
      <c r="B45" s="7" t="s">
        <v>56</v>
      </c>
      <c r="C45" s="7" t="s">
        <v>23</v>
      </c>
      <c r="D45" s="7" t="s">
        <v>73</v>
      </c>
      <c r="E45" s="13">
        <f t="shared" ca="1" si="0"/>
        <v>45722</v>
      </c>
      <c r="F45" s="7" t="s">
        <v>21</v>
      </c>
      <c r="G45" s="8">
        <v>8</v>
      </c>
      <c r="H45" s="9">
        <v>12500</v>
      </c>
      <c r="I45" s="9">
        <v>102253</v>
      </c>
      <c r="J45" s="17">
        <v>8180</v>
      </c>
    </row>
    <row r="46" spans="1:10" x14ac:dyDescent="0.3">
      <c r="A46" s="14" t="s">
        <v>41</v>
      </c>
      <c r="B46" s="4" t="s">
        <v>38</v>
      </c>
      <c r="C46" s="4" t="s">
        <v>23</v>
      </c>
      <c r="D46" s="4" t="s">
        <v>74</v>
      </c>
      <c r="E46" s="13">
        <f t="shared" ca="1" si="0"/>
        <v>45885</v>
      </c>
      <c r="F46" s="4" t="s">
        <v>40</v>
      </c>
      <c r="G46" s="5">
        <v>4</v>
      </c>
      <c r="H46" s="6">
        <v>15000</v>
      </c>
      <c r="I46" s="6">
        <v>59494</v>
      </c>
      <c r="J46" s="16">
        <v>5949</v>
      </c>
    </row>
    <row r="47" spans="1:10" x14ac:dyDescent="0.3">
      <c r="A47" s="15" t="s">
        <v>10</v>
      </c>
      <c r="B47" s="7" t="s">
        <v>29</v>
      </c>
      <c r="C47" s="7" t="s">
        <v>26</v>
      </c>
      <c r="D47" s="7" t="s">
        <v>75</v>
      </c>
      <c r="E47" s="13">
        <f t="shared" ca="1" si="0"/>
        <v>45878</v>
      </c>
      <c r="F47" s="7" t="s">
        <v>21</v>
      </c>
      <c r="G47" s="8">
        <v>1</v>
      </c>
      <c r="H47" s="9">
        <v>12500</v>
      </c>
      <c r="I47" s="9">
        <v>13077</v>
      </c>
      <c r="J47" s="17">
        <v>1046</v>
      </c>
    </row>
    <row r="48" spans="1:10" x14ac:dyDescent="0.3">
      <c r="A48" s="14" t="s">
        <v>15</v>
      </c>
      <c r="B48" s="4" t="s">
        <v>31</v>
      </c>
      <c r="C48" s="4" t="s">
        <v>12</v>
      </c>
      <c r="D48" s="4" t="s">
        <v>76</v>
      </c>
      <c r="E48" s="13">
        <f t="shared" ca="1" si="0"/>
        <v>45714</v>
      </c>
      <c r="F48" s="4" t="s">
        <v>14</v>
      </c>
      <c r="G48" s="5">
        <v>2</v>
      </c>
      <c r="H48" s="6">
        <v>18500</v>
      </c>
      <c r="I48" s="6">
        <v>35893</v>
      </c>
      <c r="J48" s="16">
        <v>4307</v>
      </c>
    </row>
    <row r="49" spans="1:10" x14ac:dyDescent="0.3">
      <c r="A49" s="15" t="s">
        <v>18</v>
      </c>
      <c r="B49" s="7" t="s">
        <v>77</v>
      </c>
      <c r="C49" s="7" t="s">
        <v>12</v>
      </c>
      <c r="D49" s="7" t="s">
        <v>78</v>
      </c>
      <c r="E49" s="13">
        <f t="shared" ca="1" si="0"/>
        <v>45685</v>
      </c>
      <c r="F49" s="7" t="s">
        <v>36</v>
      </c>
      <c r="G49" s="8">
        <v>5</v>
      </c>
      <c r="H49" s="9">
        <v>55000</v>
      </c>
      <c r="I49" s="9">
        <v>277018</v>
      </c>
      <c r="J49" s="17">
        <v>60944</v>
      </c>
    </row>
    <row r="50" spans="1:10" x14ac:dyDescent="0.3">
      <c r="A50" s="14" t="s">
        <v>37</v>
      </c>
      <c r="B50" s="4" t="s">
        <v>16</v>
      </c>
      <c r="C50" s="4" t="s">
        <v>12</v>
      </c>
      <c r="D50" s="4" t="s">
        <v>79</v>
      </c>
      <c r="E50" s="13">
        <f t="shared" ca="1" si="0"/>
        <v>45860</v>
      </c>
      <c r="F50" s="4" t="s">
        <v>33</v>
      </c>
      <c r="G50" s="5">
        <v>2</v>
      </c>
      <c r="H50" s="6">
        <v>45000</v>
      </c>
      <c r="I50" s="6">
        <v>88262</v>
      </c>
      <c r="J50" s="16">
        <v>15887</v>
      </c>
    </row>
    <row r="51" spans="1:10" x14ac:dyDescent="0.3">
      <c r="A51" s="15" t="s">
        <v>37</v>
      </c>
      <c r="B51" s="7" t="s">
        <v>19</v>
      </c>
      <c r="C51" s="7" t="s">
        <v>12</v>
      </c>
      <c r="D51" s="7" t="s">
        <v>80</v>
      </c>
      <c r="E51" s="13">
        <f t="shared" ca="1" si="0"/>
        <v>45888</v>
      </c>
      <c r="F51" s="7" t="s">
        <v>21</v>
      </c>
      <c r="G51" s="8">
        <v>8</v>
      </c>
      <c r="H51" s="9">
        <v>12500</v>
      </c>
      <c r="I51" s="9">
        <v>105995</v>
      </c>
      <c r="J51" s="17">
        <v>8480</v>
      </c>
    </row>
    <row r="52" spans="1:10" x14ac:dyDescent="0.3">
      <c r="A52" s="14" t="s">
        <v>18</v>
      </c>
      <c r="B52" s="4" t="s">
        <v>81</v>
      </c>
      <c r="C52" s="4" t="s">
        <v>26</v>
      </c>
      <c r="D52" s="4" t="s">
        <v>82</v>
      </c>
      <c r="E52" s="13">
        <f t="shared" ca="1" si="0"/>
        <v>45952</v>
      </c>
      <c r="F52" s="4" t="s">
        <v>14</v>
      </c>
      <c r="G52" s="5">
        <v>9</v>
      </c>
      <c r="H52" s="6">
        <v>18500</v>
      </c>
      <c r="I52" s="6">
        <v>179586</v>
      </c>
      <c r="J52" s="16">
        <v>21550</v>
      </c>
    </row>
    <row r="53" spans="1:10" x14ac:dyDescent="0.3">
      <c r="A53" s="15" t="s">
        <v>37</v>
      </c>
      <c r="B53" s="7" t="s">
        <v>29</v>
      </c>
      <c r="C53" s="7" t="s">
        <v>26</v>
      </c>
      <c r="D53" s="7" t="s">
        <v>83</v>
      </c>
      <c r="E53" s="13">
        <f t="shared" ca="1" si="0"/>
        <v>45893</v>
      </c>
      <c r="F53" s="7" t="s">
        <v>14</v>
      </c>
      <c r="G53" s="8">
        <v>1</v>
      </c>
      <c r="H53" s="9">
        <v>18500</v>
      </c>
      <c r="I53" s="9">
        <v>16873</v>
      </c>
      <c r="J53" s="17">
        <v>2025</v>
      </c>
    </row>
    <row r="54" spans="1:10" x14ac:dyDescent="0.3">
      <c r="A54" s="14" t="s">
        <v>10</v>
      </c>
      <c r="B54" s="4" t="s">
        <v>84</v>
      </c>
      <c r="C54" s="4" t="s">
        <v>12</v>
      </c>
      <c r="D54" s="4" t="s">
        <v>85</v>
      </c>
      <c r="E54" s="13">
        <f t="shared" ca="1" si="0"/>
        <v>45845</v>
      </c>
      <c r="F54" s="4" t="s">
        <v>36</v>
      </c>
      <c r="G54" s="5">
        <v>10</v>
      </c>
      <c r="H54" s="6">
        <v>55000</v>
      </c>
      <c r="I54" s="6">
        <v>520338</v>
      </c>
      <c r="J54" s="16">
        <v>114474</v>
      </c>
    </row>
    <row r="55" spans="1:10" x14ac:dyDescent="0.3">
      <c r="A55" s="15" t="s">
        <v>10</v>
      </c>
      <c r="B55" s="7" t="s">
        <v>25</v>
      </c>
      <c r="C55" s="7" t="s">
        <v>26</v>
      </c>
      <c r="D55" s="7" t="s">
        <v>39</v>
      </c>
      <c r="E55" s="13">
        <f t="shared" ca="1" si="0"/>
        <v>45729</v>
      </c>
      <c r="F55" s="7" t="s">
        <v>36</v>
      </c>
      <c r="G55" s="8">
        <v>8</v>
      </c>
      <c r="H55" s="9">
        <v>55000</v>
      </c>
      <c r="I55" s="9">
        <v>453247</v>
      </c>
      <c r="J55" s="17">
        <v>99714</v>
      </c>
    </row>
    <row r="56" spans="1:10" x14ac:dyDescent="0.3">
      <c r="A56" s="14" t="s">
        <v>37</v>
      </c>
      <c r="B56" s="4" t="s">
        <v>84</v>
      </c>
      <c r="C56" s="4" t="s">
        <v>12</v>
      </c>
      <c r="D56" s="4" t="s">
        <v>86</v>
      </c>
      <c r="E56" s="13">
        <f t="shared" ca="1" si="0"/>
        <v>45793</v>
      </c>
      <c r="F56" s="4" t="s">
        <v>14</v>
      </c>
      <c r="G56" s="5">
        <v>5</v>
      </c>
      <c r="H56" s="6">
        <v>18500</v>
      </c>
      <c r="I56" s="6">
        <v>99434</v>
      </c>
      <c r="J56" s="16">
        <v>11932</v>
      </c>
    </row>
    <row r="57" spans="1:10" x14ac:dyDescent="0.3">
      <c r="A57" s="15" t="s">
        <v>15</v>
      </c>
      <c r="B57" s="7" t="s">
        <v>38</v>
      </c>
      <c r="C57" s="7" t="s">
        <v>23</v>
      </c>
      <c r="D57" s="7" t="s">
        <v>78</v>
      </c>
      <c r="E57" s="13">
        <f t="shared" ca="1" si="0"/>
        <v>45899</v>
      </c>
      <c r="F57" s="7" t="s">
        <v>36</v>
      </c>
      <c r="G57" s="8">
        <v>9</v>
      </c>
      <c r="H57" s="9">
        <v>55000</v>
      </c>
      <c r="I57" s="9">
        <v>496122</v>
      </c>
      <c r="J57" s="17">
        <v>109147</v>
      </c>
    </row>
    <row r="58" spans="1:10" x14ac:dyDescent="0.3">
      <c r="A58" s="14" t="s">
        <v>18</v>
      </c>
      <c r="B58" s="4" t="s">
        <v>25</v>
      </c>
      <c r="C58" s="4" t="s">
        <v>26</v>
      </c>
      <c r="D58" s="4" t="s">
        <v>87</v>
      </c>
      <c r="E58" s="13">
        <f t="shared" ca="1" si="0"/>
        <v>45838</v>
      </c>
      <c r="F58" s="4" t="s">
        <v>40</v>
      </c>
      <c r="G58" s="5">
        <v>8</v>
      </c>
      <c r="H58" s="6">
        <v>15000</v>
      </c>
      <c r="I58" s="6">
        <v>119475</v>
      </c>
      <c r="J58" s="16">
        <v>11948</v>
      </c>
    </row>
    <row r="59" spans="1:10" x14ac:dyDescent="0.3">
      <c r="A59" s="15" t="s">
        <v>37</v>
      </c>
      <c r="B59" s="7" t="s">
        <v>88</v>
      </c>
      <c r="C59" s="7" t="s">
        <v>12</v>
      </c>
      <c r="D59" s="7" t="s">
        <v>89</v>
      </c>
      <c r="E59" s="13">
        <f t="shared" ca="1" si="0"/>
        <v>45972</v>
      </c>
      <c r="F59" s="7" t="s">
        <v>40</v>
      </c>
      <c r="G59" s="8">
        <v>7</v>
      </c>
      <c r="H59" s="9">
        <v>15000</v>
      </c>
      <c r="I59" s="9">
        <v>99067</v>
      </c>
      <c r="J59" s="17">
        <v>9907</v>
      </c>
    </row>
    <row r="60" spans="1:10" x14ac:dyDescent="0.3">
      <c r="A60" s="14" t="s">
        <v>15</v>
      </c>
      <c r="B60" s="4" t="s">
        <v>38</v>
      </c>
      <c r="C60" s="4" t="s">
        <v>23</v>
      </c>
      <c r="D60" s="4" t="s">
        <v>90</v>
      </c>
      <c r="E60" s="13">
        <f t="shared" ca="1" si="0"/>
        <v>45747</v>
      </c>
      <c r="F60" s="4" t="s">
        <v>40</v>
      </c>
      <c r="G60" s="5">
        <v>5</v>
      </c>
      <c r="H60" s="6">
        <v>15000</v>
      </c>
      <c r="I60" s="6">
        <v>78422</v>
      </c>
      <c r="J60" s="16">
        <v>7842</v>
      </c>
    </row>
    <row r="61" spans="1:10" x14ac:dyDescent="0.3">
      <c r="A61" s="15" t="s">
        <v>18</v>
      </c>
      <c r="B61" s="7" t="s">
        <v>56</v>
      </c>
      <c r="C61" s="7" t="s">
        <v>23</v>
      </c>
      <c r="D61" s="7" t="s">
        <v>79</v>
      </c>
      <c r="E61" s="13">
        <f t="shared" ca="1" si="0"/>
        <v>45987</v>
      </c>
      <c r="F61" s="7" t="s">
        <v>21</v>
      </c>
      <c r="G61" s="8">
        <v>5</v>
      </c>
      <c r="H61" s="9">
        <v>12500</v>
      </c>
      <c r="I61" s="9">
        <v>64257</v>
      </c>
      <c r="J61" s="17">
        <v>5141</v>
      </c>
    </row>
    <row r="62" spans="1:10" x14ac:dyDescent="0.3">
      <c r="A62" s="14" t="s">
        <v>10</v>
      </c>
      <c r="B62" s="4" t="s">
        <v>46</v>
      </c>
      <c r="C62" s="4" t="s">
        <v>26</v>
      </c>
      <c r="D62" s="4" t="s">
        <v>91</v>
      </c>
      <c r="E62" s="13">
        <f t="shared" ca="1" si="0"/>
        <v>45901</v>
      </c>
      <c r="F62" s="4" t="s">
        <v>40</v>
      </c>
      <c r="G62" s="5">
        <v>5</v>
      </c>
      <c r="H62" s="6">
        <v>15000</v>
      </c>
      <c r="I62" s="6">
        <v>74995</v>
      </c>
      <c r="J62" s="16">
        <v>7500</v>
      </c>
    </row>
    <row r="63" spans="1:10" x14ac:dyDescent="0.3">
      <c r="A63" s="15" t="s">
        <v>37</v>
      </c>
      <c r="B63" s="7" t="s">
        <v>81</v>
      </c>
      <c r="C63" s="7" t="s">
        <v>26</v>
      </c>
      <c r="D63" s="7" t="s">
        <v>92</v>
      </c>
      <c r="E63" s="13">
        <f t="shared" ca="1" si="0"/>
        <v>45705</v>
      </c>
      <c r="F63" s="7" t="s">
        <v>33</v>
      </c>
      <c r="G63" s="8">
        <v>10</v>
      </c>
      <c r="H63" s="9">
        <v>45000</v>
      </c>
      <c r="I63" s="9">
        <v>427544</v>
      </c>
      <c r="J63" s="17">
        <v>76958</v>
      </c>
    </row>
    <row r="64" spans="1:10" x14ac:dyDescent="0.3">
      <c r="A64" s="14" t="s">
        <v>15</v>
      </c>
      <c r="B64" s="4" t="s">
        <v>19</v>
      </c>
      <c r="C64" s="4" t="s">
        <v>12</v>
      </c>
      <c r="D64" s="4" t="s">
        <v>93</v>
      </c>
      <c r="E64" s="13">
        <f t="shared" ca="1" si="0"/>
        <v>45858</v>
      </c>
      <c r="F64" s="4" t="s">
        <v>40</v>
      </c>
      <c r="G64" s="5">
        <v>1</v>
      </c>
      <c r="H64" s="6">
        <v>15000</v>
      </c>
      <c r="I64" s="6">
        <v>16304</v>
      </c>
      <c r="J64" s="16">
        <v>1630</v>
      </c>
    </row>
    <row r="65" spans="1:10" x14ac:dyDescent="0.3">
      <c r="A65" s="15" t="s">
        <v>41</v>
      </c>
      <c r="B65" s="7" t="s">
        <v>38</v>
      </c>
      <c r="C65" s="7" t="s">
        <v>23</v>
      </c>
      <c r="D65" s="7" t="s">
        <v>94</v>
      </c>
      <c r="E65" s="13">
        <f t="shared" ca="1" si="0"/>
        <v>45853</v>
      </c>
      <c r="F65" s="7" t="s">
        <v>14</v>
      </c>
      <c r="G65" s="8">
        <v>9</v>
      </c>
      <c r="H65" s="9">
        <v>18500</v>
      </c>
      <c r="I65" s="9">
        <v>159932</v>
      </c>
      <c r="J65" s="17">
        <v>19192</v>
      </c>
    </row>
    <row r="66" spans="1:10" x14ac:dyDescent="0.3">
      <c r="A66" s="14" t="s">
        <v>15</v>
      </c>
      <c r="B66" s="4" t="s">
        <v>19</v>
      </c>
      <c r="C66" s="4" t="s">
        <v>12</v>
      </c>
      <c r="D66" s="4" t="s">
        <v>95</v>
      </c>
      <c r="E66" s="13">
        <f t="shared" ca="1" si="0"/>
        <v>45713</v>
      </c>
      <c r="F66" s="4" t="s">
        <v>36</v>
      </c>
      <c r="G66" s="5">
        <v>8</v>
      </c>
      <c r="H66" s="6">
        <v>55000</v>
      </c>
      <c r="I66" s="6">
        <v>423681</v>
      </c>
      <c r="J66" s="16">
        <v>93210</v>
      </c>
    </row>
    <row r="67" spans="1:10" x14ac:dyDescent="0.3">
      <c r="A67" s="15" t="s">
        <v>41</v>
      </c>
      <c r="B67" s="7" t="s">
        <v>16</v>
      </c>
      <c r="C67" s="7" t="s">
        <v>12</v>
      </c>
      <c r="D67" s="7" t="s">
        <v>20</v>
      </c>
      <c r="E67" s="13">
        <f t="shared" ref="E67:E130" ca="1" si="1">DATE(2025,1,1)+RANDBETWEEN(0,364)</f>
        <v>45744</v>
      </c>
      <c r="F67" s="7" t="s">
        <v>14</v>
      </c>
      <c r="G67" s="8">
        <v>7</v>
      </c>
      <c r="H67" s="9">
        <v>18500</v>
      </c>
      <c r="I67" s="9">
        <v>137559</v>
      </c>
      <c r="J67" s="17">
        <v>16507</v>
      </c>
    </row>
    <row r="68" spans="1:10" x14ac:dyDescent="0.3">
      <c r="A68" s="14" t="s">
        <v>15</v>
      </c>
      <c r="B68" s="4" t="s">
        <v>51</v>
      </c>
      <c r="C68" s="4" t="s">
        <v>12</v>
      </c>
      <c r="D68" s="4" t="s">
        <v>96</v>
      </c>
      <c r="E68" s="13">
        <f t="shared" ca="1" si="1"/>
        <v>45970</v>
      </c>
      <c r="F68" s="4" t="s">
        <v>21</v>
      </c>
      <c r="G68" s="5">
        <v>2</v>
      </c>
      <c r="H68" s="6">
        <v>12500</v>
      </c>
      <c r="I68" s="6">
        <v>26424</v>
      </c>
      <c r="J68" s="16">
        <v>2114</v>
      </c>
    </row>
    <row r="69" spans="1:10" x14ac:dyDescent="0.3">
      <c r="A69" s="15" t="s">
        <v>18</v>
      </c>
      <c r="B69" s="7" t="s">
        <v>31</v>
      </c>
      <c r="C69" s="7" t="s">
        <v>12</v>
      </c>
      <c r="D69" s="7" t="s">
        <v>86</v>
      </c>
      <c r="E69" s="13">
        <f t="shared" ca="1" si="1"/>
        <v>45719</v>
      </c>
      <c r="F69" s="7" t="s">
        <v>14</v>
      </c>
      <c r="G69" s="8">
        <v>3</v>
      </c>
      <c r="H69" s="9">
        <v>18500</v>
      </c>
      <c r="I69" s="9">
        <v>59461</v>
      </c>
      <c r="J69" s="17">
        <v>7135</v>
      </c>
    </row>
    <row r="70" spans="1:10" x14ac:dyDescent="0.3">
      <c r="A70" s="14" t="s">
        <v>10</v>
      </c>
      <c r="B70" s="4" t="s">
        <v>46</v>
      </c>
      <c r="C70" s="4" t="s">
        <v>26</v>
      </c>
      <c r="D70" s="4" t="s">
        <v>97</v>
      </c>
      <c r="E70" s="13">
        <f t="shared" ca="1" si="1"/>
        <v>45961</v>
      </c>
      <c r="F70" s="4" t="s">
        <v>21</v>
      </c>
      <c r="G70" s="5">
        <v>6</v>
      </c>
      <c r="H70" s="6">
        <v>12500</v>
      </c>
      <c r="I70" s="6">
        <v>76372</v>
      </c>
      <c r="J70" s="16">
        <v>6110</v>
      </c>
    </row>
    <row r="71" spans="1:10" x14ac:dyDescent="0.3">
      <c r="A71" s="15" t="s">
        <v>37</v>
      </c>
      <c r="B71" s="7" t="s">
        <v>88</v>
      </c>
      <c r="C71" s="7" t="s">
        <v>12</v>
      </c>
      <c r="D71" s="7" t="s">
        <v>98</v>
      </c>
      <c r="E71" s="13">
        <f t="shared" ca="1" si="1"/>
        <v>45694</v>
      </c>
      <c r="F71" s="7" t="s">
        <v>14</v>
      </c>
      <c r="G71" s="8">
        <v>4</v>
      </c>
      <c r="H71" s="9">
        <v>18500</v>
      </c>
      <c r="I71" s="9">
        <v>66652</v>
      </c>
      <c r="J71" s="17">
        <v>7998</v>
      </c>
    </row>
    <row r="72" spans="1:10" x14ac:dyDescent="0.3">
      <c r="A72" s="14" t="s">
        <v>37</v>
      </c>
      <c r="B72" s="4" t="s">
        <v>29</v>
      </c>
      <c r="C72" s="4" t="s">
        <v>26</v>
      </c>
      <c r="D72" s="4" t="s">
        <v>74</v>
      </c>
      <c r="E72" s="13">
        <f t="shared" ca="1" si="1"/>
        <v>45734</v>
      </c>
      <c r="F72" s="4" t="s">
        <v>14</v>
      </c>
      <c r="G72" s="5">
        <v>4</v>
      </c>
      <c r="H72" s="6">
        <v>18500</v>
      </c>
      <c r="I72" s="6">
        <v>69420</v>
      </c>
      <c r="J72" s="16">
        <v>8330</v>
      </c>
    </row>
    <row r="73" spans="1:10" x14ac:dyDescent="0.3">
      <c r="A73" s="15" t="s">
        <v>18</v>
      </c>
      <c r="B73" s="7" t="s">
        <v>84</v>
      </c>
      <c r="C73" s="7" t="s">
        <v>12</v>
      </c>
      <c r="D73" s="7" t="s">
        <v>99</v>
      </c>
      <c r="E73" s="13">
        <f t="shared" ca="1" si="1"/>
        <v>45917</v>
      </c>
      <c r="F73" s="7" t="s">
        <v>36</v>
      </c>
      <c r="G73" s="8">
        <v>6</v>
      </c>
      <c r="H73" s="9">
        <v>55000</v>
      </c>
      <c r="I73" s="9">
        <v>320334</v>
      </c>
      <c r="J73" s="17">
        <v>70473</v>
      </c>
    </row>
    <row r="74" spans="1:10" x14ac:dyDescent="0.3">
      <c r="A74" s="14" t="s">
        <v>15</v>
      </c>
      <c r="B74" s="4" t="s">
        <v>31</v>
      </c>
      <c r="C74" s="4" t="s">
        <v>12</v>
      </c>
      <c r="D74" s="4" t="s">
        <v>100</v>
      </c>
      <c r="E74" s="13">
        <f t="shared" ca="1" si="1"/>
        <v>45658</v>
      </c>
      <c r="F74" s="4" t="s">
        <v>14</v>
      </c>
      <c r="G74" s="5">
        <v>5</v>
      </c>
      <c r="H74" s="6">
        <v>18500</v>
      </c>
      <c r="I74" s="6">
        <v>94555</v>
      </c>
      <c r="J74" s="16">
        <v>11347</v>
      </c>
    </row>
    <row r="75" spans="1:10" x14ac:dyDescent="0.3">
      <c r="A75" s="15" t="s">
        <v>10</v>
      </c>
      <c r="B75" s="7" t="s">
        <v>22</v>
      </c>
      <c r="C75" s="7" t="s">
        <v>23</v>
      </c>
      <c r="D75" s="7" t="s">
        <v>101</v>
      </c>
      <c r="E75" s="13">
        <f t="shared" ca="1" si="1"/>
        <v>45670</v>
      </c>
      <c r="F75" s="7" t="s">
        <v>33</v>
      </c>
      <c r="G75" s="8">
        <v>7</v>
      </c>
      <c r="H75" s="9">
        <v>45000</v>
      </c>
      <c r="I75" s="9">
        <v>326843</v>
      </c>
      <c r="J75" s="17">
        <v>58832</v>
      </c>
    </row>
    <row r="76" spans="1:10" x14ac:dyDescent="0.3">
      <c r="A76" s="14" t="s">
        <v>10</v>
      </c>
      <c r="B76" s="4" t="s">
        <v>56</v>
      </c>
      <c r="C76" s="4" t="s">
        <v>23</v>
      </c>
      <c r="D76" s="4" t="s">
        <v>102</v>
      </c>
      <c r="E76" s="13">
        <f t="shared" ca="1" si="1"/>
        <v>45789</v>
      </c>
      <c r="F76" s="4" t="s">
        <v>14</v>
      </c>
      <c r="G76" s="5">
        <v>9</v>
      </c>
      <c r="H76" s="6">
        <v>18500</v>
      </c>
      <c r="I76" s="6">
        <v>182531</v>
      </c>
      <c r="J76" s="16">
        <v>21904</v>
      </c>
    </row>
    <row r="77" spans="1:10" x14ac:dyDescent="0.3">
      <c r="A77" s="15" t="s">
        <v>41</v>
      </c>
      <c r="B77" s="7" t="s">
        <v>25</v>
      </c>
      <c r="C77" s="7" t="s">
        <v>26</v>
      </c>
      <c r="D77" s="7" t="s">
        <v>49</v>
      </c>
      <c r="E77" s="13">
        <f t="shared" ca="1" si="1"/>
        <v>45811</v>
      </c>
      <c r="F77" s="7" t="s">
        <v>21</v>
      </c>
      <c r="G77" s="8">
        <v>7</v>
      </c>
      <c r="H77" s="9">
        <v>12500</v>
      </c>
      <c r="I77" s="9">
        <v>92789</v>
      </c>
      <c r="J77" s="17">
        <v>7423</v>
      </c>
    </row>
    <row r="78" spans="1:10" x14ac:dyDescent="0.3">
      <c r="A78" s="14" t="s">
        <v>37</v>
      </c>
      <c r="B78" s="4" t="s">
        <v>31</v>
      </c>
      <c r="C78" s="4" t="s">
        <v>12</v>
      </c>
      <c r="D78" s="4" t="s">
        <v>103</v>
      </c>
      <c r="E78" s="13">
        <f t="shared" ca="1" si="1"/>
        <v>45850</v>
      </c>
      <c r="F78" s="4" t="s">
        <v>14</v>
      </c>
      <c r="G78" s="5">
        <v>8</v>
      </c>
      <c r="H78" s="6">
        <v>18500</v>
      </c>
      <c r="I78" s="6">
        <v>135185</v>
      </c>
      <c r="J78" s="16">
        <v>16222</v>
      </c>
    </row>
    <row r="79" spans="1:10" x14ac:dyDescent="0.3">
      <c r="A79" s="15" t="s">
        <v>37</v>
      </c>
      <c r="B79" s="7" t="s">
        <v>84</v>
      </c>
      <c r="C79" s="7" t="s">
        <v>12</v>
      </c>
      <c r="D79" s="7" t="s">
        <v>100</v>
      </c>
      <c r="E79" s="13">
        <f t="shared" ca="1" si="1"/>
        <v>45801</v>
      </c>
      <c r="F79" s="7" t="s">
        <v>21</v>
      </c>
      <c r="G79" s="8">
        <v>2</v>
      </c>
      <c r="H79" s="9">
        <v>12500</v>
      </c>
      <c r="I79" s="9">
        <v>23047</v>
      </c>
      <c r="J79" s="17">
        <v>1844</v>
      </c>
    </row>
    <row r="80" spans="1:10" x14ac:dyDescent="0.3">
      <c r="A80" s="14" t="s">
        <v>37</v>
      </c>
      <c r="B80" s="4" t="s">
        <v>31</v>
      </c>
      <c r="C80" s="4" t="s">
        <v>12</v>
      </c>
      <c r="D80" s="4" t="s">
        <v>104</v>
      </c>
      <c r="E80" s="13">
        <f t="shared" ca="1" si="1"/>
        <v>45916</v>
      </c>
      <c r="F80" s="4" t="s">
        <v>14</v>
      </c>
      <c r="G80" s="5">
        <v>7</v>
      </c>
      <c r="H80" s="6">
        <v>18500</v>
      </c>
      <c r="I80" s="6">
        <v>134223</v>
      </c>
      <c r="J80" s="16">
        <v>16107</v>
      </c>
    </row>
    <row r="81" spans="1:10" x14ac:dyDescent="0.3">
      <c r="A81" s="15" t="s">
        <v>15</v>
      </c>
      <c r="B81" s="7" t="s">
        <v>56</v>
      </c>
      <c r="C81" s="7" t="s">
        <v>23</v>
      </c>
      <c r="D81" s="7" t="s">
        <v>105</v>
      </c>
      <c r="E81" s="13">
        <f t="shared" ca="1" si="1"/>
        <v>45831</v>
      </c>
      <c r="F81" s="7" t="s">
        <v>33</v>
      </c>
      <c r="G81" s="8">
        <v>4</v>
      </c>
      <c r="H81" s="9">
        <v>45000</v>
      </c>
      <c r="I81" s="9">
        <v>167100</v>
      </c>
      <c r="J81" s="17">
        <v>30078</v>
      </c>
    </row>
    <row r="82" spans="1:10" x14ac:dyDescent="0.3">
      <c r="A82" s="14" t="s">
        <v>10</v>
      </c>
      <c r="B82" s="4" t="s">
        <v>51</v>
      </c>
      <c r="C82" s="4" t="s">
        <v>12</v>
      </c>
      <c r="D82" s="4" t="s">
        <v>106</v>
      </c>
      <c r="E82" s="13">
        <f t="shared" ca="1" si="1"/>
        <v>45974</v>
      </c>
      <c r="F82" s="4" t="s">
        <v>21</v>
      </c>
      <c r="G82" s="5">
        <v>4</v>
      </c>
      <c r="H82" s="6">
        <v>12500</v>
      </c>
      <c r="I82" s="6">
        <v>50843</v>
      </c>
      <c r="J82" s="16">
        <v>4067</v>
      </c>
    </row>
    <row r="83" spans="1:10" x14ac:dyDescent="0.3">
      <c r="A83" s="15" t="s">
        <v>10</v>
      </c>
      <c r="B83" s="7" t="s">
        <v>16</v>
      </c>
      <c r="C83" s="7" t="s">
        <v>12</v>
      </c>
      <c r="D83" s="7" t="s">
        <v>58</v>
      </c>
      <c r="E83" s="13">
        <f t="shared" ca="1" si="1"/>
        <v>46005</v>
      </c>
      <c r="F83" s="7" t="s">
        <v>40</v>
      </c>
      <c r="G83" s="8">
        <v>1</v>
      </c>
      <c r="H83" s="9">
        <v>15000</v>
      </c>
      <c r="I83" s="9">
        <v>14355</v>
      </c>
      <c r="J83" s="17">
        <v>1436</v>
      </c>
    </row>
    <row r="84" spans="1:10" x14ac:dyDescent="0.3">
      <c r="A84" s="14" t="s">
        <v>41</v>
      </c>
      <c r="B84" s="4" t="s">
        <v>81</v>
      </c>
      <c r="C84" s="4" t="s">
        <v>26</v>
      </c>
      <c r="D84" s="4" t="s">
        <v>52</v>
      </c>
      <c r="E84" s="13">
        <f t="shared" ca="1" si="1"/>
        <v>45769</v>
      </c>
      <c r="F84" s="4" t="s">
        <v>36</v>
      </c>
      <c r="G84" s="5">
        <v>9</v>
      </c>
      <c r="H84" s="6">
        <v>55000</v>
      </c>
      <c r="I84" s="6">
        <v>519987</v>
      </c>
      <c r="J84" s="16">
        <v>114397</v>
      </c>
    </row>
    <row r="85" spans="1:10" x14ac:dyDescent="0.3">
      <c r="A85" s="15" t="s">
        <v>18</v>
      </c>
      <c r="B85" s="7" t="s">
        <v>11</v>
      </c>
      <c r="C85" s="7" t="s">
        <v>12</v>
      </c>
      <c r="D85" s="7" t="s">
        <v>82</v>
      </c>
      <c r="E85" s="13">
        <f t="shared" ca="1" si="1"/>
        <v>45987</v>
      </c>
      <c r="F85" s="7" t="s">
        <v>21</v>
      </c>
      <c r="G85" s="8">
        <v>8</v>
      </c>
      <c r="H85" s="9">
        <v>12500</v>
      </c>
      <c r="I85" s="9">
        <v>109171</v>
      </c>
      <c r="J85" s="17">
        <v>8734</v>
      </c>
    </row>
    <row r="86" spans="1:10" x14ac:dyDescent="0.3">
      <c r="A86" s="14" t="s">
        <v>15</v>
      </c>
      <c r="B86" s="4" t="s">
        <v>19</v>
      </c>
      <c r="C86" s="4" t="s">
        <v>12</v>
      </c>
      <c r="D86" s="4" t="s">
        <v>98</v>
      </c>
      <c r="E86" s="13">
        <f t="shared" ca="1" si="1"/>
        <v>45885</v>
      </c>
      <c r="F86" s="4" t="s">
        <v>21</v>
      </c>
      <c r="G86" s="5">
        <v>5</v>
      </c>
      <c r="H86" s="6">
        <v>12500</v>
      </c>
      <c r="I86" s="6">
        <v>66886</v>
      </c>
      <c r="J86" s="16">
        <v>5351</v>
      </c>
    </row>
    <row r="87" spans="1:10" x14ac:dyDescent="0.3">
      <c r="A87" s="15" t="s">
        <v>15</v>
      </c>
      <c r="B87" s="7" t="s">
        <v>46</v>
      </c>
      <c r="C87" s="7" t="s">
        <v>26</v>
      </c>
      <c r="D87" s="7" t="s">
        <v>107</v>
      </c>
      <c r="E87" s="13">
        <f t="shared" ca="1" si="1"/>
        <v>45751</v>
      </c>
      <c r="F87" s="7" t="s">
        <v>36</v>
      </c>
      <c r="G87" s="8">
        <v>1</v>
      </c>
      <c r="H87" s="9">
        <v>55000</v>
      </c>
      <c r="I87" s="9">
        <v>53470</v>
      </c>
      <c r="J87" s="17">
        <v>11763</v>
      </c>
    </row>
    <row r="88" spans="1:10" x14ac:dyDescent="0.3">
      <c r="A88" s="14" t="s">
        <v>37</v>
      </c>
      <c r="B88" s="4" t="s">
        <v>16</v>
      </c>
      <c r="C88" s="4" t="s">
        <v>12</v>
      </c>
      <c r="D88" s="4" t="s">
        <v>108</v>
      </c>
      <c r="E88" s="13">
        <f t="shared" ca="1" si="1"/>
        <v>45840</v>
      </c>
      <c r="F88" s="4" t="s">
        <v>33</v>
      </c>
      <c r="G88" s="5">
        <v>3</v>
      </c>
      <c r="H88" s="6">
        <v>45000</v>
      </c>
      <c r="I88" s="6">
        <v>141160</v>
      </c>
      <c r="J88" s="16">
        <v>25409</v>
      </c>
    </row>
    <row r="89" spans="1:10" x14ac:dyDescent="0.3">
      <c r="A89" s="15" t="s">
        <v>41</v>
      </c>
      <c r="B89" s="7" t="s">
        <v>46</v>
      </c>
      <c r="C89" s="7" t="s">
        <v>26</v>
      </c>
      <c r="D89" s="7" t="s">
        <v>109</v>
      </c>
      <c r="E89" s="13">
        <f t="shared" ca="1" si="1"/>
        <v>45985</v>
      </c>
      <c r="F89" s="7" t="s">
        <v>21</v>
      </c>
      <c r="G89" s="8">
        <v>1</v>
      </c>
      <c r="H89" s="9">
        <v>12500</v>
      </c>
      <c r="I89" s="9">
        <v>12849</v>
      </c>
      <c r="J89" s="17">
        <v>1028</v>
      </c>
    </row>
    <row r="90" spans="1:10" x14ac:dyDescent="0.3">
      <c r="A90" s="14" t="s">
        <v>37</v>
      </c>
      <c r="B90" s="4" t="s">
        <v>56</v>
      </c>
      <c r="C90" s="4" t="s">
        <v>23</v>
      </c>
      <c r="D90" s="4" t="s">
        <v>48</v>
      </c>
      <c r="E90" s="13">
        <f t="shared" ca="1" si="1"/>
        <v>45932</v>
      </c>
      <c r="F90" s="4" t="s">
        <v>40</v>
      </c>
      <c r="G90" s="5">
        <v>3</v>
      </c>
      <c r="H90" s="6">
        <v>15000</v>
      </c>
      <c r="I90" s="6">
        <v>41395</v>
      </c>
      <c r="J90" s="16">
        <v>4140</v>
      </c>
    </row>
    <row r="91" spans="1:10" x14ac:dyDescent="0.3">
      <c r="A91" s="15" t="s">
        <v>15</v>
      </c>
      <c r="B91" s="7" t="s">
        <v>88</v>
      </c>
      <c r="C91" s="7" t="s">
        <v>12</v>
      </c>
      <c r="D91" s="7" t="s">
        <v>110</v>
      </c>
      <c r="E91" s="13">
        <f t="shared" ca="1" si="1"/>
        <v>45966</v>
      </c>
      <c r="F91" s="7" t="s">
        <v>36</v>
      </c>
      <c r="G91" s="8">
        <v>7</v>
      </c>
      <c r="H91" s="9">
        <v>55000</v>
      </c>
      <c r="I91" s="9">
        <v>386908</v>
      </c>
      <c r="J91" s="17">
        <v>85120</v>
      </c>
    </row>
    <row r="92" spans="1:10" x14ac:dyDescent="0.3">
      <c r="A92" s="14" t="s">
        <v>15</v>
      </c>
      <c r="B92" s="4" t="s">
        <v>56</v>
      </c>
      <c r="C92" s="4" t="s">
        <v>23</v>
      </c>
      <c r="D92" s="4" t="s">
        <v>105</v>
      </c>
      <c r="E92" s="13">
        <f t="shared" ca="1" si="1"/>
        <v>46009</v>
      </c>
      <c r="F92" s="4" t="s">
        <v>14</v>
      </c>
      <c r="G92" s="5">
        <v>5</v>
      </c>
      <c r="H92" s="6">
        <v>18500</v>
      </c>
      <c r="I92" s="6">
        <v>86520</v>
      </c>
      <c r="J92" s="16">
        <v>10382</v>
      </c>
    </row>
    <row r="93" spans="1:10" x14ac:dyDescent="0.3">
      <c r="A93" s="15" t="s">
        <v>15</v>
      </c>
      <c r="B93" s="7" t="s">
        <v>46</v>
      </c>
      <c r="C93" s="7" t="s">
        <v>26</v>
      </c>
      <c r="D93" s="7" t="s">
        <v>111</v>
      </c>
      <c r="E93" s="13">
        <f t="shared" ca="1" si="1"/>
        <v>45684</v>
      </c>
      <c r="F93" s="7" t="s">
        <v>33</v>
      </c>
      <c r="G93" s="8">
        <v>10</v>
      </c>
      <c r="H93" s="9">
        <v>45000</v>
      </c>
      <c r="I93" s="9">
        <v>435035</v>
      </c>
      <c r="J93" s="17">
        <v>78306</v>
      </c>
    </row>
    <row r="94" spans="1:10" x14ac:dyDescent="0.3">
      <c r="A94" s="14" t="s">
        <v>10</v>
      </c>
      <c r="B94" s="4" t="s">
        <v>46</v>
      </c>
      <c r="C94" s="4" t="s">
        <v>26</v>
      </c>
      <c r="D94" s="4" t="s">
        <v>71</v>
      </c>
      <c r="E94" s="13">
        <f t="shared" ca="1" si="1"/>
        <v>45884</v>
      </c>
      <c r="F94" s="4" t="s">
        <v>14</v>
      </c>
      <c r="G94" s="5">
        <v>8</v>
      </c>
      <c r="H94" s="6">
        <v>18500</v>
      </c>
      <c r="I94" s="6">
        <v>154309</v>
      </c>
      <c r="J94" s="16">
        <v>18517</v>
      </c>
    </row>
    <row r="95" spans="1:10" x14ac:dyDescent="0.3">
      <c r="A95" s="15" t="s">
        <v>18</v>
      </c>
      <c r="B95" s="7" t="s">
        <v>16</v>
      </c>
      <c r="C95" s="7" t="s">
        <v>12</v>
      </c>
      <c r="D95" s="7" t="s">
        <v>13</v>
      </c>
      <c r="E95" s="13">
        <f t="shared" ca="1" si="1"/>
        <v>45852</v>
      </c>
      <c r="F95" s="7" t="s">
        <v>33</v>
      </c>
      <c r="G95" s="8">
        <v>5</v>
      </c>
      <c r="H95" s="9">
        <v>45000</v>
      </c>
      <c r="I95" s="9">
        <v>215625</v>
      </c>
      <c r="J95" s="17">
        <v>38812</v>
      </c>
    </row>
    <row r="96" spans="1:10" x14ac:dyDescent="0.3">
      <c r="A96" s="14" t="s">
        <v>41</v>
      </c>
      <c r="B96" s="4" t="s">
        <v>31</v>
      </c>
      <c r="C96" s="4" t="s">
        <v>12</v>
      </c>
      <c r="D96" s="4" t="s">
        <v>112</v>
      </c>
      <c r="E96" s="13">
        <f t="shared" ca="1" si="1"/>
        <v>45792</v>
      </c>
      <c r="F96" s="4" t="s">
        <v>21</v>
      </c>
      <c r="G96" s="5">
        <v>8</v>
      </c>
      <c r="H96" s="6">
        <v>12500</v>
      </c>
      <c r="I96" s="6">
        <v>99344</v>
      </c>
      <c r="J96" s="16">
        <v>7948</v>
      </c>
    </row>
    <row r="97" spans="1:10" x14ac:dyDescent="0.3">
      <c r="A97" s="15" t="s">
        <v>15</v>
      </c>
      <c r="B97" s="7" t="s">
        <v>31</v>
      </c>
      <c r="C97" s="7" t="s">
        <v>12</v>
      </c>
      <c r="D97" s="7" t="s">
        <v>113</v>
      </c>
      <c r="E97" s="13">
        <f t="shared" ca="1" si="1"/>
        <v>45989</v>
      </c>
      <c r="F97" s="7" t="s">
        <v>14</v>
      </c>
      <c r="G97" s="8">
        <v>3</v>
      </c>
      <c r="H97" s="9">
        <v>18500</v>
      </c>
      <c r="I97" s="9">
        <v>55164</v>
      </c>
      <c r="J97" s="17">
        <v>6620</v>
      </c>
    </row>
    <row r="98" spans="1:10" x14ac:dyDescent="0.3">
      <c r="A98" s="14" t="s">
        <v>15</v>
      </c>
      <c r="B98" s="4" t="s">
        <v>25</v>
      </c>
      <c r="C98" s="4" t="s">
        <v>26</v>
      </c>
      <c r="D98" s="4" t="s">
        <v>66</v>
      </c>
      <c r="E98" s="13">
        <f t="shared" ca="1" si="1"/>
        <v>45826</v>
      </c>
      <c r="F98" s="4" t="s">
        <v>14</v>
      </c>
      <c r="G98" s="5">
        <v>1</v>
      </c>
      <c r="H98" s="6">
        <v>18500</v>
      </c>
      <c r="I98" s="6">
        <v>20340</v>
      </c>
      <c r="J98" s="16">
        <v>2441</v>
      </c>
    </row>
    <row r="99" spans="1:10" x14ac:dyDescent="0.3">
      <c r="A99" s="15" t="s">
        <v>18</v>
      </c>
      <c r="B99" s="7" t="s">
        <v>84</v>
      </c>
      <c r="C99" s="7" t="s">
        <v>12</v>
      </c>
      <c r="D99" s="7" t="s">
        <v>105</v>
      </c>
      <c r="E99" s="13">
        <f t="shared" ca="1" si="1"/>
        <v>45814</v>
      </c>
      <c r="F99" s="7" t="s">
        <v>36</v>
      </c>
      <c r="G99" s="8">
        <v>10</v>
      </c>
      <c r="H99" s="9">
        <v>55000</v>
      </c>
      <c r="I99" s="9">
        <v>529067</v>
      </c>
      <c r="J99" s="17">
        <v>116395</v>
      </c>
    </row>
    <row r="100" spans="1:10" x14ac:dyDescent="0.3">
      <c r="A100" s="14" t="s">
        <v>15</v>
      </c>
      <c r="B100" s="4" t="s">
        <v>31</v>
      </c>
      <c r="C100" s="4" t="s">
        <v>12</v>
      </c>
      <c r="D100" s="4" t="s">
        <v>114</v>
      </c>
      <c r="E100" s="13">
        <f t="shared" ca="1" si="1"/>
        <v>45974</v>
      </c>
      <c r="F100" s="4" t="s">
        <v>36</v>
      </c>
      <c r="G100" s="5">
        <v>7</v>
      </c>
      <c r="H100" s="6">
        <v>55000</v>
      </c>
      <c r="I100" s="6">
        <v>356017</v>
      </c>
      <c r="J100" s="16">
        <v>78324</v>
      </c>
    </row>
    <row r="101" spans="1:10" x14ac:dyDescent="0.3">
      <c r="A101" s="15" t="s">
        <v>37</v>
      </c>
      <c r="B101" s="7" t="s">
        <v>29</v>
      </c>
      <c r="C101" s="7" t="s">
        <v>26</v>
      </c>
      <c r="D101" s="7" t="s">
        <v>85</v>
      </c>
      <c r="E101" s="13">
        <f t="shared" ca="1" si="1"/>
        <v>45803</v>
      </c>
      <c r="F101" s="7" t="s">
        <v>14</v>
      </c>
      <c r="G101" s="8">
        <v>5</v>
      </c>
      <c r="H101" s="9">
        <v>18500</v>
      </c>
      <c r="I101" s="9">
        <v>101703</v>
      </c>
      <c r="J101" s="17">
        <v>12204</v>
      </c>
    </row>
    <row r="102" spans="1:10" x14ac:dyDescent="0.3">
      <c r="A102" s="14" t="s">
        <v>15</v>
      </c>
      <c r="B102" s="4" t="s">
        <v>38</v>
      </c>
      <c r="C102" s="4" t="s">
        <v>23</v>
      </c>
      <c r="D102" s="4" t="s">
        <v>115</v>
      </c>
      <c r="E102" s="13">
        <f t="shared" ca="1" si="1"/>
        <v>45781</v>
      </c>
      <c r="F102" s="4" t="s">
        <v>21</v>
      </c>
      <c r="G102" s="5">
        <v>1</v>
      </c>
      <c r="H102" s="6">
        <v>12500</v>
      </c>
      <c r="I102" s="6">
        <v>13165</v>
      </c>
      <c r="J102" s="16">
        <v>1053</v>
      </c>
    </row>
    <row r="103" spans="1:10" x14ac:dyDescent="0.3">
      <c r="A103" s="15" t="s">
        <v>15</v>
      </c>
      <c r="B103" s="7" t="s">
        <v>19</v>
      </c>
      <c r="C103" s="7" t="s">
        <v>12</v>
      </c>
      <c r="D103" s="7" t="s">
        <v>116</v>
      </c>
      <c r="E103" s="13">
        <f t="shared" ca="1" si="1"/>
        <v>45844</v>
      </c>
      <c r="F103" s="7" t="s">
        <v>40</v>
      </c>
      <c r="G103" s="8">
        <v>8</v>
      </c>
      <c r="H103" s="9">
        <v>15000</v>
      </c>
      <c r="I103" s="9">
        <v>109534</v>
      </c>
      <c r="J103" s="17">
        <v>10953</v>
      </c>
    </row>
    <row r="104" spans="1:10" x14ac:dyDescent="0.3">
      <c r="A104" s="14" t="s">
        <v>37</v>
      </c>
      <c r="B104" s="4" t="s">
        <v>38</v>
      </c>
      <c r="C104" s="4" t="s">
        <v>23</v>
      </c>
      <c r="D104" s="4" t="s">
        <v>117</v>
      </c>
      <c r="E104" s="13">
        <f t="shared" ca="1" si="1"/>
        <v>45972</v>
      </c>
      <c r="F104" s="4" t="s">
        <v>40</v>
      </c>
      <c r="G104" s="5">
        <v>1</v>
      </c>
      <c r="H104" s="6">
        <v>15000</v>
      </c>
      <c r="I104" s="6">
        <v>16473</v>
      </c>
      <c r="J104" s="16">
        <v>1647</v>
      </c>
    </row>
    <row r="105" spans="1:10" x14ac:dyDescent="0.3">
      <c r="A105" s="15" t="s">
        <v>18</v>
      </c>
      <c r="B105" s="7" t="s">
        <v>11</v>
      </c>
      <c r="C105" s="7" t="s">
        <v>12</v>
      </c>
      <c r="D105" s="7" t="s">
        <v>118</v>
      </c>
      <c r="E105" s="13">
        <f t="shared" ca="1" si="1"/>
        <v>45980</v>
      </c>
      <c r="F105" s="7" t="s">
        <v>40</v>
      </c>
      <c r="G105" s="8">
        <v>6</v>
      </c>
      <c r="H105" s="9">
        <v>15000</v>
      </c>
      <c r="I105" s="9">
        <v>84100</v>
      </c>
      <c r="J105" s="17">
        <v>8410</v>
      </c>
    </row>
    <row r="106" spans="1:10" x14ac:dyDescent="0.3">
      <c r="A106" s="14" t="s">
        <v>41</v>
      </c>
      <c r="B106" s="4" t="s">
        <v>22</v>
      </c>
      <c r="C106" s="4" t="s">
        <v>23</v>
      </c>
      <c r="D106" s="4" t="s">
        <v>119</v>
      </c>
      <c r="E106" s="13">
        <f t="shared" ca="1" si="1"/>
        <v>45869</v>
      </c>
      <c r="F106" s="4" t="s">
        <v>14</v>
      </c>
      <c r="G106" s="5">
        <v>8</v>
      </c>
      <c r="H106" s="6">
        <v>18500</v>
      </c>
      <c r="I106" s="6">
        <v>151317</v>
      </c>
      <c r="J106" s="16">
        <v>18158</v>
      </c>
    </row>
    <row r="107" spans="1:10" x14ac:dyDescent="0.3">
      <c r="A107" s="15" t="s">
        <v>41</v>
      </c>
      <c r="B107" s="7" t="s">
        <v>81</v>
      </c>
      <c r="C107" s="7" t="s">
        <v>26</v>
      </c>
      <c r="D107" s="7" t="s">
        <v>120</v>
      </c>
      <c r="E107" s="13">
        <f t="shared" ca="1" si="1"/>
        <v>45684</v>
      </c>
      <c r="F107" s="7" t="s">
        <v>33</v>
      </c>
      <c r="G107" s="8">
        <v>7</v>
      </c>
      <c r="H107" s="9">
        <v>45000</v>
      </c>
      <c r="I107" s="9">
        <v>307542</v>
      </c>
      <c r="J107" s="17">
        <v>55358</v>
      </c>
    </row>
    <row r="108" spans="1:10" x14ac:dyDescent="0.3">
      <c r="A108" s="14" t="s">
        <v>41</v>
      </c>
      <c r="B108" s="4" t="s">
        <v>81</v>
      </c>
      <c r="C108" s="4" t="s">
        <v>26</v>
      </c>
      <c r="D108" s="4" t="s">
        <v>17</v>
      </c>
      <c r="E108" s="13">
        <f t="shared" ca="1" si="1"/>
        <v>45706</v>
      </c>
      <c r="F108" s="4" t="s">
        <v>33</v>
      </c>
      <c r="G108" s="5">
        <v>9</v>
      </c>
      <c r="H108" s="6">
        <v>45000</v>
      </c>
      <c r="I108" s="6">
        <v>400687</v>
      </c>
      <c r="J108" s="16">
        <v>72124</v>
      </c>
    </row>
    <row r="109" spans="1:10" x14ac:dyDescent="0.3">
      <c r="A109" s="15" t="s">
        <v>41</v>
      </c>
      <c r="B109" s="7" t="s">
        <v>16</v>
      </c>
      <c r="C109" s="7" t="s">
        <v>12</v>
      </c>
      <c r="D109" s="7" t="s">
        <v>107</v>
      </c>
      <c r="E109" s="13">
        <f t="shared" ca="1" si="1"/>
        <v>46019</v>
      </c>
      <c r="F109" s="7" t="s">
        <v>33</v>
      </c>
      <c r="G109" s="8">
        <v>5</v>
      </c>
      <c r="H109" s="9">
        <v>45000</v>
      </c>
      <c r="I109" s="9">
        <v>241128</v>
      </c>
      <c r="J109" s="17">
        <v>43403</v>
      </c>
    </row>
    <row r="110" spans="1:10" x14ac:dyDescent="0.3">
      <c r="A110" s="14" t="s">
        <v>37</v>
      </c>
      <c r="B110" s="4" t="s">
        <v>51</v>
      </c>
      <c r="C110" s="4" t="s">
        <v>12</v>
      </c>
      <c r="D110" s="4" t="s">
        <v>53</v>
      </c>
      <c r="E110" s="13">
        <f t="shared" ca="1" si="1"/>
        <v>46013</v>
      </c>
      <c r="F110" s="4" t="s">
        <v>36</v>
      </c>
      <c r="G110" s="5">
        <v>10</v>
      </c>
      <c r="H110" s="6">
        <v>55000</v>
      </c>
      <c r="I110" s="6">
        <v>538180</v>
      </c>
      <c r="J110" s="16">
        <v>118400</v>
      </c>
    </row>
    <row r="111" spans="1:10" x14ac:dyDescent="0.3">
      <c r="A111" s="15" t="s">
        <v>18</v>
      </c>
      <c r="B111" s="7" t="s">
        <v>88</v>
      </c>
      <c r="C111" s="7" t="s">
        <v>12</v>
      </c>
      <c r="D111" s="7" t="s">
        <v>121</v>
      </c>
      <c r="E111" s="13">
        <f t="shared" ca="1" si="1"/>
        <v>45705</v>
      </c>
      <c r="F111" s="7" t="s">
        <v>33</v>
      </c>
      <c r="G111" s="8">
        <v>6</v>
      </c>
      <c r="H111" s="9">
        <v>45000</v>
      </c>
      <c r="I111" s="9">
        <v>282523</v>
      </c>
      <c r="J111" s="17">
        <v>50854</v>
      </c>
    </row>
    <row r="112" spans="1:10" x14ac:dyDescent="0.3">
      <c r="A112" s="14" t="s">
        <v>37</v>
      </c>
      <c r="B112" s="4" t="s">
        <v>19</v>
      </c>
      <c r="C112" s="4" t="s">
        <v>12</v>
      </c>
      <c r="D112" s="4" t="s">
        <v>122</v>
      </c>
      <c r="E112" s="13">
        <f t="shared" ca="1" si="1"/>
        <v>45926</v>
      </c>
      <c r="F112" s="4" t="s">
        <v>40</v>
      </c>
      <c r="G112" s="5">
        <v>8</v>
      </c>
      <c r="H112" s="6">
        <v>15000</v>
      </c>
      <c r="I112" s="6">
        <v>122792</v>
      </c>
      <c r="J112" s="16">
        <v>12279</v>
      </c>
    </row>
    <row r="113" spans="1:10" x14ac:dyDescent="0.3">
      <c r="A113" s="15" t="s">
        <v>15</v>
      </c>
      <c r="B113" s="7" t="s">
        <v>22</v>
      </c>
      <c r="C113" s="7" t="s">
        <v>23</v>
      </c>
      <c r="D113" s="7" t="s">
        <v>123</v>
      </c>
      <c r="E113" s="13">
        <f t="shared" ca="1" si="1"/>
        <v>45977</v>
      </c>
      <c r="F113" s="7" t="s">
        <v>36</v>
      </c>
      <c r="G113" s="8">
        <v>6</v>
      </c>
      <c r="H113" s="9">
        <v>55000</v>
      </c>
      <c r="I113" s="9">
        <v>329623</v>
      </c>
      <c r="J113" s="17">
        <v>72517</v>
      </c>
    </row>
    <row r="114" spans="1:10" x14ac:dyDescent="0.3">
      <c r="A114" s="14" t="s">
        <v>10</v>
      </c>
      <c r="B114" s="4" t="s">
        <v>88</v>
      </c>
      <c r="C114" s="4" t="s">
        <v>12</v>
      </c>
      <c r="D114" s="4" t="s">
        <v>124</v>
      </c>
      <c r="E114" s="13">
        <f t="shared" ca="1" si="1"/>
        <v>45797</v>
      </c>
      <c r="F114" s="4" t="s">
        <v>40</v>
      </c>
      <c r="G114" s="5">
        <v>1</v>
      </c>
      <c r="H114" s="6">
        <v>15000</v>
      </c>
      <c r="I114" s="6">
        <v>14498</v>
      </c>
      <c r="J114" s="16">
        <v>1450</v>
      </c>
    </row>
    <row r="115" spans="1:10" x14ac:dyDescent="0.3">
      <c r="A115" s="15" t="s">
        <v>10</v>
      </c>
      <c r="B115" s="7" t="s">
        <v>88</v>
      </c>
      <c r="C115" s="7" t="s">
        <v>12</v>
      </c>
      <c r="D115" s="7" t="s">
        <v>30</v>
      </c>
      <c r="E115" s="13">
        <f t="shared" ca="1" si="1"/>
        <v>46018</v>
      </c>
      <c r="F115" s="7" t="s">
        <v>33</v>
      </c>
      <c r="G115" s="8">
        <v>2</v>
      </c>
      <c r="H115" s="9">
        <v>45000</v>
      </c>
      <c r="I115" s="9">
        <v>87996</v>
      </c>
      <c r="J115" s="17">
        <v>15839</v>
      </c>
    </row>
    <row r="116" spans="1:10" x14ac:dyDescent="0.3">
      <c r="A116" s="14" t="s">
        <v>37</v>
      </c>
      <c r="B116" s="4" t="s">
        <v>25</v>
      </c>
      <c r="C116" s="4" t="s">
        <v>26</v>
      </c>
      <c r="D116" s="4" t="s">
        <v>125</v>
      </c>
      <c r="E116" s="13">
        <f t="shared" ca="1" si="1"/>
        <v>46003</v>
      </c>
      <c r="F116" s="4" t="s">
        <v>14</v>
      </c>
      <c r="G116" s="5">
        <v>3</v>
      </c>
      <c r="H116" s="6">
        <v>18500</v>
      </c>
      <c r="I116" s="6">
        <v>52721</v>
      </c>
      <c r="J116" s="16">
        <v>6327</v>
      </c>
    </row>
    <row r="117" spans="1:10" x14ac:dyDescent="0.3">
      <c r="A117" s="15" t="s">
        <v>15</v>
      </c>
      <c r="B117" s="7" t="s">
        <v>51</v>
      </c>
      <c r="C117" s="7" t="s">
        <v>12</v>
      </c>
      <c r="D117" s="7" t="s">
        <v>117</v>
      </c>
      <c r="E117" s="13">
        <f t="shared" ca="1" si="1"/>
        <v>45988</v>
      </c>
      <c r="F117" s="7" t="s">
        <v>36</v>
      </c>
      <c r="G117" s="8">
        <v>4</v>
      </c>
      <c r="H117" s="9">
        <v>55000</v>
      </c>
      <c r="I117" s="9">
        <v>212159</v>
      </c>
      <c r="J117" s="17">
        <v>46675</v>
      </c>
    </row>
    <row r="118" spans="1:10" x14ac:dyDescent="0.3">
      <c r="A118" s="14" t="s">
        <v>41</v>
      </c>
      <c r="B118" s="4" t="s">
        <v>11</v>
      </c>
      <c r="C118" s="4" t="s">
        <v>12</v>
      </c>
      <c r="D118" s="4" t="s">
        <v>126</v>
      </c>
      <c r="E118" s="13">
        <f t="shared" ca="1" si="1"/>
        <v>45784</v>
      </c>
      <c r="F118" s="4" t="s">
        <v>33</v>
      </c>
      <c r="G118" s="5">
        <v>4</v>
      </c>
      <c r="H118" s="6">
        <v>45000</v>
      </c>
      <c r="I118" s="6">
        <v>166120</v>
      </c>
      <c r="J118" s="16">
        <v>29902</v>
      </c>
    </row>
    <row r="119" spans="1:10" x14ac:dyDescent="0.3">
      <c r="A119" s="15" t="s">
        <v>15</v>
      </c>
      <c r="B119" s="7" t="s">
        <v>29</v>
      </c>
      <c r="C119" s="7" t="s">
        <v>26</v>
      </c>
      <c r="D119" s="7" t="s">
        <v>127</v>
      </c>
      <c r="E119" s="13">
        <f t="shared" ca="1" si="1"/>
        <v>45949</v>
      </c>
      <c r="F119" s="7" t="s">
        <v>36</v>
      </c>
      <c r="G119" s="8">
        <v>3</v>
      </c>
      <c r="H119" s="9">
        <v>55000</v>
      </c>
      <c r="I119" s="9">
        <v>175504</v>
      </c>
      <c r="J119" s="17">
        <v>38611</v>
      </c>
    </row>
    <row r="120" spans="1:10" x14ac:dyDescent="0.3">
      <c r="A120" s="14" t="s">
        <v>15</v>
      </c>
      <c r="B120" s="4" t="s">
        <v>16</v>
      </c>
      <c r="C120" s="4" t="s">
        <v>12</v>
      </c>
      <c r="D120" s="4" t="s">
        <v>115</v>
      </c>
      <c r="E120" s="13">
        <f t="shared" ca="1" si="1"/>
        <v>45876</v>
      </c>
      <c r="F120" s="4" t="s">
        <v>21</v>
      </c>
      <c r="G120" s="5">
        <v>8</v>
      </c>
      <c r="H120" s="6">
        <v>12500</v>
      </c>
      <c r="I120" s="6">
        <v>94280</v>
      </c>
      <c r="J120" s="16">
        <v>7542</v>
      </c>
    </row>
    <row r="121" spans="1:10" x14ac:dyDescent="0.3">
      <c r="A121" s="15" t="s">
        <v>10</v>
      </c>
      <c r="B121" s="7" t="s">
        <v>11</v>
      </c>
      <c r="C121" s="7" t="s">
        <v>12</v>
      </c>
      <c r="D121" s="7" t="s">
        <v>128</v>
      </c>
      <c r="E121" s="13">
        <f t="shared" ca="1" si="1"/>
        <v>45850</v>
      </c>
      <c r="F121" s="7" t="s">
        <v>36</v>
      </c>
      <c r="G121" s="8">
        <v>1</v>
      </c>
      <c r="H121" s="9">
        <v>55000</v>
      </c>
      <c r="I121" s="9">
        <v>49941</v>
      </c>
      <c r="J121" s="17">
        <v>10987</v>
      </c>
    </row>
    <row r="122" spans="1:10" x14ac:dyDescent="0.3">
      <c r="A122" s="14" t="s">
        <v>10</v>
      </c>
      <c r="B122" s="4" t="s">
        <v>22</v>
      </c>
      <c r="C122" s="4" t="s">
        <v>23</v>
      </c>
      <c r="D122" s="4" t="s">
        <v>129</v>
      </c>
      <c r="E122" s="13">
        <f t="shared" ca="1" si="1"/>
        <v>45824</v>
      </c>
      <c r="F122" s="4" t="s">
        <v>33</v>
      </c>
      <c r="G122" s="5">
        <v>5</v>
      </c>
      <c r="H122" s="6">
        <v>45000</v>
      </c>
      <c r="I122" s="6">
        <v>245181</v>
      </c>
      <c r="J122" s="16">
        <v>44133</v>
      </c>
    </row>
    <row r="123" spans="1:10" x14ac:dyDescent="0.3">
      <c r="A123" s="15" t="s">
        <v>18</v>
      </c>
      <c r="B123" s="7" t="s">
        <v>56</v>
      </c>
      <c r="C123" s="7" t="s">
        <v>23</v>
      </c>
      <c r="D123" s="7" t="s">
        <v>93</v>
      </c>
      <c r="E123" s="13">
        <f t="shared" ca="1" si="1"/>
        <v>45948</v>
      </c>
      <c r="F123" s="7" t="s">
        <v>40</v>
      </c>
      <c r="G123" s="8">
        <v>9</v>
      </c>
      <c r="H123" s="9">
        <v>15000</v>
      </c>
      <c r="I123" s="9">
        <v>129340</v>
      </c>
      <c r="J123" s="17">
        <v>12934</v>
      </c>
    </row>
    <row r="124" spans="1:10" x14ac:dyDescent="0.3">
      <c r="A124" s="14" t="s">
        <v>41</v>
      </c>
      <c r="B124" s="4" t="s">
        <v>16</v>
      </c>
      <c r="C124" s="4" t="s">
        <v>12</v>
      </c>
      <c r="D124" s="4" t="s">
        <v>130</v>
      </c>
      <c r="E124" s="13">
        <f t="shared" ca="1" si="1"/>
        <v>45687</v>
      </c>
      <c r="F124" s="4" t="s">
        <v>33</v>
      </c>
      <c r="G124" s="5">
        <v>4</v>
      </c>
      <c r="H124" s="6">
        <v>45000</v>
      </c>
      <c r="I124" s="6">
        <v>182794</v>
      </c>
      <c r="J124" s="16">
        <v>32903</v>
      </c>
    </row>
    <row r="125" spans="1:10" x14ac:dyDescent="0.3">
      <c r="A125" s="15" t="s">
        <v>18</v>
      </c>
      <c r="B125" s="7" t="s">
        <v>29</v>
      </c>
      <c r="C125" s="7" t="s">
        <v>26</v>
      </c>
      <c r="D125" s="7" t="s">
        <v>131</v>
      </c>
      <c r="E125" s="13">
        <f t="shared" ca="1" si="1"/>
        <v>45810</v>
      </c>
      <c r="F125" s="7" t="s">
        <v>36</v>
      </c>
      <c r="G125" s="8">
        <v>8</v>
      </c>
      <c r="H125" s="9">
        <v>55000</v>
      </c>
      <c r="I125" s="9">
        <v>402519</v>
      </c>
      <c r="J125" s="17">
        <v>88554</v>
      </c>
    </row>
    <row r="126" spans="1:10" x14ac:dyDescent="0.3">
      <c r="A126" s="14" t="s">
        <v>15</v>
      </c>
      <c r="B126" s="4" t="s">
        <v>25</v>
      </c>
      <c r="C126" s="4" t="s">
        <v>26</v>
      </c>
      <c r="D126" s="4" t="s">
        <v>61</v>
      </c>
      <c r="E126" s="13">
        <f t="shared" ca="1" si="1"/>
        <v>45943</v>
      </c>
      <c r="F126" s="4" t="s">
        <v>21</v>
      </c>
      <c r="G126" s="5">
        <v>1</v>
      </c>
      <c r="H126" s="6">
        <v>12500</v>
      </c>
      <c r="I126" s="6">
        <v>13136</v>
      </c>
      <c r="J126" s="16">
        <v>1051</v>
      </c>
    </row>
    <row r="127" spans="1:10" x14ac:dyDescent="0.3">
      <c r="A127" s="15" t="s">
        <v>15</v>
      </c>
      <c r="B127" s="7" t="s">
        <v>51</v>
      </c>
      <c r="C127" s="7" t="s">
        <v>12</v>
      </c>
      <c r="D127" s="7" t="s">
        <v>107</v>
      </c>
      <c r="E127" s="13">
        <f t="shared" ca="1" si="1"/>
        <v>45694</v>
      </c>
      <c r="F127" s="7" t="s">
        <v>21</v>
      </c>
      <c r="G127" s="8">
        <v>9</v>
      </c>
      <c r="H127" s="9">
        <v>12500</v>
      </c>
      <c r="I127" s="9">
        <v>110326</v>
      </c>
      <c r="J127" s="17">
        <v>8826</v>
      </c>
    </row>
    <row r="128" spans="1:10" x14ac:dyDescent="0.3">
      <c r="A128" s="14" t="s">
        <v>37</v>
      </c>
      <c r="B128" s="4" t="s">
        <v>77</v>
      </c>
      <c r="C128" s="4" t="s">
        <v>12</v>
      </c>
      <c r="D128" s="4" t="s">
        <v>103</v>
      </c>
      <c r="E128" s="13">
        <f t="shared" ca="1" si="1"/>
        <v>45708</v>
      </c>
      <c r="F128" s="4" t="s">
        <v>40</v>
      </c>
      <c r="G128" s="5">
        <v>6</v>
      </c>
      <c r="H128" s="6">
        <v>15000</v>
      </c>
      <c r="I128" s="6">
        <v>98363</v>
      </c>
      <c r="J128" s="16">
        <v>9836</v>
      </c>
    </row>
    <row r="129" spans="1:10" x14ac:dyDescent="0.3">
      <c r="A129" s="15" t="s">
        <v>41</v>
      </c>
      <c r="B129" s="7" t="s">
        <v>88</v>
      </c>
      <c r="C129" s="7" t="s">
        <v>12</v>
      </c>
      <c r="D129" s="7" t="s">
        <v>132</v>
      </c>
      <c r="E129" s="13">
        <f t="shared" ca="1" si="1"/>
        <v>45908</v>
      </c>
      <c r="F129" s="7" t="s">
        <v>14</v>
      </c>
      <c r="G129" s="8">
        <v>6</v>
      </c>
      <c r="H129" s="9">
        <v>18500</v>
      </c>
      <c r="I129" s="9">
        <v>110973</v>
      </c>
      <c r="J129" s="17">
        <v>13317</v>
      </c>
    </row>
    <row r="130" spans="1:10" x14ac:dyDescent="0.3">
      <c r="A130" s="14" t="s">
        <v>37</v>
      </c>
      <c r="B130" s="4" t="s">
        <v>19</v>
      </c>
      <c r="C130" s="4" t="s">
        <v>12</v>
      </c>
      <c r="D130" s="4" t="s">
        <v>133</v>
      </c>
      <c r="E130" s="13">
        <f t="shared" ca="1" si="1"/>
        <v>45709</v>
      </c>
      <c r="F130" s="4" t="s">
        <v>14</v>
      </c>
      <c r="G130" s="5">
        <v>10</v>
      </c>
      <c r="H130" s="6">
        <v>18500</v>
      </c>
      <c r="I130" s="6">
        <v>200860</v>
      </c>
      <c r="J130" s="16">
        <v>24103</v>
      </c>
    </row>
    <row r="131" spans="1:10" x14ac:dyDescent="0.3">
      <c r="A131" s="15" t="s">
        <v>15</v>
      </c>
      <c r="B131" s="7" t="s">
        <v>51</v>
      </c>
      <c r="C131" s="7" t="s">
        <v>12</v>
      </c>
      <c r="D131" s="7" t="s">
        <v>134</v>
      </c>
      <c r="E131" s="13">
        <f t="shared" ref="E131:E194" ca="1" si="2">DATE(2025,1,1)+RANDBETWEEN(0,364)</f>
        <v>45658</v>
      </c>
      <c r="F131" s="7" t="s">
        <v>36</v>
      </c>
      <c r="G131" s="8">
        <v>2</v>
      </c>
      <c r="H131" s="9">
        <v>55000</v>
      </c>
      <c r="I131" s="9">
        <v>104415</v>
      </c>
      <c r="J131" s="17">
        <v>22971</v>
      </c>
    </row>
    <row r="132" spans="1:10" x14ac:dyDescent="0.3">
      <c r="A132" s="14" t="s">
        <v>37</v>
      </c>
      <c r="B132" s="4" t="s">
        <v>84</v>
      </c>
      <c r="C132" s="4" t="s">
        <v>12</v>
      </c>
      <c r="D132" s="4" t="s">
        <v>135</v>
      </c>
      <c r="E132" s="13">
        <f t="shared" ca="1" si="2"/>
        <v>46011</v>
      </c>
      <c r="F132" s="4" t="s">
        <v>14</v>
      </c>
      <c r="G132" s="5">
        <v>5</v>
      </c>
      <c r="H132" s="6">
        <v>18500</v>
      </c>
      <c r="I132" s="6">
        <v>98369</v>
      </c>
      <c r="J132" s="16">
        <v>11804</v>
      </c>
    </row>
    <row r="133" spans="1:10" x14ac:dyDescent="0.3">
      <c r="A133" s="15" t="s">
        <v>15</v>
      </c>
      <c r="B133" s="7" t="s">
        <v>19</v>
      </c>
      <c r="C133" s="7" t="s">
        <v>12</v>
      </c>
      <c r="D133" s="7" t="s">
        <v>113</v>
      </c>
      <c r="E133" s="13">
        <f t="shared" ca="1" si="2"/>
        <v>45759</v>
      </c>
      <c r="F133" s="7" t="s">
        <v>40</v>
      </c>
      <c r="G133" s="8">
        <v>5</v>
      </c>
      <c r="H133" s="9">
        <v>15000</v>
      </c>
      <c r="I133" s="9">
        <v>72318</v>
      </c>
      <c r="J133" s="17">
        <v>7232</v>
      </c>
    </row>
    <row r="134" spans="1:10" x14ac:dyDescent="0.3">
      <c r="A134" s="14" t="s">
        <v>37</v>
      </c>
      <c r="B134" s="4" t="s">
        <v>51</v>
      </c>
      <c r="C134" s="4" t="s">
        <v>12</v>
      </c>
      <c r="D134" s="4" t="s">
        <v>136</v>
      </c>
      <c r="E134" s="13">
        <f t="shared" ca="1" si="2"/>
        <v>45684</v>
      </c>
      <c r="F134" s="4" t="s">
        <v>36</v>
      </c>
      <c r="G134" s="5">
        <v>3</v>
      </c>
      <c r="H134" s="6">
        <v>55000</v>
      </c>
      <c r="I134" s="6">
        <v>177973</v>
      </c>
      <c r="J134" s="16">
        <v>39154</v>
      </c>
    </row>
    <row r="135" spans="1:10" x14ac:dyDescent="0.3">
      <c r="A135" s="15" t="s">
        <v>10</v>
      </c>
      <c r="B135" s="7" t="s">
        <v>25</v>
      </c>
      <c r="C135" s="7" t="s">
        <v>26</v>
      </c>
      <c r="D135" s="7" t="s">
        <v>87</v>
      </c>
      <c r="E135" s="13">
        <f t="shared" ca="1" si="2"/>
        <v>45876</v>
      </c>
      <c r="F135" s="7" t="s">
        <v>36</v>
      </c>
      <c r="G135" s="8">
        <v>9</v>
      </c>
      <c r="H135" s="9">
        <v>55000</v>
      </c>
      <c r="I135" s="9">
        <v>487488</v>
      </c>
      <c r="J135" s="17">
        <v>107247</v>
      </c>
    </row>
    <row r="136" spans="1:10" x14ac:dyDescent="0.3">
      <c r="A136" s="14" t="s">
        <v>41</v>
      </c>
      <c r="B136" s="4" t="s">
        <v>16</v>
      </c>
      <c r="C136" s="4" t="s">
        <v>12</v>
      </c>
      <c r="D136" s="4" t="s">
        <v>127</v>
      </c>
      <c r="E136" s="13">
        <f t="shared" ca="1" si="2"/>
        <v>46019</v>
      </c>
      <c r="F136" s="4" t="s">
        <v>21</v>
      </c>
      <c r="G136" s="5">
        <v>9</v>
      </c>
      <c r="H136" s="6">
        <v>12500</v>
      </c>
      <c r="I136" s="6">
        <v>113663</v>
      </c>
      <c r="J136" s="16">
        <v>9093</v>
      </c>
    </row>
    <row r="137" spans="1:10" x14ac:dyDescent="0.3">
      <c r="A137" s="15" t="s">
        <v>15</v>
      </c>
      <c r="B137" s="7" t="s">
        <v>56</v>
      </c>
      <c r="C137" s="7" t="s">
        <v>23</v>
      </c>
      <c r="D137" s="7" t="s">
        <v>137</v>
      </c>
      <c r="E137" s="13">
        <f t="shared" ca="1" si="2"/>
        <v>45852</v>
      </c>
      <c r="F137" s="7" t="s">
        <v>33</v>
      </c>
      <c r="G137" s="8">
        <v>3</v>
      </c>
      <c r="H137" s="9">
        <v>45000</v>
      </c>
      <c r="I137" s="9">
        <v>137034</v>
      </c>
      <c r="J137" s="17">
        <v>24666</v>
      </c>
    </row>
    <row r="138" spans="1:10" x14ac:dyDescent="0.3">
      <c r="A138" s="14" t="s">
        <v>15</v>
      </c>
      <c r="B138" s="4" t="s">
        <v>88</v>
      </c>
      <c r="C138" s="4" t="s">
        <v>12</v>
      </c>
      <c r="D138" s="4" t="s">
        <v>48</v>
      </c>
      <c r="E138" s="13">
        <f t="shared" ca="1" si="2"/>
        <v>45826</v>
      </c>
      <c r="F138" s="4" t="s">
        <v>33</v>
      </c>
      <c r="G138" s="5">
        <v>4</v>
      </c>
      <c r="H138" s="6">
        <v>45000</v>
      </c>
      <c r="I138" s="6">
        <v>165104</v>
      </c>
      <c r="J138" s="16">
        <v>29719</v>
      </c>
    </row>
    <row r="139" spans="1:10" x14ac:dyDescent="0.3">
      <c r="A139" s="15" t="s">
        <v>18</v>
      </c>
      <c r="B139" s="7" t="s">
        <v>56</v>
      </c>
      <c r="C139" s="7" t="s">
        <v>23</v>
      </c>
      <c r="D139" s="7" t="s">
        <v>138</v>
      </c>
      <c r="E139" s="13">
        <f t="shared" ca="1" si="2"/>
        <v>45740</v>
      </c>
      <c r="F139" s="7" t="s">
        <v>14</v>
      </c>
      <c r="G139" s="8">
        <v>9</v>
      </c>
      <c r="H139" s="9">
        <v>18500</v>
      </c>
      <c r="I139" s="9">
        <v>152350</v>
      </c>
      <c r="J139" s="17">
        <v>18282</v>
      </c>
    </row>
    <row r="140" spans="1:10" x14ac:dyDescent="0.3">
      <c r="A140" s="14" t="s">
        <v>18</v>
      </c>
      <c r="B140" s="4" t="s">
        <v>29</v>
      </c>
      <c r="C140" s="4" t="s">
        <v>26</v>
      </c>
      <c r="D140" s="4" t="s">
        <v>139</v>
      </c>
      <c r="E140" s="13">
        <f t="shared" ca="1" si="2"/>
        <v>45894</v>
      </c>
      <c r="F140" s="4" t="s">
        <v>14</v>
      </c>
      <c r="G140" s="5">
        <v>6</v>
      </c>
      <c r="H140" s="6">
        <v>18500</v>
      </c>
      <c r="I140" s="6">
        <v>115028</v>
      </c>
      <c r="J140" s="16">
        <v>13803</v>
      </c>
    </row>
    <row r="141" spans="1:10" x14ac:dyDescent="0.3">
      <c r="A141" s="15" t="s">
        <v>41</v>
      </c>
      <c r="B141" s="7" t="s">
        <v>19</v>
      </c>
      <c r="C141" s="7" t="s">
        <v>12</v>
      </c>
      <c r="D141" s="7" t="s">
        <v>104</v>
      </c>
      <c r="E141" s="13">
        <f t="shared" ca="1" si="2"/>
        <v>45893</v>
      </c>
      <c r="F141" s="7" t="s">
        <v>36</v>
      </c>
      <c r="G141" s="8">
        <v>2</v>
      </c>
      <c r="H141" s="9">
        <v>55000</v>
      </c>
      <c r="I141" s="9">
        <v>106945</v>
      </c>
      <c r="J141" s="17">
        <v>23528</v>
      </c>
    </row>
    <row r="142" spans="1:10" x14ac:dyDescent="0.3">
      <c r="A142" s="14" t="s">
        <v>41</v>
      </c>
      <c r="B142" s="4" t="s">
        <v>46</v>
      </c>
      <c r="C142" s="4" t="s">
        <v>26</v>
      </c>
      <c r="D142" s="4" t="s">
        <v>140</v>
      </c>
      <c r="E142" s="13">
        <f t="shared" ca="1" si="2"/>
        <v>45868</v>
      </c>
      <c r="F142" s="4" t="s">
        <v>33</v>
      </c>
      <c r="G142" s="5">
        <v>10</v>
      </c>
      <c r="H142" s="6">
        <v>45000</v>
      </c>
      <c r="I142" s="6">
        <v>440982</v>
      </c>
      <c r="J142" s="16">
        <v>79377</v>
      </c>
    </row>
    <row r="143" spans="1:10" x14ac:dyDescent="0.3">
      <c r="A143" s="15" t="s">
        <v>37</v>
      </c>
      <c r="B143" s="7" t="s">
        <v>11</v>
      </c>
      <c r="C143" s="7" t="s">
        <v>12</v>
      </c>
      <c r="D143" s="7" t="s">
        <v>141</v>
      </c>
      <c r="E143" s="13">
        <f t="shared" ca="1" si="2"/>
        <v>45689</v>
      </c>
      <c r="F143" s="7" t="s">
        <v>36</v>
      </c>
      <c r="G143" s="8">
        <v>6</v>
      </c>
      <c r="H143" s="9">
        <v>55000</v>
      </c>
      <c r="I143" s="9">
        <v>358315</v>
      </c>
      <c r="J143" s="17">
        <v>78829</v>
      </c>
    </row>
    <row r="144" spans="1:10" x14ac:dyDescent="0.3">
      <c r="A144" s="14" t="s">
        <v>41</v>
      </c>
      <c r="B144" s="4" t="s">
        <v>56</v>
      </c>
      <c r="C144" s="4" t="s">
        <v>23</v>
      </c>
      <c r="D144" s="4" t="s">
        <v>85</v>
      </c>
      <c r="E144" s="13">
        <f t="shared" ca="1" si="2"/>
        <v>45842</v>
      </c>
      <c r="F144" s="4" t="s">
        <v>40</v>
      </c>
      <c r="G144" s="5">
        <v>5</v>
      </c>
      <c r="H144" s="6">
        <v>15000</v>
      </c>
      <c r="I144" s="6">
        <v>81278</v>
      </c>
      <c r="J144" s="16">
        <v>8128</v>
      </c>
    </row>
    <row r="145" spans="1:10" x14ac:dyDescent="0.3">
      <c r="A145" s="15" t="s">
        <v>41</v>
      </c>
      <c r="B145" s="7" t="s">
        <v>38</v>
      </c>
      <c r="C145" s="7" t="s">
        <v>23</v>
      </c>
      <c r="D145" s="7" t="s">
        <v>142</v>
      </c>
      <c r="E145" s="13">
        <f t="shared" ca="1" si="2"/>
        <v>45686</v>
      </c>
      <c r="F145" s="7" t="s">
        <v>36</v>
      </c>
      <c r="G145" s="8">
        <v>7</v>
      </c>
      <c r="H145" s="9">
        <v>55000</v>
      </c>
      <c r="I145" s="9">
        <v>402137</v>
      </c>
      <c r="J145" s="17">
        <v>88470</v>
      </c>
    </row>
    <row r="146" spans="1:10" x14ac:dyDescent="0.3">
      <c r="A146" s="14" t="s">
        <v>10</v>
      </c>
      <c r="B146" s="4" t="s">
        <v>77</v>
      </c>
      <c r="C146" s="4" t="s">
        <v>12</v>
      </c>
      <c r="D146" s="4" t="s">
        <v>96</v>
      </c>
      <c r="E146" s="13">
        <f t="shared" ca="1" si="2"/>
        <v>45719</v>
      </c>
      <c r="F146" s="4" t="s">
        <v>36</v>
      </c>
      <c r="G146" s="5">
        <v>1</v>
      </c>
      <c r="H146" s="6">
        <v>55000</v>
      </c>
      <c r="I146" s="6">
        <v>53552</v>
      </c>
      <c r="J146" s="16">
        <v>11781</v>
      </c>
    </row>
    <row r="147" spans="1:10" x14ac:dyDescent="0.3">
      <c r="A147" s="15" t="s">
        <v>37</v>
      </c>
      <c r="B147" s="7" t="s">
        <v>29</v>
      </c>
      <c r="C147" s="7" t="s">
        <v>26</v>
      </c>
      <c r="D147" s="7" t="s">
        <v>143</v>
      </c>
      <c r="E147" s="13">
        <f t="shared" ca="1" si="2"/>
        <v>45792</v>
      </c>
      <c r="F147" s="7" t="s">
        <v>40</v>
      </c>
      <c r="G147" s="8">
        <v>9</v>
      </c>
      <c r="H147" s="9">
        <v>15000</v>
      </c>
      <c r="I147" s="9">
        <v>125626</v>
      </c>
      <c r="J147" s="17">
        <v>12563</v>
      </c>
    </row>
    <row r="148" spans="1:10" x14ac:dyDescent="0.3">
      <c r="A148" s="14" t="s">
        <v>37</v>
      </c>
      <c r="B148" s="4" t="s">
        <v>22</v>
      </c>
      <c r="C148" s="4" t="s">
        <v>23</v>
      </c>
      <c r="D148" s="4" t="s">
        <v>144</v>
      </c>
      <c r="E148" s="13">
        <f t="shared" ca="1" si="2"/>
        <v>45684</v>
      </c>
      <c r="F148" s="4" t="s">
        <v>33</v>
      </c>
      <c r="G148" s="5">
        <v>8</v>
      </c>
      <c r="H148" s="6">
        <v>45000</v>
      </c>
      <c r="I148" s="6">
        <v>333830</v>
      </c>
      <c r="J148" s="16">
        <v>60089</v>
      </c>
    </row>
    <row r="149" spans="1:10" x14ac:dyDescent="0.3">
      <c r="A149" s="15" t="s">
        <v>41</v>
      </c>
      <c r="B149" s="7" t="s">
        <v>16</v>
      </c>
      <c r="C149" s="7" t="s">
        <v>12</v>
      </c>
      <c r="D149" s="7" t="s">
        <v>115</v>
      </c>
      <c r="E149" s="13">
        <f t="shared" ca="1" si="2"/>
        <v>45693</v>
      </c>
      <c r="F149" s="7" t="s">
        <v>14</v>
      </c>
      <c r="G149" s="8">
        <v>3</v>
      </c>
      <c r="H149" s="9">
        <v>18500</v>
      </c>
      <c r="I149" s="9">
        <v>60474</v>
      </c>
      <c r="J149" s="17">
        <v>7257</v>
      </c>
    </row>
    <row r="150" spans="1:10" x14ac:dyDescent="0.3">
      <c r="A150" s="14" t="s">
        <v>15</v>
      </c>
      <c r="B150" s="4" t="s">
        <v>16</v>
      </c>
      <c r="C150" s="4" t="s">
        <v>12</v>
      </c>
      <c r="D150" s="4" t="s">
        <v>145</v>
      </c>
      <c r="E150" s="13">
        <f t="shared" ca="1" si="2"/>
        <v>45924</v>
      </c>
      <c r="F150" s="4" t="s">
        <v>33</v>
      </c>
      <c r="G150" s="5">
        <v>9</v>
      </c>
      <c r="H150" s="6">
        <v>45000</v>
      </c>
      <c r="I150" s="6">
        <v>373830</v>
      </c>
      <c r="J150" s="16">
        <v>67289</v>
      </c>
    </row>
    <row r="151" spans="1:10" x14ac:dyDescent="0.3">
      <c r="A151" s="15" t="s">
        <v>41</v>
      </c>
      <c r="B151" s="7" t="s">
        <v>51</v>
      </c>
      <c r="C151" s="7" t="s">
        <v>12</v>
      </c>
      <c r="D151" s="7" t="s">
        <v>68</v>
      </c>
      <c r="E151" s="13">
        <f t="shared" ca="1" si="2"/>
        <v>45706</v>
      </c>
      <c r="F151" s="7" t="s">
        <v>21</v>
      </c>
      <c r="G151" s="8">
        <v>6</v>
      </c>
      <c r="H151" s="9">
        <v>12500</v>
      </c>
      <c r="I151" s="9">
        <v>77654</v>
      </c>
      <c r="J151" s="17">
        <v>6212</v>
      </c>
    </row>
    <row r="152" spans="1:10" x14ac:dyDescent="0.3">
      <c r="A152" s="14" t="s">
        <v>37</v>
      </c>
      <c r="B152" s="4" t="s">
        <v>84</v>
      </c>
      <c r="C152" s="4" t="s">
        <v>12</v>
      </c>
      <c r="D152" s="4" t="s">
        <v>146</v>
      </c>
      <c r="E152" s="13">
        <f t="shared" ca="1" si="2"/>
        <v>45935</v>
      </c>
      <c r="F152" s="4" t="s">
        <v>21</v>
      </c>
      <c r="G152" s="5">
        <v>5</v>
      </c>
      <c r="H152" s="6">
        <v>12500</v>
      </c>
      <c r="I152" s="6">
        <v>61258</v>
      </c>
      <c r="J152" s="16">
        <v>4901</v>
      </c>
    </row>
    <row r="153" spans="1:10" x14ac:dyDescent="0.3">
      <c r="A153" s="15" t="s">
        <v>37</v>
      </c>
      <c r="B153" s="7" t="s">
        <v>31</v>
      </c>
      <c r="C153" s="7" t="s">
        <v>12</v>
      </c>
      <c r="D153" s="7" t="s">
        <v>147</v>
      </c>
      <c r="E153" s="13">
        <f t="shared" ca="1" si="2"/>
        <v>45987</v>
      </c>
      <c r="F153" s="7" t="s">
        <v>36</v>
      </c>
      <c r="G153" s="8">
        <v>9</v>
      </c>
      <c r="H153" s="9">
        <v>55000</v>
      </c>
      <c r="I153" s="9">
        <v>467066</v>
      </c>
      <c r="J153" s="17">
        <v>102755</v>
      </c>
    </row>
    <row r="154" spans="1:10" x14ac:dyDescent="0.3">
      <c r="A154" s="14" t="s">
        <v>15</v>
      </c>
      <c r="B154" s="4" t="s">
        <v>31</v>
      </c>
      <c r="C154" s="4" t="s">
        <v>12</v>
      </c>
      <c r="D154" s="4" t="s">
        <v>24</v>
      </c>
      <c r="E154" s="13">
        <f t="shared" ca="1" si="2"/>
        <v>45883</v>
      </c>
      <c r="F154" s="4" t="s">
        <v>33</v>
      </c>
      <c r="G154" s="5">
        <v>5</v>
      </c>
      <c r="H154" s="6">
        <v>45000</v>
      </c>
      <c r="I154" s="6">
        <v>241456</v>
      </c>
      <c r="J154" s="16">
        <v>43462</v>
      </c>
    </row>
    <row r="155" spans="1:10" x14ac:dyDescent="0.3">
      <c r="A155" s="15" t="s">
        <v>18</v>
      </c>
      <c r="B155" s="7" t="s">
        <v>11</v>
      </c>
      <c r="C155" s="7" t="s">
        <v>12</v>
      </c>
      <c r="D155" s="7" t="s">
        <v>148</v>
      </c>
      <c r="E155" s="13">
        <f t="shared" ca="1" si="2"/>
        <v>45899</v>
      </c>
      <c r="F155" s="7" t="s">
        <v>36</v>
      </c>
      <c r="G155" s="8">
        <v>8</v>
      </c>
      <c r="H155" s="9">
        <v>55000</v>
      </c>
      <c r="I155" s="9">
        <v>443125</v>
      </c>
      <c r="J155" s="17">
        <v>97488</v>
      </c>
    </row>
    <row r="156" spans="1:10" x14ac:dyDescent="0.3">
      <c r="A156" s="14" t="s">
        <v>15</v>
      </c>
      <c r="B156" s="4" t="s">
        <v>31</v>
      </c>
      <c r="C156" s="4" t="s">
        <v>12</v>
      </c>
      <c r="D156" s="4" t="s">
        <v>149</v>
      </c>
      <c r="E156" s="13">
        <f t="shared" ca="1" si="2"/>
        <v>45989</v>
      </c>
      <c r="F156" s="4" t="s">
        <v>14</v>
      </c>
      <c r="G156" s="5">
        <v>7</v>
      </c>
      <c r="H156" s="6">
        <v>18500</v>
      </c>
      <c r="I156" s="6">
        <v>129321</v>
      </c>
      <c r="J156" s="16">
        <v>15519</v>
      </c>
    </row>
    <row r="157" spans="1:10" x14ac:dyDescent="0.3">
      <c r="A157" s="15" t="s">
        <v>15</v>
      </c>
      <c r="B157" s="7" t="s">
        <v>88</v>
      </c>
      <c r="C157" s="7" t="s">
        <v>12</v>
      </c>
      <c r="D157" s="7" t="s">
        <v>45</v>
      </c>
      <c r="E157" s="13">
        <f t="shared" ca="1" si="2"/>
        <v>46020</v>
      </c>
      <c r="F157" s="7" t="s">
        <v>40</v>
      </c>
      <c r="G157" s="8">
        <v>7</v>
      </c>
      <c r="H157" s="9">
        <v>15000</v>
      </c>
      <c r="I157" s="9">
        <v>110652</v>
      </c>
      <c r="J157" s="17">
        <v>11065</v>
      </c>
    </row>
    <row r="158" spans="1:10" x14ac:dyDescent="0.3">
      <c r="A158" s="14" t="s">
        <v>15</v>
      </c>
      <c r="B158" s="4" t="s">
        <v>77</v>
      </c>
      <c r="C158" s="4" t="s">
        <v>12</v>
      </c>
      <c r="D158" s="4" t="s">
        <v>74</v>
      </c>
      <c r="E158" s="13">
        <f t="shared" ca="1" si="2"/>
        <v>45822</v>
      </c>
      <c r="F158" s="4" t="s">
        <v>14</v>
      </c>
      <c r="G158" s="5">
        <v>10</v>
      </c>
      <c r="H158" s="6">
        <v>18500</v>
      </c>
      <c r="I158" s="6">
        <v>172466</v>
      </c>
      <c r="J158" s="16">
        <v>20696</v>
      </c>
    </row>
    <row r="159" spans="1:10" x14ac:dyDescent="0.3">
      <c r="A159" s="15" t="s">
        <v>37</v>
      </c>
      <c r="B159" s="7" t="s">
        <v>29</v>
      </c>
      <c r="C159" s="7" t="s">
        <v>26</v>
      </c>
      <c r="D159" s="7" t="s">
        <v>150</v>
      </c>
      <c r="E159" s="13">
        <f t="shared" ca="1" si="2"/>
        <v>45969</v>
      </c>
      <c r="F159" s="7" t="s">
        <v>36</v>
      </c>
      <c r="G159" s="8">
        <v>5</v>
      </c>
      <c r="H159" s="9">
        <v>55000</v>
      </c>
      <c r="I159" s="9">
        <v>280181</v>
      </c>
      <c r="J159" s="17">
        <v>61640</v>
      </c>
    </row>
    <row r="160" spans="1:10" x14ac:dyDescent="0.3">
      <c r="A160" s="14" t="s">
        <v>15</v>
      </c>
      <c r="B160" s="4" t="s">
        <v>56</v>
      </c>
      <c r="C160" s="4" t="s">
        <v>23</v>
      </c>
      <c r="D160" s="4" t="s">
        <v>151</v>
      </c>
      <c r="E160" s="13">
        <f t="shared" ca="1" si="2"/>
        <v>45997</v>
      </c>
      <c r="F160" s="4" t="s">
        <v>36</v>
      </c>
      <c r="G160" s="5">
        <v>1</v>
      </c>
      <c r="H160" s="6">
        <v>55000</v>
      </c>
      <c r="I160" s="6">
        <v>60453</v>
      </c>
      <c r="J160" s="16">
        <v>13300</v>
      </c>
    </row>
    <row r="161" spans="1:10" x14ac:dyDescent="0.3">
      <c r="A161" s="15" t="s">
        <v>37</v>
      </c>
      <c r="B161" s="7" t="s">
        <v>16</v>
      </c>
      <c r="C161" s="7" t="s">
        <v>12</v>
      </c>
      <c r="D161" s="7" t="s">
        <v>152</v>
      </c>
      <c r="E161" s="13">
        <f t="shared" ca="1" si="2"/>
        <v>45848</v>
      </c>
      <c r="F161" s="7" t="s">
        <v>33</v>
      </c>
      <c r="G161" s="8">
        <v>8</v>
      </c>
      <c r="H161" s="9">
        <v>45000</v>
      </c>
      <c r="I161" s="9">
        <v>337069</v>
      </c>
      <c r="J161" s="17">
        <v>60672</v>
      </c>
    </row>
    <row r="162" spans="1:10" x14ac:dyDescent="0.3">
      <c r="A162" s="14" t="s">
        <v>41</v>
      </c>
      <c r="B162" s="4" t="s">
        <v>46</v>
      </c>
      <c r="C162" s="4" t="s">
        <v>26</v>
      </c>
      <c r="D162" s="4" t="s">
        <v>103</v>
      </c>
      <c r="E162" s="13">
        <f t="shared" ca="1" si="2"/>
        <v>45751</v>
      </c>
      <c r="F162" s="4" t="s">
        <v>33</v>
      </c>
      <c r="G162" s="5">
        <v>9</v>
      </c>
      <c r="H162" s="6">
        <v>45000</v>
      </c>
      <c r="I162" s="6">
        <v>399093</v>
      </c>
      <c r="J162" s="16">
        <v>71837</v>
      </c>
    </row>
    <row r="163" spans="1:10" x14ac:dyDescent="0.3">
      <c r="A163" s="15" t="s">
        <v>18</v>
      </c>
      <c r="B163" s="7" t="s">
        <v>19</v>
      </c>
      <c r="C163" s="7" t="s">
        <v>12</v>
      </c>
      <c r="D163" s="7" t="s">
        <v>153</v>
      </c>
      <c r="E163" s="13">
        <f t="shared" ca="1" si="2"/>
        <v>45704</v>
      </c>
      <c r="F163" s="7" t="s">
        <v>36</v>
      </c>
      <c r="G163" s="8">
        <v>4</v>
      </c>
      <c r="H163" s="9">
        <v>55000</v>
      </c>
      <c r="I163" s="9">
        <v>235371</v>
      </c>
      <c r="J163" s="17">
        <v>51782</v>
      </c>
    </row>
    <row r="164" spans="1:10" x14ac:dyDescent="0.3">
      <c r="A164" s="14" t="s">
        <v>18</v>
      </c>
      <c r="B164" s="4" t="s">
        <v>51</v>
      </c>
      <c r="C164" s="4" t="s">
        <v>12</v>
      </c>
      <c r="D164" s="4" t="s">
        <v>116</v>
      </c>
      <c r="E164" s="13">
        <f t="shared" ca="1" si="2"/>
        <v>45950</v>
      </c>
      <c r="F164" s="4" t="s">
        <v>33</v>
      </c>
      <c r="G164" s="5">
        <v>1</v>
      </c>
      <c r="H164" s="6">
        <v>45000</v>
      </c>
      <c r="I164" s="6">
        <v>44520</v>
      </c>
      <c r="J164" s="16">
        <v>8014</v>
      </c>
    </row>
    <row r="165" spans="1:10" x14ac:dyDescent="0.3">
      <c r="A165" s="15" t="s">
        <v>37</v>
      </c>
      <c r="B165" s="7" t="s">
        <v>46</v>
      </c>
      <c r="C165" s="7" t="s">
        <v>26</v>
      </c>
      <c r="D165" s="7" t="s">
        <v>92</v>
      </c>
      <c r="E165" s="13">
        <f t="shared" ca="1" si="2"/>
        <v>45949</v>
      </c>
      <c r="F165" s="7" t="s">
        <v>14</v>
      </c>
      <c r="G165" s="8">
        <v>7</v>
      </c>
      <c r="H165" s="9">
        <v>18500</v>
      </c>
      <c r="I165" s="9">
        <v>132274</v>
      </c>
      <c r="J165" s="17">
        <v>15873</v>
      </c>
    </row>
    <row r="166" spans="1:10" x14ac:dyDescent="0.3">
      <c r="A166" s="14" t="s">
        <v>37</v>
      </c>
      <c r="B166" s="4" t="s">
        <v>31</v>
      </c>
      <c r="C166" s="4" t="s">
        <v>12</v>
      </c>
      <c r="D166" s="4" t="s">
        <v>99</v>
      </c>
      <c r="E166" s="13">
        <f t="shared" ca="1" si="2"/>
        <v>45722</v>
      </c>
      <c r="F166" s="4" t="s">
        <v>14</v>
      </c>
      <c r="G166" s="5">
        <v>6</v>
      </c>
      <c r="H166" s="6">
        <v>18500</v>
      </c>
      <c r="I166" s="6">
        <v>109475</v>
      </c>
      <c r="J166" s="16">
        <v>13137</v>
      </c>
    </row>
    <row r="167" spans="1:10" x14ac:dyDescent="0.3">
      <c r="A167" s="15" t="s">
        <v>15</v>
      </c>
      <c r="B167" s="7" t="s">
        <v>81</v>
      </c>
      <c r="C167" s="7" t="s">
        <v>26</v>
      </c>
      <c r="D167" s="7" t="s">
        <v>82</v>
      </c>
      <c r="E167" s="13">
        <f t="shared" ca="1" si="2"/>
        <v>45794</v>
      </c>
      <c r="F167" s="7" t="s">
        <v>40</v>
      </c>
      <c r="G167" s="8">
        <v>5</v>
      </c>
      <c r="H167" s="9">
        <v>15000</v>
      </c>
      <c r="I167" s="9">
        <v>77913</v>
      </c>
      <c r="J167" s="17">
        <v>7791</v>
      </c>
    </row>
    <row r="168" spans="1:10" x14ac:dyDescent="0.3">
      <c r="A168" s="14" t="s">
        <v>15</v>
      </c>
      <c r="B168" s="4" t="s">
        <v>38</v>
      </c>
      <c r="C168" s="4" t="s">
        <v>23</v>
      </c>
      <c r="D168" s="4" t="s">
        <v>133</v>
      </c>
      <c r="E168" s="13">
        <f t="shared" ca="1" si="2"/>
        <v>45888</v>
      </c>
      <c r="F168" s="4" t="s">
        <v>14</v>
      </c>
      <c r="G168" s="5">
        <v>7</v>
      </c>
      <c r="H168" s="6">
        <v>18500</v>
      </c>
      <c r="I168" s="6">
        <v>137603</v>
      </c>
      <c r="J168" s="16">
        <v>16512</v>
      </c>
    </row>
    <row r="169" spans="1:10" x14ac:dyDescent="0.3">
      <c r="A169" s="15" t="s">
        <v>18</v>
      </c>
      <c r="B169" s="7" t="s">
        <v>51</v>
      </c>
      <c r="C169" s="7" t="s">
        <v>12</v>
      </c>
      <c r="D169" s="7" t="s">
        <v>154</v>
      </c>
      <c r="E169" s="13">
        <f t="shared" ca="1" si="2"/>
        <v>45808</v>
      </c>
      <c r="F169" s="7" t="s">
        <v>21</v>
      </c>
      <c r="G169" s="8">
        <v>7</v>
      </c>
      <c r="H169" s="9">
        <v>12500</v>
      </c>
      <c r="I169" s="9">
        <v>78966</v>
      </c>
      <c r="J169" s="17">
        <v>6317</v>
      </c>
    </row>
    <row r="170" spans="1:10" x14ac:dyDescent="0.3">
      <c r="A170" s="14" t="s">
        <v>10</v>
      </c>
      <c r="B170" s="4" t="s">
        <v>22</v>
      </c>
      <c r="C170" s="4" t="s">
        <v>23</v>
      </c>
      <c r="D170" s="4" t="s">
        <v>50</v>
      </c>
      <c r="E170" s="13">
        <f t="shared" ca="1" si="2"/>
        <v>45931</v>
      </c>
      <c r="F170" s="4" t="s">
        <v>40</v>
      </c>
      <c r="G170" s="5">
        <v>7</v>
      </c>
      <c r="H170" s="6">
        <v>15000</v>
      </c>
      <c r="I170" s="6">
        <v>114355</v>
      </c>
      <c r="J170" s="16">
        <v>11436</v>
      </c>
    </row>
    <row r="171" spans="1:10" x14ac:dyDescent="0.3">
      <c r="A171" s="15" t="s">
        <v>15</v>
      </c>
      <c r="B171" s="7" t="s">
        <v>16</v>
      </c>
      <c r="C171" s="7" t="s">
        <v>12</v>
      </c>
      <c r="D171" s="7" t="s">
        <v>96</v>
      </c>
      <c r="E171" s="13">
        <f t="shared" ca="1" si="2"/>
        <v>45969</v>
      </c>
      <c r="F171" s="7" t="s">
        <v>36</v>
      </c>
      <c r="G171" s="8">
        <v>1</v>
      </c>
      <c r="H171" s="9">
        <v>55000</v>
      </c>
      <c r="I171" s="9">
        <v>52450</v>
      </c>
      <c r="J171" s="17">
        <v>11539</v>
      </c>
    </row>
    <row r="172" spans="1:10" x14ac:dyDescent="0.3">
      <c r="A172" s="14" t="s">
        <v>10</v>
      </c>
      <c r="B172" s="4" t="s">
        <v>81</v>
      </c>
      <c r="C172" s="4" t="s">
        <v>26</v>
      </c>
      <c r="D172" s="4" t="s">
        <v>155</v>
      </c>
      <c r="E172" s="13">
        <f t="shared" ca="1" si="2"/>
        <v>45747</v>
      </c>
      <c r="F172" s="4" t="s">
        <v>21</v>
      </c>
      <c r="G172" s="5">
        <v>3</v>
      </c>
      <c r="H172" s="6">
        <v>12500</v>
      </c>
      <c r="I172" s="6">
        <v>35922</v>
      </c>
      <c r="J172" s="16">
        <v>2874</v>
      </c>
    </row>
    <row r="173" spans="1:10" x14ac:dyDescent="0.3">
      <c r="A173" s="15" t="s">
        <v>15</v>
      </c>
      <c r="B173" s="7" t="s">
        <v>46</v>
      </c>
      <c r="C173" s="7" t="s">
        <v>26</v>
      </c>
      <c r="D173" s="7" t="s">
        <v>139</v>
      </c>
      <c r="E173" s="13">
        <f t="shared" ca="1" si="2"/>
        <v>45671</v>
      </c>
      <c r="F173" s="7" t="s">
        <v>36</v>
      </c>
      <c r="G173" s="8">
        <v>6</v>
      </c>
      <c r="H173" s="9">
        <v>55000</v>
      </c>
      <c r="I173" s="9">
        <v>305862</v>
      </c>
      <c r="J173" s="17">
        <v>67290</v>
      </c>
    </row>
    <row r="174" spans="1:10" x14ac:dyDescent="0.3">
      <c r="A174" s="14" t="s">
        <v>41</v>
      </c>
      <c r="B174" s="4" t="s">
        <v>19</v>
      </c>
      <c r="C174" s="4" t="s">
        <v>12</v>
      </c>
      <c r="D174" s="4" t="s">
        <v>140</v>
      </c>
      <c r="E174" s="13">
        <f t="shared" ca="1" si="2"/>
        <v>46009</v>
      </c>
      <c r="F174" s="4" t="s">
        <v>36</v>
      </c>
      <c r="G174" s="5">
        <v>2</v>
      </c>
      <c r="H174" s="6">
        <v>55000</v>
      </c>
      <c r="I174" s="6">
        <v>114676</v>
      </c>
      <c r="J174" s="16">
        <v>25229</v>
      </c>
    </row>
    <row r="175" spans="1:10" x14ac:dyDescent="0.3">
      <c r="A175" s="15" t="s">
        <v>18</v>
      </c>
      <c r="B175" s="7" t="s">
        <v>16</v>
      </c>
      <c r="C175" s="7" t="s">
        <v>12</v>
      </c>
      <c r="D175" s="7" t="s">
        <v>156</v>
      </c>
      <c r="E175" s="13">
        <f t="shared" ca="1" si="2"/>
        <v>45707</v>
      </c>
      <c r="F175" s="7" t="s">
        <v>21</v>
      </c>
      <c r="G175" s="8">
        <v>1</v>
      </c>
      <c r="H175" s="9">
        <v>12500</v>
      </c>
      <c r="I175" s="9">
        <v>13535</v>
      </c>
      <c r="J175" s="17">
        <v>1083</v>
      </c>
    </row>
    <row r="176" spans="1:10" x14ac:dyDescent="0.3">
      <c r="A176" s="14" t="s">
        <v>37</v>
      </c>
      <c r="B176" s="4" t="s">
        <v>31</v>
      </c>
      <c r="C176" s="4" t="s">
        <v>12</v>
      </c>
      <c r="D176" s="4" t="s">
        <v>153</v>
      </c>
      <c r="E176" s="13">
        <f t="shared" ca="1" si="2"/>
        <v>45863</v>
      </c>
      <c r="F176" s="4" t="s">
        <v>21</v>
      </c>
      <c r="G176" s="5">
        <v>4</v>
      </c>
      <c r="H176" s="6">
        <v>12500</v>
      </c>
      <c r="I176" s="6">
        <v>49707</v>
      </c>
      <c r="J176" s="16">
        <v>3977</v>
      </c>
    </row>
    <row r="177" spans="1:10" x14ac:dyDescent="0.3">
      <c r="A177" s="15" t="s">
        <v>41</v>
      </c>
      <c r="B177" s="7" t="s">
        <v>22</v>
      </c>
      <c r="C177" s="7" t="s">
        <v>23</v>
      </c>
      <c r="D177" s="7" t="s">
        <v>149</v>
      </c>
      <c r="E177" s="13">
        <f t="shared" ca="1" si="2"/>
        <v>45994</v>
      </c>
      <c r="F177" s="7" t="s">
        <v>33</v>
      </c>
      <c r="G177" s="8">
        <v>2</v>
      </c>
      <c r="H177" s="9">
        <v>45000</v>
      </c>
      <c r="I177" s="9">
        <v>82375</v>
      </c>
      <c r="J177" s="17">
        <v>14828</v>
      </c>
    </row>
    <row r="178" spans="1:10" x14ac:dyDescent="0.3">
      <c r="A178" s="14" t="s">
        <v>10</v>
      </c>
      <c r="B178" s="4" t="s">
        <v>11</v>
      </c>
      <c r="C178" s="4" t="s">
        <v>12</v>
      </c>
      <c r="D178" s="4" t="s">
        <v>157</v>
      </c>
      <c r="E178" s="13">
        <f t="shared" ca="1" si="2"/>
        <v>45666</v>
      </c>
      <c r="F178" s="4" t="s">
        <v>21</v>
      </c>
      <c r="G178" s="5">
        <v>10</v>
      </c>
      <c r="H178" s="6">
        <v>12500</v>
      </c>
      <c r="I178" s="6">
        <v>113182</v>
      </c>
      <c r="J178" s="16">
        <v>9055</v>
      </c>
    </row>
    <row r="179" spans="1:10" x14ac:dyDescent="0.3">
      <c r="A179" s="15" t="s">
        <v>10</v>
      </c>
      <c r="B179" s="7" t="s">
        <v>84</v>
      </c>
      <c r="C179" s="7" t="s">
        <v>12</v>
      </c>
      <c r="D179" s="7" t="s">
        <v>158</v>
      </c>
      <c r="E179" s="13">
        <f t="shared" ca="1" si="2"/>
        <v>45884</v>
      </c>
      <c r="F179" s="7" t="s">
        <v>14</v>
      </c>
      <c r="G179" s="8">
        <v>10</v>
      </c>
      <c r="H179" s="9">
        <v>18500</v>
      </c>
      <c r="I179" s="9">
        <v>190109</v>
      </c>
      <c r="J179" s="17">
        <v>22813</v>
      </c>
    </row>
    <row r="180" spans="1:10" x14ac:dyDescent="0.3">
      <c r="A180" s="14" t="s">
        <v>10</v>
      </c>
      <c r="B180" s="4" t="s">
        <v>31</v>
      </c>
      <c r="C180" s="4" t="s">
        <v>12</v>
      </c>
      <c r="D180" s="4" t="s">
        <v>78</v>
      </c>
      <c r="E180" s="13">
        <f t="shared" ca="1" si="2"/>
        <v>45717</v>
      </c>
      <c r="F180" s="4" t="s">
        <v>21</v>
      </c>
      <c r="G180" s="5">
        <v>1</v>
      </c>
      <c r="H180" s="6">
        <v>12500</v>
      </c>
      <c r="I180" s="6">
        <v>11701</v>
      </c>
      <c r="J180" s="16">
        <v>936</v>
      </c>
    </row>
    <row r="181" spans="1:10" x14ac:dyDescent="0.3">
      <c r="A181" s="15" t="s">
        <v>15</v>
      </c>
      <c r="B181" s="7" t="s">
        <v>16</v>
      </c>
      <c r="C181" s="7" t="s">
        <v>12</v>
      </c>
      <c r="D181" s="7" t="s">
        <v>159</v>
      </c>
      <c r="E181" s="13">
        <f t="shared" ca="1" si="2"/>
        <v>45687</v>
      </c>
      <c r="F181" s="7" t="s">
        <v>36</v>
      </c>
      <c r="G181" s="8">
        <v>5</v>
      </c>
      <c r="H181" s="9">
        <v>55000</v>
      </c>
      <c r="I181" s="9">
        <v>253217</v>
      </c>
      <c r="J181" s="17">
        <v>55708</v>
      </c>
    </row>
    <row r="182" spans="1:10" x14ac:dyDescent="0.3">
      <c r="A182" s="14" t="s">
        <v>15</v>
      </c>
      <c r="B182" s="4" t="s">
        <v>16</v>
      </c>
      <c r="C182" s="4" t="s">
        <v>12</v>
      </c>
      <c r="D182" s="4" t="s">
        <v>101</v>
      </c>
      <c r="E182" s="13">
        <f t="shared" ca="1" si="2"/>
        <v>45888</v>
      </c>
      <c r="F182" s="4" t="s">
        <v>33</v>
      </c>
      <c r="G182" s="5">
        <v>10</v>
      </c>
      <c r="H182" s="6">
        <v>45000</v>
      </c>
      <c r="I182" s="6">
        <v>471167</v>
      </c>
      <c r="J182" s="16">
        <v>84810</v>
      </c>
    </row>
    <row r="183" spans="1:10" x14ac:dyDescent="0.3">
      <c r="A183" s="15" t="s">
        <v>41</v>
      </c>
      <c r="B183" s="7" t="s">
        <v>11</v>
      </c>
      <c r="C183" s="7" t="s">
        <v>12</v>
      </c>
      <c r="D183" s="7" t="s">
        <v>160</v>
      </c>
      <c r="E183" s="13">
        <f t="shared" ca="1" si="2"/>
        <v>45839</v>
      </c>
      <c r="F183" s="7" t="s">
        <v>14</v>
      </c>
      <c r="G183" s="8">
        <v>3</v>
      </c>
      <c r="H183" s="9">
        <v>18500</v>
      </c>
      <c r="I183" s="9">
        <v>55628</v>
      </c>
      <c r="J183" s="17">
        <v>6675</v>
      </c>
    </row>
    <row r="184" spans="1:10" x14ac:dyDescent="0.3">
      <c r="A184" s="14" t="s">
        <v>18</v>
      </c>
      <c r="B184" s="4" t="s">
        <v>25</v>
      </c>
      <c r="C184" s="4" t="s">
        <v>26</v>
      </c>
      <c r="D184" s="4" t="s">
        <v>113</v>
      </c>
      <c r="E184" s="13">
        <f t="shared" ca="1" si="2"/>
        <v>46020</v>
      </c>
      <c r="F184" s="4" t="s">
        <v>36</v>
      </c>
      <c r="G184" s="5">
        <v>3</v>
      </c>
      <c r="H184" s="6">
        <v>55000</v>
      </c>
      <c r="I184" s="6">
        <v>177645</v>
      </c>
      <c r="J184" s="16">
        <v>39082</v>
      </c>
    </row>
    <row r="185" spans="1:10" x14ac:dyDescent="0.3">
      <c r="A185" s="15" t="s">
        <v>15</v>
      </c>
      <c r="B185" s="7" t="s">
        <v>84</v>
      </c>
      <c r="C185" s="7" t="s">
        <v>12</v>
      </c>
      <c r="D185" s="7" t="s">
        <v>108</v>
      </c>
      <c r="E185" s="13">
        <f t="shared" ca="1" si="2"/>
        <v>45707</v>
      </c>
      <c r="F185" s="7" t="s">
        <v>21</v>
      </c>
      <c r="G185" s="8">
        <v>3</v>
      </c>
      <c r="H185" s="9">
        <v>12500</v>
      </c>
      <c r="I185" s="9">
        <v>38602</v>
      </c>
      <c r="J185" s="17">
        <v>3088</v>
      </c>
    </row>
    <row r="186" spans="1:10" x14ac:dyDescent="0.3">
      <c r="A186" s="14" t="s">
        <v>10</v>
      </c>
      <c r="B186" s="4" t="s">
        <v>88</v>
      </c>
      <c r="C186" s="4" t="s">
        <v>12</v>
      </c>
      <c r="D186" s="4" t="s">
        <v>161</v>
      </c>
      <c r="E186" s="13">
        <f t="shared" ca="1" si="2"/>
        <v>46011</v>
      </c>
      <c r="F186" s="4" t="s">
        <v>14</v>
      </c>
      <c r="G186" s="5">
        <v>7</v>
      </c>
      <c r="H186" s="6">
        <v>18500</v>
      </c>
      <c r="I186" s="6">
        <v>125362</v>
      </c>
      <c r="J186" s="16">
        <v>15043</v>
      </c>
    </row>
    <row r="187" spans="1:10" x14ac:dyDescent="0.3">
      <c r="A187" s="15" t="s">
        <v>37</v>
      </c>
      <c r="B187" s="7" t="s">
        <v>11</v>
      </c>
      <c r="C187" s="7" t="s">
        <v>12</v>
      </c>
      <c r="D187" s="7" t="s">
        <v>13</v>
      </c>
      <c r="E187" s="13">
        <f t="shared" ca="1" si="2"/>
        <v>45911</v>
      </c>
      <c r="F187" s="7" t="s">
        <v>36</v>
      </c>
      <c r="G187" s="8">
        <v>9</v>
      </c>
      <c r="H187" s="9">
        <v>55000</v>
      </c>
      <c r="I187" s="9">
        <v>491062</v>
      </c>
      <c r="J187" s="17">
        <v>108034</v>
      </c>
    </row>
    <row r="188" spans="1:10" x14ac:dyDescent="0.3">
      <c r="A188" s="14" t="s">
        <v>18</v>
      </c>
      <c r="B188" s="4" t="s">
        <v>88</v>
      </c>
      <c r="C188" s="4" t="s">
        <v>12</v>
      </c>
      <c r="D188" s="4" t="s">
        <v>55</v>
      </c>
      <c r="E188" s="13">
        <f t="shared" ca="1" si="2"/>
        <v>46006</v>
      </c>
      <c r="F188" s="4" t="s">
        <v>36</v>
      </c>
      <c r="G188" s="5">
        <v>7</v>
      </c>
      <c r="H188" s="6">
        <v>55000</v>
      </c>
      <c r="I188" s="6">
        <v>360028</v>
      </c>
      <c r="J188" s="16">
        <v>79206</v>
      </c>
    </row>
    <row r="189" spans="1:10" x14ac:dyDescent="0.3">
      <c r="A189" s="15" t="s">
        <v>18</v>
      </c>
      <c r="B189" s="7" t="s">
        <v>22</v>
      </c>
      <c r="C189" s="7" t="s">
        <v>23</v>
      </c>
      <c r="D189" s="7" t="s">
        <v>162</v>
      </c>
      <c r="E189" s="13">
        <f t="shared" ca="1" si="2"/>
        <v>45717</v>
      </c>
      <c r="F189" s="7" t="s">
        <v>40</v>
      </c>
      <c r="G189" s="8">
        <v>6</v>
      </c>
      <c r="H189" s="9">
        <v>15000</v>
      </c>
      <c r="I189" s="9">
        <v>84394</v>
      </c>
      <c r="J189" s="17">
        <v>8439</v>
      </c>
    </row>
    <row r="190" spans="1:10" x14ac:dyDescent="0.3">
      <c r="A190" s="14" t="s">
        <v>18</v>
      </c>
      <c r="B190" s="4" t="s">
        <v>25</v>
      </c>
      <c r="C190" s="4" t="s">
        <v>26</v>
      </c>
      <c r="D190" s="4" t="s">
        <v>163</v>
      </c>
      <c r="E190" s="13">
        <f t="shared" ca="1" si="2"/>
        <v>45712</v>
      </c>
      <c r="F190" s="4" t="s">
        <v>14</v>
      </c>
      <c r="G190" s="5">
        <v>3</v>
      </c>
      <c r="H190" s="6">
        <v>18500</v>
      </c>
      <c r="I190" s="6">
        <v>56236</v>
      </c>
      <c r="J190" s="16">
        <v>6748</v>
      </c>
    </row>
    <row r="191" spans="1:10" x14ac:dyDescent="0.3">
      <c r="A191" s="15" t="s">
        <v>37</v>
      </c>
      <c r="B191" s="7" t="s">
        <v>16</v>
      </c>
      <c r="C191" s="7" t="s">
        <v>12</v>
      </c>
      <c r="D191" s="7" t="s">
        <v>65</v>
      </c>
      <c r="E191" s="13">
        <f t="shared" ca="1" si="2"/>
        <v>45812</v>
      </c>
      <c r="F191" s="7" t="s">
        <v>21</v>
      </c>
      <c r="G191" s="8">
        <v>7</v>
      </c>
      <c r="H191" s="9">
        <v>12500</v>
      </c>
      <c r="I191" s="9">
        <v>82872</v>
      </c>
      <c r="J191" s="17">
        <v>6630</v>
      </c>
    </row>
    <row r="192" spans="1:10" x14ac:dyDescent="0.3">
      <c r="A192" s="14" t="s">
        <v>10</v>
      </c>
      <c r="B192" s="4" t="s">
        <v>46</v>
      </c>
      <c r="C192" s="4" t="s">
        <v>26</v>
      </c>
      <c r="D192" s="4" t="s">
        <v>133</v>
      </c>
      <c r="E192" s="13">
        <f t="shared" ca="1" si="2"/>
        <v>45707</v>
      </c>
      <c r="F192" s="4" t="s">
        <v>36</v>
      </c>
      <c r="G192" s="5">
        <v>9</v>
      </c>
      <c r="H192" s="6">
        <v>55000</v>
      </c>
      <c r="I192" s="6">
        <v>519717</v>
      </c>
      <c r="J192" s="16">
        <v>114338</v>
      </c>
    </row>
    <row r="193" spans="1:10" x14ac:dyDescent="0.3">
      <c r="A193" s="15" t="s">
        <v>18</v>
      </c>
      <c r="B193" s="7" t="s">
        <v>46</v>
      </c>
      <c r="C193" s="7" t="s">
        <v>26</v>
      </c>
      <c r="D193" s="7" t="s">
        <v>101</v>
      </c>
      <c r="E193" s="13">
        <f t="shared" ca="1" si="2"/>
        <v>45818</v>
      </c>
      <c r="F193" s="7" t="s">
        <v>21</v>
      </c>
      <c r="G193" s="8">
        <v>5</v>
      </c>
      <c r="H193" s="9">
        <v>12500</v>
      </c>
      <c r="I193" s="9">
        <v>66088</v>
      </c>
      <c r="J193" s="17">
        <v>5287</v>
      </c>
    </row>
    <row r="194" spans="1:10" x14ac:dyDescent="0.3">
      <c r="A194" s="14" t="s">
        <v>15</v>
      </c>
      <c r="B194" s="4" t="s">
        <v>11</v>
      </c>
      <c r="C194" s="4" t="s">
        <v>12</v>
      </c>
      <c r="D194" s="4" t="s">
        <v>142</v>
      </c>
      <c r="E194" s="13">
        <f t="shared" ca="1" si="2"/>
        <v>45701</v>
      </c>
      <c r="F194" s="4" t="s">
        <v>14</v>
      </c>
      <c r="G194" s="5">
        <v>4</v>
      </c>
      <c r="H194" s="6">
        <v>18500</v>
      </c>
      <c r="I194" s="6">
        <v>73076</v>
      </c>
      <c r="J194" s="16">
        <v>8769</v>
      </c>
    </row>
    <row r="195" spans="1:10" x14ac:dyDescent="0.3">
      <c r="A195" s="15" t="s">
        <v>15</v>
      </c>
      <c r="B195" s="7" t="s">
        <v>77</v>
      </c>
      <c r="C195" s="7" t="s">
        <v>12</v>
      </c>
      <c r="D195" s="7" t="s">
        <v>128</v>
      </c>
      <c r="E195" s="13">
        <f t="shared" ref="E195:E258" ca="1" si="3">DATE(2025,1,1)+RANDBETWEEN(0,364)</f>
        <v>45816</v>
      </c>
      <c r="F195" s="7" t="s">
        <v>33</v>
      </c>
      <c r="G195" s="8">
        <v>3</v>
      </c>
      <c r="H195" s="9">
        <v>45000</v>
      </c>
      <c r="I195" s="9">
        <v>129127</v>
      </c>
      <c r="J195" s="17">
        <v>23243</v>
      </c>
    </row>
    <row r="196" spans="1:10" x14ac:dyDescent="0.3">
      <c r="A196" s="14" t="s">
        <v>41</v>
      </c>
      <c r="B196" s="4" t="s">
        <v>81</v>
      </c>
      <c r="C196" s="4" t="s">
        <v>26</v>
      </c>
      <c r="D196" s="4" t="s">
        <v>131</v>
      </c>
      <c r="E196" s="13">
        <f t="shared" ca="1" si="3"/>
        <v>45895</v>
      </c>
      <c r="F196" s="4" t="s">
        <v>21</v>
      </c>
      <c r="G196" s="5">
        <v>8</v>
      </c>
      <c r="H196" s="6">
        <v>12500</v>
      </c>
      <c r="I196" s="6">
        <v>99945</v>
      </c>
      <c r="J196" s="16">
        <v>7996</v>
      </c>
    </row>
    <row r="197" spans="1:10" x14ac:dyDescent="0.3">
      <c r="A197" s="15" t="s">
        <v>37</v>
      </c>
      <c r="B197" s="7" t="s">
        <v>51</v>
      </c>
      <c r="C197" s="7" t="s">
        <v>12</v>
      </c>
      <c r="D197" s="7" t="s">
        <v>116</v>
      </c>
      <c r="E197" s="13">
        <f t="shared" ca="1" si="3"/>
        <v>45973</v>
      </c>
      <c r="F197" s="7" t="s">
        <v>36</v>
      </c>
      <c r="G197" s="8">
        <v>9</v>
      </c>
      <c r="H197" s="9">
        <v>55000</v>
      </c>
      <c r="I197" s="9">
        <v>512653</v>
      </c>
      <c r="J197" s="17">
        <v>112784</v>
      </c>
    </row>
    <row r="198" spans="1:10" x14ac:dyDescent="0.3">
      <c r="A198" s="14" t="s">
        <v>15</v>
      </c>
      <c r="B198" s="4" t="s">
        <v>16</v>
      </c>
      <c r="C198" s="4" t="s">
        <v>12</v>
      </c>
      <c r="D198" s="4" t="s">
        <v>156</v>
      </c>
      <c r="E198" s="13">
        <f t="shared" ca="1" si="3"/>
        <v>46003</v>
      </c>
      <c r="F198" s="4" t="s">
        <v>21</v>
      </c>
      <c r="G198" s="5">
        <v>8</v>
      </c>
      <c r="H198" s="6">
        <v>12500</v>
      </c>
      <c r="I198" s="6">
        <v>94958</v>
      </c>
      <c r="J198" s="16">
        <v>7597</v>
      </c>
    </row>
    <row r="199" spans="1:10" x14ac:dyDescent="0.3">
      <c r="A199" s="15" t="s">
        <v>10</v>
      </c>
      <c r="B199" s="7" t="s">
        <v>11</v>
      </c>
      <c r="C199" s="7" t="s">
        <v>12</v>
      </c>
      <c r="D199" s="7" t="s">
        <v>82</v>
      </c>
      <c r="E199" s="13">
        <f t="shared" ca="1" si="3"/>
        <v>45760</v>
      </c>
      <c r="F199" s="7" t="s">
        <v>33</v>
      </c>
      <c r="G199" s="8">
        <v>7</v>
      </c>
      <c r="H199" s="9">
        <v>45000</v>
      </c>
      <c r="I199" s="9">
        <v>342157</v>
      </c>
      <c r="J199" s="17">
        <v>61588</v>
      </c>
    </row>
    <row r="200" spans="1:10" x14ac:dyDescent="0.3">
      <c r="A200" s="14" t="s">
        <v>37</v>
      </c>
      <c r="B200" s="4" t="s">
        <v>56</v>
      </c>
      <c r="C200" s="4" t="s">
        <v>23</v>
      </c>
      <c r="D200" s="4" t="s">
        <v>164</v>
      </c>
      <c r="E200" s="13">
        <f t="shared" ca="1" si="3"/>
        <v>45703</v>
      </c>
      <c r="F200" s="4" t="s">
        <v>40</v>
      </c>
      <c r="G200" s="5">
        <v>9</v>
      </c>
      <c r="H200" s="6">
        <v>15000</v>
      </c>
      <c r="I200" s="6">
        <v>127994</v>
      </c>
      <c r="J200" s="16">
        <v>12799</v>
      </c>
    </row>
    <row r="201" spans="1:10" x14ac:dyDescent="0.3">
      <c r="A201" s="15" t="s">
        <v>18</v>
      </c>
      <c r="B201" s="7" t="s">
        <v>25</v>
      </c>
      <c r="C201" s="7" t="s">
        <v>26</v>
      </c>
      <c r="D201" s="7" t="s">
        <v>89</v>
      </c>
      <c r="E201" s="13">
        <f t="shared" ca="1" si="3"/>
        <v>45704</v>
      </c>
      <c r="F201" s="7" t="s">
        <v>36</v>
      </c>
      <c r="G201" s="8">
        <v>1</v>
      </c>
      <c r="H201" s="9">
        <v>55000</v>
      </c>
      <c r="I201" s="9">
        <v>50846</v>
      </c>
      <c r="J201" s="17">
        <v>11186</v>
      </c>
    </row>
    <row r="202" spans="1:10" x14ac:dyDescent="0.3">
      <c r="A202" s="14" t="s">
        <v>15</v>
      </c>
      <c r="B202" s="4" t="s">
        <v>16</v>
      </c>
      <c r="C202" s="4" t="s">
        <v>12</v>
      </c>
      <c r="D202" s="4" t="s">
        <v>165</v>
      </c>
      <c r="E202" s="13">
        <f t="shared" ca="1" si="3"/>
        <v>45884</v>
      </c>
      <c r="F202" s="4" t="s">
        <v>33</v>
      </c>
      <c r="G202" s="5">
        <v>7</v>
      </c>
      <c r="H202" s="6">
        <v>45000</v>
      </c>
      <c r="I202" s="6">
        <v>308716</v>
      </c>
      <c r="J202" s="16">
        <v>55569</v>
      </c>
    </row>
    <row r="203" spans="1:10" x14ac:dyDescent="0.3">
      <c r="A203" s="15" t="s">
        <v>37</v>
      </c>
      <c r="B203" s="7" t="s">
        <v>38</v>
      </c>
      <c r="C203" s="7" t="s">
        <v>23</v>
      </c>
      <c r="D203" s="7" t="s">
        <v>164</v>
      </c>
      <c r="E203" s="13">
        <f t="shared" ca="1" si="3"/>
        <v>45860</v>
      </c>
      <c r="F203" s="7" t="s">
        <v>14</v>
      </c>
      <c r="G203" s="8">
        <v>2</v>
      </c>
      <c r="H203" s="9">
        <v>18500</v>
      </c>
      <c r="I203" s="9">
        <v>38599</v>
      </c>
      <c r="J203" s="17">
        <v>4632</v>
      </c>
    </row>
    <row r="204" spans="1:10" x14ac:dyDescent="0.3">
      <c r="A204" s="14" t="s">
        <v>41</v>
      </c>
      <c r="B204" s="4" t="s">
        <v>16</v>
      </c>
      <c r="C204" s="4" t="s">
        <v>12</v>
      </c>
      <c r="D204" s="4" t="s">
        <v>102</v>
      </c>
      <c r="E204" s="13">
        <f t="shared" ca="1" si="3"/>
        <v>45695</v>
      </c>
      <c r="F204" s="4" t="s">
        <v>33</v>
      </c>
      <c r="G204" s="5">
        <v>1</v>
      </c>
      <c r="H204" s="6">
        <v>45000</v>
      </c>
      <c r="I204" s="6">
        <v>40969</v>
      </c>
      <c r="J204" s="16">
        <v>7374</v>
      </c>
    </row>
    <row r="205" spans="1:10" x14ac:dyDescent="0.3">
      <c r="A205" s="15" t="s">
        <v>10</v>
      </c>
      <c r="B205" s="7" t="s">
        <v>46</v>
      </c>
      <c r="C205" s="7" t="s">
        <v>26</v>
      </c>
      <c r="D205" s="7" t="s">
        <v>166</v>
      </c>
      <c r="E205" s="13">
        <f t="shared" ca="1" si="3"/>
        <v>45940</v>
      </c>
      <c r="F205" s="7" t="s">
        <v>14</v>
      </c>
      <c r="G205" s="8">
        <v>4</v>
      </c>
      <c r="H205" s="9">
        <v>18500</v>
      </c>
      <c r="I205" s="9">
        <v>76807</v>
      </c>
      <c r="J205" s="17">
        <v>9217</v>
      </c>
    </row>
    <row r="206" spans="1:10" x14ac:dyDescent="0.3">
      <c r="A206" s="14" t="s">
        <v>10</v>
      </c>
      <c r="B206" s="4" t="s">
        <v>11</v>
      </c>
      <c r="C206" s="4" t="s">
        <v>12</v>
      </c>
      <c r="D206" s="4" t="s">
        <v>134</v>
      </c>
      <c r="E206" s="13">
        <f t="shared" ca="1" si="3"/>
        <v>45766</v>
      </c>
      <c r="F206" s="4" t="s">
        <v>40</v>
      </c>
      <c r="G206" s="5">
        <v>9</v>
      </c>
      <c r="H206" s="6">
        <v>15000</v>
      </c>
      <c r="I206" s="6">
        <v>128642</v>
      </c>
      <c r="J206" s="16">
        <v>12864</v>
      </c>
    </row>
    <row r="207" spans="1:10" x14ac:dyDescent="0.3">
      <c r="A207" s="15" t="s">
        <v>18</v>
      </c>
      <c r="B207" s="7" t="s">
        <v>88</v>
      </c>
      <c r="C207" s="7" t="s">
        <v>12</v>
      </c>
      <c r="D207" s="7" t="s">
        <v>103</v>
      </c>
      <c r="E207" s="13">
        <f t="shared" ca="1" si="3"/>
        <v>45768</v>
      </c>
      <c r="F207" s="7" t="s">
        <v>40</v>
      </c>
      <c r="G207" s="8">
        <v>5</v>
      </c>
      <c r="H207" s="9">
        <v>15000</v>
      </c>
      <c r="I207" s="9">
        <v>69130</v>
      </c>
      <c r="J207" s="17">
        <v>6913</v>
      </c>
    </row>
    <row r="208" spans="1:10" x14ac:dyDescent="0.3">
      <c r="A208" s="14" t="s">
        <v>41</v>
      </c>
      <c r="B208" s="4" t="s">
        <v>84</v>
      </c>
      <c r="C208" s="4" t="s">
        <v>12</v>
      </c>
      <c r="D208" s="4" t="s">
        <v>17</v>
      </c>
      <c r="E208" s="13">
        <f t="shared" ca="1" si="3"/>
        <v>45903</v>
      </c>
      <c r="F208" s="4" t="s">
        <v>21</v>
      </c>
      <c r="G208" s="5">
        <v>9</v>
      </c>
      <c r="H208" s="6">
        <v>12500</v>
      </c>
      <c r="I208" s="6">
        <v>119616</v>
      </c>
      <c r="J208" s="16">
        <v>9569</v>
      </c>
    </row>
    <row r="209" spans="1:10" x14ac:dyDescent="0.3">
      <c r="A209" s="15" t="s">
        <v>15</v>
      </c>
      <c r="B209" s="7" t="s">
        <v>77</v>
      </c>
      <c r="C209" s="7" t="s">
        <v>12</v>
      </c>
      <c r="D209" s="7" t="s">
        <v>28</v>
      </c>
      <c r="E209" s="13">
        <f t="shared" ca="1" si="3"/>
        <v>45684</v>
      </c>
      <c r="F209" s="7" t="s">
        <v>14</v>
      </c>
      <c r="G209" s="8">
        <v>4</v>
      </c>
      <c r="H209" s="9">
        <v>18500</v>
      </c>
      <c r="I209" s="9">
        <v>69122</v>
      </c>
      <c r="J209" s="17">
        <v>8295</v>
      </c>
    </row>
    <row r="210" spans="1:10" x14ac:dyDescent="0.3">
      <c r="A210" s="14" t="s">
        <v>10</v>
      </c>
      <c r="B210" s="4" t="s">
        <v>81</v>
      </c>
      <c r="C210" s="4" t="s">
        <v>26</v>
      </c>
      <c r="D210" s="4" t="s">
        <v>96</v>
      </c>
      <c r="E210" s="13">
        <f t="shared" ca="1" si="3"/>
        <v>45725</v>
      </c>
      <c r="F210" s="4" t="s">
        <v>40</v>
      </c>
      <c r="G210" s="5">
        <v>10</v>
      </c>
      <c r="H210" s="6">
        <v>15000</v>
      </c>
      <c r="I210" s="6">
        <v>137050</v>
      </c>
      <c r="J210" s="16">
        <v>13705</v>
      </c>
    </row>
    <row r="211" spans="1:10" x14ac:dyDescent="0.3">
      <c r="A211" s="15" t="s">
        <v>41</v>
      </c>
      <c r="B211" s="7" t="s">
        <v>77</v>
      </c>
      <c r="C211" s="7" t="s">
        <v>12</v>
      </c>
      <c r="D211" s="7" t="s">
        <v>110</v>
      </c>
      <c r="E211" s="13">
        <f t="shared" ca="1" si="3"/>
        <v>45823</v>
      </c>
      <c r="F211" s="7" t="s">
        <v>36</v>
      </c>
      <c r="G211" s="8">
        <v>10</v>
      </c>
      <c r="H211" s="9">
        <v>55000</v>
      </c>
      <c r="I211" s="9">
        <v>502811</v>
      </c>
      <c r="J211" s="17">
        <v>110618</v>
      </c>
    </row>
    <row r="212" spans="1:10" x14ac:dyDescent="0.3">
      <c r="A212" s="14" t="s">
        <v>41</v>
      </c>
      <c r="B212" s="4" t="s">
        <v>84</v>
      </c>
      <c r="C212" s="4" t="s">
        <v>12</v>
      </c>
      <c r="D212" s="4" t="s">
        <v>167</v>
      </c>
      <c r="E212" s="13">
        <f t="shared" ca="1" si="3"/>
        <v>45793</v>
      </c>
      <c r="F212" s="4" t="s">
        <v>40</v>
      </c>
      <c r="G212" s="5">
        <v>2</v>
      </c>
      <c r="H212" s="6">
        <v>15000</v>
      </c>
      <c r="I212" s="6">
        <v>31777</v>
      </c>
      <c r="J212" s="16">
        <v>3178</v>
      </c>
    </row>
    <row r="213" spans="1:10" x14ac:dyDescent="0.3">
      <c r="A213" s="15" t="s">
        <v>37</v>
      </c>
      <c r="B213" s="7" t="s">
        <v>88</v>
      </c>
      <c r="C213" s="7" t="s">
        <v>12</v>
      </c>
      <c r="D213" s="7" t="s">
        <v>156</v>
      </c>
      <c r="E213" s="13">
        <f t="shared" ca="1" si="3"/>
        <v>45790</v>
      </c>
      <c r="F213" s="7" t="s">
        <v>40</v>
      </c>
      <c r="G213" s="8">
        <v>10</v>
      </c>
      <c r="H213" s="9">
        <v>15000</v>
      </c>
      <c r="I213" s="9">
        <v>146915</v>
      </c>
      <c r="J213" s="17">
        <v>14692</v>
      </c>
    </row>
    <row r="214" spans="1:10" x14ac:dyDescent="0.3">
      <c r="A214" s="14" t="s">
        <v>15</v>
      </c>
      <c r="B214" s="4" t="s">
        <v>25</v>
      </c>
      <c r="C214" s="4" t="s">
        <v>26</v>
      </c>
      <c r="D214" s="4" t="s">
        <v>168</v>
      </c>
      <c r="E214" s="13">
        <f t="shared" ca="1" si="3"/>
        <v>45792</v>
      </c>
      <c r="F214" s="4" t="s">
        <v>40</v>
      </c>
      <c r="G214" s="5">
        <v>5</v>
      </c>
      <c r="H214" s="6">
        <v>15000</v>
      </c>
      <c r="I214" s="6">
        <v>70100</v>
      </c>
      <c r="J214" s="16">
        <v>7010</v>
      </c>
    </row>
    <row r="215" spans="1:10" x14ac:dyDescent="0.3">
      <c r="A215" s="15" t="s">
        <v>15</v>
      </c>
      <c r="B215" s="7" t="s">
        <v>81</v>
      </c>
      <c r="C215" s="7" t="s">
        <v>26</v>
      </c>
      <c r="D215" s="7" t="s">
        <v>89</v>
      </c>
      <c r="E215" s="13">
        <f t="shared" ca="1" si="3"/>
        <v>45705</v>
      </c>
      <c r="F215" s="7" t="s">
        <v>33</v>
      </c>
      <c r="G215" s="8">
        <v>1</v>
      </c>
      <c r="H215" s="9">
        <v>45000</v>
      </c>
      <c r="I215" s="9">
        <v>42646</v>
      </c>
      <c r="J215" s="17">
        <v>7676</v>
      </c>
    </row>
    <row r="216" spans="1:10" x14ac:dyDescent="0.3">
      <c r="A216" s="14" t="s">
        <v>37</v>
      </c>
      <c r="B216" s="4" t="s">
        <v>22</v>
      </c>
      <c r="C216" s="4" t="s">
        <v>23</v>
      </c>
      <c r="D216" s="4" t="s">
        <v>169</v>
      </c>
      <c r="E216" s="13">
        <f t="shared" ca="1" si="3"/>
        <v>45729</v>
      </c>
      <c r="F216" s="4" t="s">
        <v>21</v>
      </c>
      <c r="G216" s="5">
        <v>3</v>
      </c>
      <c r="H216" s="6">
        <v>12500</v>
      </c>
      <c r="I216" s="6">
        <v>41069</v>
      </c>
      <c r="J216" s="16">
        <v>3286</v>
      </c>
    </row>
    <row r="217" spans="1:10" x14ac:dyDescent="0.3">
      <c r="A217" s="15" t="s">
        <v>15</v>
      </c>
      <c r="B217" s="7" t="s">
        <v>56</v>
      </c>
      <c r="C217" s="7" t="s">
        <v>23</v>
      </c>
      <c r="D217" s="7" t="s">
        <v>170</v>
      </c>
      <c r="E217" s="13">
        <f t="shared" ca="1" si="3"/>
        <v>45886</v>
      </c>
      <c r="F217" s="7" t="s">
        <v>21</v>
      </c>
      <c r="G217" s="8">
        <v>7</v>
      </c>
      <c r="H217" s="9">
        <v>12500</v>
      </c>
      <c r="I217" s="9">
        <v>78830</v>
      </c>
      <c r="J217" s="17">
        <v>6306</v>
      </c>
    </row>
    <row r="218" spans="1:10" x14ac:dyDescent="0.3">
      <c r="A218" s="14" t="s">
        <v>15</v>
      </c>
      <c r="B218" s="4" t="s">
        <v>16</v>
      </c>
      <c r="C218" s="4" t="s">
        <v>12</v>
      </c>
      <c r="D218" s="4" t="s">
        <v>171</v>
      </c>
      <c r="E218" s="13">
        <f t="shared" ca="1" si="3"/>
        <v>45707</v>
      </c>
      <c r="F218" s="4" t="s">
        <v>36</v>
      </c>
      <c r="G218" s="5">
        <v>7</v>
      </c>
      <c r="H218" s="6">
        <v>55000</v>
      </c>
      <c r="I218" s="6">
        <v>348224</v>
      </c>
      <c r="J218" s="16">
        <v>76609</v>
      </c>
    </row>
    <row r="219" spans="1:10" x14ac:dyDescent="0.3">
      <c r="A219" s="15" t="s">
        <v>37</v>
      </c>
      <c r="B219" s="7" t="s">
        <v>11</v>
      </c>
      <c r="C219" s="7" t="s">
        <v>12</v>
      </c>
      <c r="D219" s="7" t="s">
        <v>130</v>
      </c>
      <c r="E219" s="13">
        <f t="shared" ca="1" si="3"/>
        <v>45803</v>
      </c>
      <c r="F219" s="7" t="s">
        <v>21</v>
      </c>
      <c r="G219" s="8">
        <v>8</v>
      </c>
      <c r="H219" s="9">
        <v>12500</v>
      </c>
      <c r="I219" s="9">
        <v>92919</v>
      </c>
      <c r="J219" s="17">
        <v>7434</v>
      </c>
    </row>
    <row r="220" spans="1:10" x14ac:dyDescent="0.3">
      <c r="A220" s="14" t="s">
        <v>37</v>
      </c>
      <c r="B220" s="4" t="s">
        <v>56</v>
      </c>
      <c r="C220" s="4" t="s">
        <v>23</v>
      </c>
      <c r="D220" s="4" t="s">
        <v>64</v>
      </c>
      <c r="E220" s="13">
        <f t="shared" ca="1" si="3"/>
        <v>45664</v>
      </c>
      <c r="F220" s="4" t="s">
        <v>40</v>
      </c>
      <c r="G220" s="5">
        <v>2</v>
      </c>
      <c r="H220" s="6">
        <v>15000</v>
      </c>
      <c r="I220" s="6">
        <v>28445</v>
      </c>
      <c r="J220" s="16">
        <v>2844</v>
      </c>
    </row>
    <row r="221" spans="1:10" x14ac:dyDescent="0.3">
      <c r="A221" s="15" t="s">
        <v>41</v>
      </c>
      <c r="B221" s="7" t="s">
        <v>46</v>
      </c>
      <c r="C221" s="7" t="s">
        <v>26</v>
      </c>
      <c r="D221" s="7" t="s">
        <v>66</v>
      </c>
      <c r="E221" s="13">
        <f t="shared" ca="1" si="3"/>
        <v>45962</v>
      </c>
      <c r="F221" s="7" t="s">
        <v>21</v>
      </c>
      <c r="G221" s="8">
        <v>2</v>
      </c>
      <c r="H221" s="9">
        <v>12500</v>
      </c>
      <c r="I221" s="9">
        <v>23423</v>
      </c>
      <c r="J221" s="17">
        <v>1874</v>
      </c>
    </row>
    <row r="222" spans="1:10" x14ac:dyDescent="0.3">
      <c r="A222" s="14" t="s">
        <v>10</v>
      </c>
      <c r="B222" s="4" t="s">
        <v>38</v>
      </c>
      <c r="C222" s="4" t="s">
        <v>23</v>
      </c>
      <c r="D222" s="4" t="s">
        <v>48</v>
      </c>
      <c r="E222" s="13">
        <f t="shared" ca="1" si="3"/>
        <v>45998</v>
      </c>
      <c r="F222" s="4" t="s">
        <v>14</v>
      </c>
      <c r="G222" s="5">
        <v>2</v>
      </c>
      <c r="H222" s="6">
        <v>18500</v>
      </c>
      <c r="I222" s="6">
        <v>34734</v>
      </c>
      <c r="J222" s="16">
        <v>4168</v>
      </c>
    </row>
    <row r="223" spans="1:10" x14ac:dyDescent="0.3">
      <c r="A223" s="15" t="s">
        <v>41</v>
      </c>
      <c r="B223" s="7" t="s">
        <v>38</v>
      </c>
      <c r="C223" s="7" t="s">
        <v>23</v>
      </c>
      <c r="D223" s="7" t="s">
        <v>172</v>
      </c>
      <c r="E223" s="13">
        <f t="shared" ca="1" si="3"/>
        <v>45770</v>
      </c>
      <c r="F223" s="7" t="s">
        <v>33</v>
      </c>
      <c r="G223" s="8">
        <v>2</v>
      </c>
      <c r="H223" s="9">
        <v>45000</v>
      </c>
      <c r="I223" s="9">
        <v>81094</v>
      </c>
      <c r="J223" s="17">
        <v>14597</v>
      </c>
    </row>
    <row r="224" spans="1:10" x14ac:dyDescent="0.3">
      <c r="A224" s="14" t="s">
        <v>41</v>
      </c>
      <c r="B224" s="4" t="s">
        <v>31</v>
      </c>
      <c r="C224" s="4" t="s">
        <v>12</v>
      </c>
      <c r="D224" s="4" t="s">
        <v>147</v>
      </c>
      <c r="E224" s="13">
        <f t="shared" ca="1" si="3"/>
        <v>45678</v>
      </c>
      <c r="F224" s="4" t="s">
        <v>14</v>
      </c>
      <c r="G224" s="5">
        <v>5</v>
      </c>
      <c r="H224" s="6">
        <v>18500</v>
      </c>
      <c r="I224" s="6">
        <v>90065</v>
      </c>
      <c r="J224" s="16">
        <v>10808</v>
      </c>
    </row>
    <row r="225" spans="1:10" x14ac:dyDescent="0.3">
      <c r="A225" s="15" t="s">
        <v>37</v>
      </c>
      <c r="B225" s="7" t="s">
        <v>51</v>
      </c>
      <c r="C225" s="7" t="s">
        <v>12</v>
      </c>
      <c r="D225" s="7" t="s">
        <v>159</v>
      </c>
      <c r="E225" s="13">
        <f t="shared" ca="1" si="3"/>
        <v>45928</v>
      </c>
      <c r="F225" s="7" t="s">
        <v>40</v>
      </c>
      <c r="G225" s="8">
        <v>10</v>
      </c>
      <c r="H225" s="9">
        <v>15000</v>
      </c>
      <c r="I225" s="9">
        <v>154145</v>
      </c>
      <c r="J225" s="17">
        <v>15414</v>
      </c>
    </row>
    <row r="226" spans="1:10" x14ac:dyDescent="0.3">
      <c r="A226" s="14" t="s">
        <v>15</v>
      </c>
      <c r="B226" s="4" t="s">
        <v>51</v>
      </c>
      <c r="C226" s="4" t="s">
        <v>12</v>
      </c>
      <c r="D226" s="4" t="s">
        <v>173</v>
      </c>
      <c r="E226" s="13">
        <f t="shared" ca="1" si="3"/>
        <v>45839</v>
      </c>
      <c r="F226" s="4" t="s">
        <v>21</v>
      </c>
      <c r="G226" s="5">
        <v>9</v>
      </c>
      <c r="H226" s="6">
        <v>12500</v>
      </c>
      <c r="I226" s="6">
        <v>117498</v>
      </c>
      <c r="J226" s="16">
        <v>9400</v>
      </c>
    </row>
    <row r="227" spans="1:10" x14ac:dyDescent="0.3">
      <c r="A227" s="15" t="s">
        <v>37</v>
      </c>
      <c r="B227" s="7" t="s">
        <v>77</v>
      </c>
      <c r="C227" s="7" t="s">
        <v>12</v>
      </c>
      <c r="D227" s="7" t="s">
        <v>125</v>
      </c>
      <c r="E227" s="13">
        <f t="shared" ca="1" si="3"/>
        <v>45997</v>
      </c>
      <c r="F227" s="7" t="s">
        <v>33</v>
      </c>
      <c r="G227" s="8">
        <v>2</v>
      </c>
      <c r="H227" s="9">
        <v>45000</v>
      </c>
      <c r="I227" s="9">
        <v>89150</v>
      </c>
      <c r="J227" s="17">
        <v>16047</v>
      </c>
    </row>
    <row r="228" spans="1:10" x14ac:dyDescent="0.3">
      <c r="A228" s="14" t="s">
        <v>10</v>
      </c>
      <c r="B228" s="4" t="s">
        <v>29</v>
      </c>
      <c r="C228" s="4" t="s">
        <v>26</v>
      </c>
      <c r="D228" s="4" t="s">
        <v>174</v>
      </c>
      <c r="E228" s="13">
        <f t="shared" ca="1" si="3"/>
        <v>45878</v>
      </c>
      <c r="F228" s="4" t="s">
        <v>40</v>
      </c>
      <c r="G228" s="5">
        <v>6</v>
      </c>
      <c r="H228" s="6">
        <v>15000</v>
      </c>
      <c r="I228" s="6">
        <v>90746</v>
      </c>
      <c r="J228" s="16">
        <v>9075</v>
      </c>
    </row>
    <row r="229" spans="1:10" x14ac:dyDescent="0.3">
      <c r="A229" s="15" t="s">
        <v>41</v>
      </c>
      <c r="B229" s="7" t="s">
        <v>38</v>
      </c>
      <c r="C229" s="7" t="s">
        <v>23</v>
      </c>
      <c r="D229" s="7" t="s">
        <v>175</v>
      </c>
      <c r="E229" s="13">
        <f t="shared" ca="1" si="3"/>
        <v>45937</v>
      </c>
      <c r="F229" s="7" t="s">
        <v>21</v>
      </c>
      <c r="G229" s="8">
        <v>6</v>
      </c>
      <c r="H229" s="9">
        <v>12500</v>
      </c>
      <c r="I229" s="9">
        <v>71408</v>
      </c>
      <c r="J229" s="17">
        <v>5713</v>
      </c>
    </row>
    <row r="230" spans="1:10" x14ac:dyDescent="0.3">
      <c r="A230" s="14" t="s">
        <v>15</v>
      </c>
      <c r="B230" s="4" t="s">
        <v>77</v>
      </c>
      <c r="C230" s="4" t="s">
        <v>12</v>
      </c>
      <c r="D230" s="4" t="s">
        <v>148</v>
      </c>
      <c r="E230" s="13">
        <f t="shared" ca="1" si="3"/>
        <v>45701</v>
      </c>
      <c r="F230" s="4" t="s">
        <v>21</v>
      </c>
      <c r="G230" s="5">
        <v>8</v>
      </c>
      <c r="H230" s="6">
        <v>12500</v>
      </c>
      <c r="I230" s="6">
        <v>109959</v>
      </c>
      <c r="J230" s="16">
        <v>8797</v>
      </c>
    </row>
    <row r="231" spans="1:10" x14ac:dyDescent="0.3">
      <c r="A231" s="15" t="s">
        <v>37</v>
      </c>
      <c r="B231" s="7" t="s">
        <v>56</v>
      </c>
      <c r="C231" s="7" t="s">
        <v>23</v>
      </c>
      <c r="D231" s="7" t="s">
        <v>176</v>
      </c>
      <c r="E231" s="13">
        <f t="shared" ca="1" si="3"/>
        <v>45675</v>
      </c>
      <c r="F231" s="7" t="s">
        <v>36</v>
      </c>
      <c r="G231" s="8">
        <v>9</v>
      </c>
      <c r="H231" s="9">
        <v>55000</v>
      </c>
      <c r="I231" s="9">
        <v>494561</v>
      </c>
      <c r="J231" s="17">
        <v>108803</v>
      </c>
    </row>
    <row r="232" spans="1:10" x14ac:dyDescent="0.3">
      <c r="A232" s="14" t="s">
        <v>10</v>
      </c>
      <c r="B232" s="4" t="s">
        <v>88</v>
      </c>
      <c r="C232" s="4" t="s">
        <v>12</v>
      </c>
      <c r="D232" s="4" t="s">
        <v>85</v>
      </c>
      <c r="E232" s="13">
        <f t="shared" ca="1" si="3"/>
        <v>45794</v>
      </c>
      <c r="F232" s="4" t="s">
        <v>40</v>
      </c>
      <c r="G232" s="5">
        <v>4</v>
      </c>
      <c r="H232" s="6">
        <v>15000</v>
      </c>
      <c r="I232" s="6">
        <v>63656</v>
      </c>
      <c r="J232" s="16">
        <v>6366</v>
      </c>
    </row>
    <row r="233" spans="1:10" x14ac:dyDescent="0.3">
      <c r="A233" s="15" t="s">
        <v>37</v>
      </c>
      <c r="B233" s="7" t="s">
        <v>22</v>
      </c>
      <c r="C233" s="7" t="s">
        <v>23</v>
      </c>
      <c r="D233" s="7" t="s">
        <v>177</v>
      </c>
      <c r="E233" s="13">
        <f t="shared" ca="1" si="3"/>
        <v>45814</v>
      </c>
      <c r="F233" s="7" t="s">
        <v>21</v>
      </c>
      <c r="G233" s="8">
        <v>2</v>
      </c>
      <c r="H233" s="9">
        <v>12500</v>
      </c>
      <c r="I233" s="9">
        <v>23595</v>
      </c>
      <c r="J233" s="17">
        <v>1888</v>
      </c>
    </row>
    <row r="234" spans="1:10" x14ac:dyDescent="0.3">
      <c r="A234" s="14" t="s">
        <v>41</v>
      </c>
      <c r="B234" s="4" t="s">
        <v>11</v>
      </c>
      <c r="C234" s="4" t="s">
        <v>12</v>
      </c>
      <c r="D234" s="4" t="s">
        <v>149</v>
      </c>
      <c r="E234" s="13">
        <f t="shared" ca="1" si="3"/>
        <v>45800</v>
      </c>
      <c r="F234" s="4" t="s">
        <v>14</v>
      </c>
      <c r="G234" s="5">
        <v>7</v>
      </c>
      <c r="H234" s="6">
        <v>18500</v>
      </c>
      <c r="I234" s="6">
        <v>139923</v>
      </c>
      <c r="J234" s="16">
        <v>16791</v>
      </c>
    </row>
    <row r="235" spans="1:10" x14ac:dyDescent="0.3">
      <c r="A235" s="15" t="s">
        <v>41</v>
      </c>
      <c r="B235" s="7" t="s">
        <v>77</v>
      </c>
      <c r="C235" s="7" t="s">
        <v>12</v>
      </c>
      <c r="D235" s="7" t="s">
        <v>76</v>
      </c>
      <c r="E235" s="13">
        <f t="shared" ca="1" si="3"/>
        <v>45935</v>
      </c>
      <c r="F235" s="7" t="s">
        <v>14</v>
      </c>
      <c r="G235" s="8">
        <v>4</v>
      </c>
      <c r="H235" s="9">
        <v>18500</v>
      </c>
      <c r="I235" s="9">
        <v>78889</v>
      </c>
      <c r="J235" s="17">
        <v>9467</v>
      </c>
    </row>
    <row r="236" spans="1:10" x14ac:dyDescent="0.3">
      <c r="A236" s="14" t="s">
        <v>41</v>
      </c>
      <c r="B236" s="4" t="s">
        <v>31</v>
      </c>
      <c r="C236" s="4" t="s">
        <v>12</v>
      </c>
      <c r="D236" s="4" t="s">
        <v>178</v>
      </c>
      <c r="E236" s="13">
        <f t="shared" ca="1" si="3"/>
        <v>45989</v>
      </c>
      <c r="F236" s="4" t="s">
        <v>40</v>
      </c>
      <c r="G236" s="5">
        <v>5</v>
      </c>
      <c r="H236" s="6">
        <v>15000</v>
      </c>
      <c r="I236" s="6">
        <v>71120</v>
      </c>
      <c r="J236" s="16">
        <v>7112</v>
      </c>
    </row>
    <row r="237" spans="1:10" x14ac:dyDescent="0.3">
      <c r="A237" s="15" t="s">
        <v>10</v>
      </c>
      <c r="B237" s="7" t="s">
        <v>84</v>
      </c>
      <c r="C237" s="7" t="s">
        <v>12</v>
      </c>
      <c r="D237" s="7" t="s">
        <v>112</v>
      </c>
      <c r="E237" s="13">
        <f t="shared" ca="1" si="3"/>
        <v>45978</v>
      </c>
      <c r="F237" s="7" t="s">
        <v>33</v>
      </c>
      <c r="G237" s="8">
        <v>2</v>
      </c>
      <c r="H237" s="9">
        <v>45000</v>
      </c>
      <c r="I237" s="9">
        <v>97675</v>
      </c>
      <c r="J237" s="17">
        <v>17582</v>
      </c>
    </row>
    <row r="238" spans="1:10" x14ac:dyDescent="0.3">
      <c r="A238" s="14" t="s">
        <v>41</v>
      </c>
      <c r="B238" s="4" t="s">
        <v>19</v>
      </c>
      <c r="C238" s="4" t="s">
        <v>12</v>
      </c>
      <c r="D238" s="4" t="s">
        <v>24</v>
      </c>
      <c r="E238" s="13">
        <f t="shared" ca="1" si="3"/>
        <v>45921</v>
      </c>
      <c r="F238" s="4" t="s">
        <v>21</v>
      </c>
      <c r="G238" s="5">
        <v>5</v>
      </c>
      <c r="H238" s="6">
        <v>12500</v>
      </c>
      <c r="I238" s="6">
        <v>59968</v>
      </c>
      <c r="J238" s="16">
        <v>4797</v>
      </c>
    </row>
    <row r="239" spans="1:10" x14ac:dyDescent="0.3">
      <c r="A239" s="15" t="s">
        <v>41</v>
      </c>
      <c r="B239" s="7" t="s">
        <v>11</v>
      </c>
      <c r="C239" s="7" t="s">
        <v>12</v>
      </c>
      <c r="D239" s="7" t="s">
        <v>90</v>
      </c>
      <c r="E239" s="13">
        <f t="shared" ca="1" si="3"/>
        <v>45977</v>
      </c>
      <c r="F239" s="7" t="s">
        <v>33</v>
      </c>
      <c r="G239" s="8">
        <v>8</v>
      </c>
      <c r="H239" s="9">
        <v>45000</v>
      </c>
      <c r="I239" s="9">
        <v>377091</v>
      </c>
      <c r="J239" s="17">
        <v>67876</v>
      </c>
    </row>
    <row r="240" spans="1:10" x14ac:dyDescent="0.3">
      <c r="A240" s="14" t="s">
        <v>18</v>
      </c>
      <c r="B240" s="4" t="s">
        <v>56</v>
      </c>
      <c r="C240" s="4" t="s">
        <v>23</v>
      </c>
      <c r="D240" s="4" t="s">
        <v>179</v>
      </c>
      <c r="E240" s="13">
        <f t="shared" ca="1" si="3"/>
        <v>45726</v>
      </c>
      <c r="F240" s="4" t="s">
        <v>14</v>
      </c>
      <c r="G240" s="5">
        <v>10</v>
      </c>
      <c r="H240" s="6">
        <v>18500</v>
      </c>
      <c r="I240" s="6">
        <v>187820</v>
      </c>
      <c r="J240" s="16">
        <v>22538</v>
      </c>
    </row>
    <row r="241" spans="1:10" x14ac:dyDescent="0.3">
      <c r="A241" s="15" t="s">
        <v>15</v>
      </c>
      <c r="B241" s="7" t="s">
        <v>88</v>
      </c>
      <c r="C241" s="7" t="s">
        <v>12</v>
      </c>
      <c r="D241" s="7" t="s">
        <v>180</v>
      </c>
      <c r="E241" s="13">
        <f t="shared" ca="1" si="3"/>
        <v>45848</v>
      </c>
      <c r="F241" s="7" t="s">
        <v>33</v>
      </c>
      <c r="G241" s="8">
        <v>1</v>
      </c>
      <c r="H241" s="9">
        <v>45000</v>
      </c>
      <c r="I241" s="9">
        <v>49119</v>
      </c>
      <c r="J241" s="17">
        <v>8841</v>
      </c>
    </row>
    <row r="242" spans="1:10" x14ac:dyDescent="0.3">
      <c r="A242" s="14" t="s">
        <v>15</v>
      </c>
      <c r="B242" s="4" t="s">
        <v>77</v>
      </c>
      <c r="C242" s="4" t="s">
        <v>12</v>
      </c>
      <c r="D242" s="4" t="s">
        <v>57</v>
      </c>
      <c r="E242" s="13">
        <f t="shared" ca="1" si="3"/>
        <v>45933</v>
      </c>
      <c r="F242" s="4" t="s">
        <v>40</v>
      </c>
      <c r="G242" s="5">
        <v>6</v>
      </c>
      <c r="H242" s="6">
        <v>15000</v>
      </c>
      <c r="I242" s="6">
        <v>81406</v>
      </c>
      <c r="J242" s="16">
        <v>8141</v>
      </c>
    </row>
    <row r="243" spans="1:10" x14ac:dyDescent="0.3">
      <c r="A243" s="15" t="s">
        <v>41</v>
      </c>
      <c r="B243" s="7" t="s">
        <v>25</v>
      </c>
      <c r="C243" s="7" t="s">
        <v>26</v>
      </c>
      <c r="D243" s="7" t="s">
        <v>159</v>
      </c>
      <c r="E243" s="13">
        <f t="shared" ca="1" si="3"/>
        <v>45808</v>
      </c>
      <c r="F243" s="7" t="s">
        <v>36</v>
      </c>
      <c r="G243" s="8">
        <v>6</v>
      </c>
      <c r="H243" s="9">
        <v>55000</v>
      </c>
      <c r="I243" s="9">
        <v>341930</v>
      </c>
      <c r="J243" s="17">
        <v>75225</v>
      </c>
    </row>
    <row r="244" spans="1:10" x14ac:dyDescent="0.3">
      <c r="A244" s="14" t="s">
        <v>41</v>
      </c>
      <c r="B244" s="4" t="s">
        <v>88</v>
      </c>
      <c r="C244" s="4" t="s">
        <v>12</v>
      </c>
      <c r="D244" s="4" t="s">
        <v>181</v>
      </c>
      <c r="E244" s="13">
        <f t="shared" ca="1" si="3"/>
        <v>45801</v>
      </c>
      <c r="F244" s="4" t="s">
        <v>21</v>
      </c>
      <c r="G244" s="5">
        <v>8</v>
      </c>
      <c r="H244" s="6">
        <v>12500</v>
      </c>
      <c r="I244" s="6">
        <v>103571</v>
      </c>
      <c r="J244" s="16">
        <v>8286</v>
      </c>
    </row>
    <row r="245" spans="1:10" x14ac:dyDescent="0.3">
      <c r="A245" s="15" t="s">
        <v>10</v>
      </c>
      <c r="B245" s="7" t="s">
        <v>11</v>
      </c>
      <c r="C245" s="7" t="s">
        <v>12</v>
      </c>
      <c r="D245" s="7" t="s">
        <v>176</v>
      </c>
      <c r="E245" s="13">
        <f t="shared" ca="1" si="3"/>
        <v>45717</v>
      </c>
      <c r="F245" s="7" t="s">
        <v>21</v>
      </c>
      <c r="G245" s="8">
        <v>7</v>
      </c>
      <c r="H245" s="9">
        <v>12500</v>
      </c>
      <c r="I245" s="9">
        <v>90613</v>
      </c>
      <c r="J245" s="17">
        <v>7249</v>
      </c>
    </row>
    <row r="246" spans="1:10" x14ac:dyDescent="0.3">
      <c r="A246" s="14" t="s">
        <v>18</v>
      </c>
      <c r="B246" s="4" t="s">
        <v>29</v>
      </c>
      <c r="C246" s="4" t="s">
        <v>26</v>
      </c>
      <c r="D246" s="4" t="s">
        <v>182</v>
      </c>
      <c r="E246" s="13">
        <f t="shared" ca="1" si="3"/>
        <v>45989</v>
      </c>
      <c r="F246" s="4" t="s">
        <v>21</v>
      </c>
      <c r="G246" s="5">
        <v>6</v>
      </c>
      <c r="H246" s="6">
        <v>12500</v>
      </c>
      <c r="I246" s="6">
        <v>70056</v>
      </c>
      <c r="J246" s="16">
        <v>5604</v>
      </c>
    </row>
    <row r="247" spans="1:10" x14ac:dyDescent="0.3">
      <c r="A247" s="15" t="s">
        <v>18</v>
      </c>
      <c r="B247" s="7" t="s">
        <v>84</v>
      </c>
      <c r="C247" s="7" t="s">
        <v>12</v>
      </c>
      <c r="D247" s="7" t="s">
        <v>183</v>
      </c>
      <c r="E247" s="13">
        <f t="shared" ca="1" si="3"/>
        <v>46010</v>
      </c>
      <c r="F247" s="7" t="s">
        <v>33</v>
      </c>
      <c r="G247" s="8">
        <v>1</v>
      </c>
      <c r="H247" s="9">
        <v>45000</v>
      </c>
      <c r="I247" s="9">
        <v>48017</v>
      </c>
      <c r="J247" s="17">
        <v>8643</v>
      </c>
    </row>
    <row r="248" spans="1:10" x14ac:dyDescent="0.3">
      <c r="A248" s="14" t="s">
        <v>37</v>
      </c>
      <c r="B248" s="4" t="s">
        <v>46</v>
      </c>
      <c r="C248" s="4" t="s">
        <v>26</v>
      </c>
      <c r="D248" s="4" t="s">
        <v>126</v>
      </c>
      <c r="E248" s="13">
        <f t="shared" ca="1" si="3"/>
        <v>45756</v>
      </c>
      <c r="F248" s="4" t="s">
        <v>40</v>
      </c>
      <c r="G248" s="5">
        <v>1</v>
      </c>
      <c r="H248" s="6">
        <v>15000</v>
      </c>
      <c r="I248" s="6">
        <v>14860</v>
      </c>
      <c r="J248" s="16">
        <v>1486</v>
      </c>
    </row>
    <row r="249" spans="1:10" x14ac:dyDescent="0.3">
      <c r="A249" s="15" t="s">
        <v>41</v>
      </c>
      <c r="B249" s="7" t="s">
        <v>16</v>
      </c>
      <c r="C249" s="7" t="s">
        <v>12</v>
      </c>
      <c r="D249" s="7" t="s">
        <v>114</v>
      </c>
      <c r="E249" s="13">
        <f t="shared" ca="1" si="3"/>
        <v>45820</v>
      </c>
      <c r="F249" s="7" t="s">
        <v>40</v>
      </c>
      <c r="G249" s="8">
        <v>7</v>
      </c>
      <c r="H249" s="9">
        <v>15000</v>
      </c>
      <c r="I249" s="9">
        <v>98487</v>
      </c>
      <c r="J249" s="17">
        <v>9849</v>
      </c>
    </row>
    <row r="250" spans="1:10" x14ac:dyDescent="0.3">
      <c r="A250" s="14" t="s">
        <v>15</v>
      </c>
      <c r="B250" s="4" t="s">
        <v>84</v>
      </c>
      <c r="C250" s="4" t="s">
        <v>12</v>
      </c>
      <c r="D250" s="4" t="s">
        <v>184</v>
      </c>
      <c r="E250" s="13">
        <f t="shared" ca="1" si="3"/>
        <v>45732</v>
      </c>
      <c r="F250" s="4" t="s">
        <v>21</v>
      </c>
      <c r="G250" s="5">
        <v>1</v>
      </c>
      <c r="H250" s="6">
        <v>12500</v>
      </c>
      <c r="I250" s="6">
        <v>12694</v>
      </c>
      <c r="J250" s="16">
        <v>1016</v>
      </c>
    </row>
    <row r="251" spans="1:10" x14ac:dyDescent="0.3">
      <c r="A251" s="15" t="s">
        <v>37</v>
      </c>
      <c r="B251" s="7" t="s">
        <v>46</v>
      </c>
      <c r="C251" s="7" t="s">
        <v>26</v>
      </c>
      <c r="D251" s="7" t="s">
        <v>185</v>
      </c>
      <c r="E251" s="13">
        <f t="shared" ca="1" si="3"/>
        <v>45852</v>
      </c>
      <c r="F251" s="7" t="s">
        <v>36</v>
      </c>
      <c r="G251" s="8">
        <v>8</v>
      </c>
      <c r="H251" s="9">
        <v>55000</v>
      </c>
      <c r="I251" s="9">
        <v>432093</v>
      </c>
      <c r="J251" s="17">
        <v>95060</v>
      </c>
    </row>
    <row r="252" spans="1:10" x14ac:dyDescent="0.3">
      <c r="A252" s="14" t="s">
        <v>18</v>
      </c>
      <c r="B252" s="4" t="s">
        <v>29</v>
      </c>
      <c r="C252" s="4" t="s">
        <v>26</v>
      </c>
      <c r="D252" s="4" t="s">
        <v>52</v>
      </c>
      <c r="E252" s="13">
        <f t="shared" ca="1" si="3"/>
        <v>45882</v>
      </c>
      <c r="F252" s="4" t="s">
        <v>36</v>
      </c>
      <c r="G252" s="5">
        <v>3</v>
      </c>
      <c r="H252" s="6">
        <v>55000</v>
      </c>
      <c r="I252" s="6">
        <v>163236</v>
      </c>
      <c r="J252" s="16">
        <v>35912</v>
      </c>
    </row>
    <row r="253" spans="1:10" x14ac:dyDescent="0.3">
      <c r="A253" s="15" t="s">
        <v>18</v>
      </c>
      <c r="B253" s="7" t="s">
        <v>56</v>
      </c>
      <c r="C253" s="7" t="s">
        <v>23</v>
      </c>
      <c r="D253" s="7" t="s">
        <v>94</v>
      </c>
      <c r="E253" s="13">
        <f t="shared" ca="1" si="3"/>
        <v>45766</v>
      </c>
      <c r="F253" s="7" t="s">
        <v>21</v>
      </c>
      <c r="G253" s="8">
        <v>2</v>
      </c>
      <c r="H253" s="9">
        <v>12500</v>
      </c>
      <c r="I253" s="9">
        <v>22595</v>
      </c>
      <c r="J253" s="17">
        <v>1808</v>
      </c>
    </row>
    <row r="254" spans="1:10" x14ac:dyDescent="0.3">
      <c r="A254" s="14" t="s">
        <v>10</v>
      </c>
      <c r="B254" s="4" t="s">
        <v>25</v>
      </c>
      <c r="C254" s="4" t="s">
        <v>26</v>
      </c>
      <c r="D254" s="4" t="s">
        <v>54</v>
      </c>
      <c r="E254" s="13">
        <f t="shared" ca="1" si="3"/>
        <v>45867</v>
      </c>
      <c r="F254" s="4" t="s">
        <v>40</v>
      </c>
      <c r="G254" s="5">
        <v>8</v>
      </c>
      <c r="H254" s="6">
        <v>15000</v>
      </c>
      <c r="I254" s="6">
        <v>111357</v>
      </c>
      <c r="J254" s="16">
        <v>11136</v>
      </c>
    </row>
    <row r="255" spans="1:10" x14ac:dyDescent="0.3">
      <c r="A255" s="15" t="s">
        <v>15</v>
      </c>
      <c r="B255" s="7" t="s">
        <v>38</v>
      </c>
      <c r="C255" s="7" t="s">
        <v>23</v>
      </c>
      <c r="D255" s="7" t="s">
        <v>117</v>
      </c>
      <c r="E255" s="13">
        <f t="shared" ca="1" si="3"/>
        <v>45661</v>
      </c>
      <c r="F255" s="7" t="s">
        <v>40</v>
      </c>
      <c r="G255" s="8">
        <v>5</v>
      </c>
      <c r="H255" s="9">
        <v>15000</v>
      </c>
      <c r="I255" s="9">
        <v>74371</v>
      </c>
      <c r="J255" s="17">
        <v>7437</v>
      </c>
    </row>
    <row r="256" spans="1:10" x14ac:dyDescent="0.3">
      <c r="A256" s="14" t="s">
        <v>18</v>
      </c>
      <c r="B256" s="4" t="s">
        <v>25</v>
      </c>
      <c r="C256" s="4" t="s">
        <v>26</v>
      </c>
      <c r="D256" s="4" t="s">
        <v>156</v>
      </c>
      <c r="E256" s="13">
        <f t="shared" ca="1" si="3"/>
        <v>45821</v>
      </c>
      <c r="F256" s="4" t="s">
        <v>14</v>
      </c>
      <c r="G256" s="5">
        <v>1</v>
      </c>
      <c r="H256" s="6">
        <v>18500</v>
      </c>
      <c r="I256" s="6">
        <v>19456</v>
      </c>
      <c r="J256" s="16">
        <v>2335</v>
      </c>
    </row>
    <row r="257" spans="1:10" x14ac:dyDescent="0.3">
      <c r="A257" s="15" t="s">
        <v>10</v>
      </c>
      <c r="B257" s="7" t="s">
        <v>16</v>
      </c>
      <c r="C257" s="7" t="s">
        <v>12</v>
      </c>
      <c r="D257" s="7" t="s">
        <v>60</v>
      </c>
      <c r="E257" s="13">
        <f t="shared" ca="1" si="3"/>
        <v>45883</v>
      </c>
      <c r="F257" s="7" t="s">
        <v>40</v>
      </c>
      <c r="G257" s="8">
        <v>10</v>
      </c>
      <c r="H257" s="9">
        <v>15000</v>
      </c>
      <c r="I257" s="9">
        <v>154730</v>
      </c>
      <c r="J257" s="17">
        <v>15473</v>
      </c>
    </row>
    <row r="258" spans="1:10" x14ac:dyDescent="0.3">
      <c r="A258" s="14" t="s">
        <v>41</v>
      </c>
      <c r="B258" s="4" t="s">
        <v>56</v>
      </c>
      <c r="C258" s="4" t="s">
        <v>23</v>
      </c>
      <c r="D258" s="4" t="s">
        <v>65</v>
      </c>
      <c r="E258" s="13">
        <f t="shared" ca="1" si="3"/>
        <v>45667</v>
      </c>
      <c r="F258" s="4" t="s">
        <v>21</v>
      </c>
      <c r="G258" s="5">
        <v>4</v>
      </c>
      <c r="H258" s="6">
        <v>12500</v>
      </c>
      <c r="I258" s="6">
        <v>51679</v>
      </c>
      <c r="J258" s="16">
        <v>4134</v>
      </c>
    </row>
    <row r="259" spans="1:10" x14ac:dyDescent="0.3">
      <c r="A259" s="15" t="s">
        <v>41</v>
      </c>
      <c r="B259" s="7" t="s">
        <v>84</v>
      </c>
      <c r="C259" s="7" t="s">
        <v>12</v>
      </c>
      <c r="D259" s="7" t="s">
        <v>186</v>
      </c>
      <c r="E259" s="13">
        <f t="shared" ref="E259:E322" ca="1" si="4">DATE(2025,1,1)+RANDBETWEEN(0,364)</f>
        <v>45945</v>
      </c>
      <c r="F259" s="7" t="s">
        <v>14</v>
      </c>
      <c r="G259" s="8">
        <v>6</v>
      </c>
      <c r="H259" s="9">
        <v>18500</v>
      </c>
      <c r="I259" s="9">
        <v>110686</v>
      </c>
      <c r="J259" s="17">
        <v>13282</v>
      </c>
    </row>
    <row r="260" spans="1:10" x14ac:dyDescent="0.3">
      <c r="A260" s="14" t="s">
        <v>37</v>
      </c>
      <c r="B260" s="4" t="s">
        <v>29</v>
      </c>
      <c r="C260" s="4" t="s">
        <v>26</v>
      </c>
      <c r="D260" s="4" t="s">
        <v>167</v>
      </c>
      <c r="E260" s="13">
        <f t="shared" ca="1" si="4"/>
        <v>45955</v>
      </c>
      <c r="F260" s="4" t="s">
        <v>40</v>
      </c>
      <c r="G260" s="5">
        <v>4</v>
      </c>
      <c r="H260" s="6">
        <v>15000</v>
      </c>
      <c r="I260" s="6">
        <v>54040</v>
      </c>
      <c r="J260" s="16">
        <v>5404</v>
      </c>
    </row>
    <row r="261" spans="1:10" x14ac:dyDescent="0.3">
      <c r="A261" s="15" t="s">
        <v>10</v>
      </c>
      <c r="B261" s="7" t="s">
        <v>46</v>
      </c>
      <c r="C261" s="7" t="s">
        <v>26</v>
      </c>
      <c r="D261" s="7" t="s">
        <v>111</v>
      </c>
      <c r="E261" s="13">
        <f t="shared" ca="1" si="4"/>
        <v>45850</v>
      </c>
      <c r="F261" s="7" t="s">
        <v>40</v>
      </c>
      <c r="G261" s="8">
        <v>2</v>
      </c>
      <c r="H261" s="9">
        <v>15000</v>
      </c>
      <c r="I261" s="9">
        <v>31104</v>
      </c>
      <c r="J261" s="17">
        <v>3110</v>
      </c>
    </row>
    <row r="262" spans="1:10" x14ac:dyDescent="0.3">
      <c r="A262" s="14" t="s">
        <v>41</v>
      </c>
      <c r="B262" s="4" t="s">
        <v>19</v>
      </c>
      <c r="C262" s="4" t="s">
        <v>12</v>
      </c>
      <c r="D262" s="4" t="s">
        <v>143</v>
      </c>
      <c r="E262" s="13">
        <f t="shared" ca="1" si="4"/>
        <v>45758</v>
      </c>
      <c r="F262" s="4" t="s">
        <v>14</v>
      </c>
      <c r="G262" s="5">
        <v>9</v>
      </c>
      <c r="H262" s="6">
        <v>18500</v>
      </c>
      <c r="I262" s="6">
        <v>174103</v>
      </c>
      <c r="J262" s="16">
        <v>20892</v>
      </c>
    </row>
    <row r="263" spans="1:10" x14ac:dyDescent="0.3">
      <c r="A263" s="15" t="s">
        <v>37</v>
      </c>
      <c r="B263" s="7" t="s">
        <v>31</v>
      </c>
      <c r="C263" s="7" t="s">
        <v>12</v>
      </c>
      <c r="D263" s="7" t="s">
        <v>187</v>
      </c>
      <c r="E263" s="13">
        <f t="shared" ca="1" si="4"/>
        <v>45710</v>
      </c>
      <c r="F263" s="7" t="s">
        <v>36</v>
      </c>
      <c r="G263" s="8">
        <v>6</v>
      </c>
      <c r="H263" s="9">
        <v>55000</v>
      </c>
      <c r="I263" s="9">
        <v>341407</v>
      </c>
      <c r="J263" s="17">
        <v>75110</v>
      </c>
    </row>
    <row r="264" spans="1:10" x14ac:dyDescent="0.3">
      <c r="A264" s="14" t="s">
        <v>18</v>
      </c>
      <c r="B264" s="4" t="s">
        <v>22</v>
      </c>
      <c r="C264" s="4" t="s">
        <v>23</v>
      </c>
      <c r="D264" s="4" t="s">
        <v>188</v>
      </c>
      <c r="E264" s="13">
        <f t="shared" ca="1" si="4"/>
        <v>45941</v>
      </c>
      <c r="F264" s="4" t="s">
        <v>21</v>
      </c>
      <c r="G264" s="5">
        <v>9</v>
      </c>
      <c r="H264" s="6">
        <v>12500</v>
      </c>
      <c r="I264" s="6">
        <v>108209</v>
      </c>
      <c r="J264" s="16">
        <v>8657</v>
      </c>
    </row>
    <row r="265" spans="1:10" x14ac:dyDescent="0.3">
      <c r="A265" s="15" t="s">
        <v>37</v>
      </c>
      <c r="B265" s="7" t="s">
        <v>29</v>
      </c>
      <c r="C265" s="7" t="s">
        <v>26</v>
      </c>
      <c r="D265" s="7" t="s">
        <v>43</v>
      </c>
      <c r="E265" s="13">
        <f t="shared" ca="1" si="4"/>
        <v>45982</v>
      </c>
      <c r="F265" s="7" t="s">
        <v>36</v>
      </c>
      <c r="G265" s="8">
        <v>3</v>
      </c>
      <c r="H265" s="9">
        <v>55000</v>
      </c>
      <c r="I265" s="9">
        <v>169495</v>
      </c>
      <c r="J265" s="17">
        <v>37289</v>
      </c>
    </row>
    <row r="266" spans="1:10" x14ac:dyDescent="0.3">
      <c r="A266" s="14" t="s">
        <v>37</v>
      </c>
      <c r="B266" s="4" t="s">
        <v>51</v>
      </c>
      <c r="C266" s="4" t="s">
        <v>12</v>
      </c>
      <c r="D266" s="4" t="s">
        <v>13</v>
      </c>
      <c r="E266" s="13">
        <f t="shared" ca="1" si="4"/>
        <v>45699</v>
      </c>
      <c r="F266" s="4" t="s">
        <v>33</v>
      </c>
      <c r="G266" s="5">
        <v>4</v>
      </c>
      <c r="H266" s="6">
        <v>45000</v>
      </c>
      <c r="I266" s="6">
        <v>175409</v>
      </c>
      <c r="J266" s="16">
        <v>31574</v>
      </c>
    </row>
    <row r="267" spans="1:10" x14ac:dyDescent="0.3">
      <c r="A267" s="15" t="s">
        <v>41</v>
      </c>
      <c r="B267" s="7" t="s">
        <v>25</v>
      </c>
      <c r="C267" s="7" t="s">
        <v>26</v>
      </c>
      <c r="D267" s="7" t="s">
        <v>189</v>
      </c>
      <c r="E267" s="13">
        <f t="shared" ca="1" si="4"/>
        <v>45807</v>
      </c>
      <c r="F267" s="7" t="s">
        <v>21</v>
      </c>
      <c r="G267" s="8">
        <v>5</v>
      </c>
      <c r="H267" s="9">
        <v>12500</v>
      </c>
      <c r="I267" s="9">
        <v>62087</v>
      </c>
      <c r="J267" s="17">
        <v>4967</v>
      </c>
    </row>
    <row r="268" spans="1:10" x14ac:dyDescent="0.3">
      <c r="A268" s="14" t="s">
        <v>37</v>
      </c>
      <c r="B268" s="4" t="s">
        <v>22</v>
      </c>
      <c r="C268" s="4" t="s">
        <v>23</v>
      </c>
      <c r="D268" s="4" t="s">
        <v>89</v>
      </c>
      <c r="E268" s="13">
        <f t="shared" ca="1" si="4"/>
        <v>45670</v>
      </c>
      <c r="F268" s="4" t="s">
        <v>33</v>
      </c>
      <c r="G268" s="5">
        <v>3</v>
      </c>
      <c r="H268" s="6">
        <v>45000</v>
      </c>
      <c r="I268" s="6">
        <v>136941</v>
      </c>
      <c r="J268" s="16">
        <v>24649</v>
      </c>
    </row>
    <row r="269" spans="1:10" x14ac:dyDescent="0.3">
      <c r="A269" s="15" t="s">
        <v>10</v>
      </c>
      <c r="B269" s="7" t="s">
        <v>77</v>
      </c>
      <c r="C269" s="7" t="s">
        <v>12</v>
      </c>
      <c r="D269" s="7" t="s">
        <v>59</v>
      </c>
      <c r="E269" s="13">
        <f t="shared" ca="1" si="4"/>
        <v>45870</v>
      </c>
      <c r="F269" s="7" t="s">
        <v>33</v>
      </c>
      <c r="G269" s="8">
        <v>3</v>
      </c>
      <c r="H269" s="9">
        <v>45000</v>
      </c>
      <c r="I269" s="9">
        <v>141150</v>
      </c>
      <c r="J269" s="17">
        <v>25407</v>
      </c>
    </row>
    <row r="270" spans="1:10" x14ac:dyDescent="0.3">
      <c r="A270" s="14" t="s">
        <v>10</v>
      </c>
      <c r="B270" s="4" t="s">
        <v>51</v>
      </c>
      <c r="C270" s="4" t="s">
        <v>12</v>
      </c>
      <c r="D270" s="4" t="s">
        <v>114</v>
      </c>
      <c r="E270" s="13">
        <f t="shared" ca="1" si="4"/>
        <v>45989</v>
      </c>
      <c r="F270" s="4" t="s">
        <v>21</v>
      </c>
      <c r="G270" s="5">
        <v>3</v>
      </c>
      <c r="H270" s="6">
        <v>12500</v>
      </c>
      <c r="I270" s="6">
        <v>39203</v>
      </c>
      <c r="J270" s="16">
        <v>3136</v>
      </c>
    </row>
    <row r="271" spans="1:10" x14ac:dyDescent="0.3">
      <c r="A271" s="15" t="s">
        <v>18</v>
      </c>
      <c r="B271" s="7" t="s">
        <v>38</v>
      </c>
      <c r="C271" s="7" t="s">
        <v>23</v>
      </c>
      <c r="D271" s="7" t="s">
        <v>145</v>
      </c>
      <c r="E271" s="13">
        <f t="shared" ca="1" si="4"/>
        <v>45969</v>
      </c>
      <c r="F271" s="7" t="s">
        <v>40</v>
      </c>
      <c r="G271" s="8">
        <v>10</v>
      </c>
      <c r="H271" s="9">
        <v>15000</v>
      </c>
      <c r="I271" s="9">
        <v>149303</v>
      </c>
      <c r="J271" s="17">
        <v>14930</v>
      </c>
    </row>
    <row r="272" spans="1:10" x14ac:dyDescent="0.3">
      <c r="A272" s="14" t="s">
        <v>37</v>
      </c>
      <c r="B272" s="4" t="s">
        <v>22</v>
      </c>
      <c r="C272" s="4" t="s">
        <v>23</v>
      </c>
      <c r="D272" s="4" t="s">
        <v>190</v>
      </c>
      <c r="E272" s="13">
        <f t="shared" ca="1" si="4"/>
        <v>45825</v>
      </c>
      <c r="F272" s="4" t="s">
        <v>21</v>
      </c>
      <c r="G272" s="5">
        <v>8</v>
      </c>
      <c r="H272" s="6">
        <v>12500</v>
      </c>
      <c r="I272" s="6">
        <v>103632</v>
      </c>
      <c r="J272" s="16">
        <v>8291</v>
      </c>
    </row>
    <row r="273" spans="1:10" x14ac:dyDescent="0.3">
      <c r="A273" s="15" t="s">
        <v>10</v>
      </c>
      <c r="B273" s="7" t="s">
        <v>25</v>
      </c>
      <c r="C273" s="7" t="s">
        <v>26</v>
      </c>
      <c r="D273" s="7" t="s">
        <v>191</v>
      </c>
      <c r="E273" s="13">
        <f t="shared" ca="1" si="4"/>
        <v>45775</v>
      </c>
      <c r="F273" s="7" t="s">
        <v>14</v>
      </c>
      <c r="G273" s="8">
        <v>4</v>
      </c>
      <c r="H273" s="9">
        <v>18500</v>
      </c>
      <c r="I273" s="9">
        <v>67427</v>
      </c>
      <c r="J273" s="17">
        <v>8091</v>
      </c>
    </row>
    <row r="274" spans="1:10" x14ac:dyDescent="0.3">
      <c r="A274" s="14" t="s">
        <v>10</v>
      </c>
      <c r="B274" s="4" t="s">
        <v>19</v>
      </c>
      <c r="C274" s="4" t="s">
        <v>12</v>
      </c>
      <c r="D274" s="4" t="s">
        <v>185</v>
      </c>
      <c r="E274" s="13">
        <f t="shared" ca="1" si="4"/>
        <v>45932</v>
      </c>
      <c r="F274" s="4" t="s">
        <v>40</v>
      </c>
      <c r="G274" s="5">
        <v>3</v>
      </c>
      <c r="H274" s="6">
        <v>15000</v>
      </c>
      <c r="I274" s="6">
        <v>49265</v>
      </c>
      <c r="J274" s="16">
        <v>4926</v>
      </c>
    </row>
    <row r="275" spans="1:10" x14ac:dyDescent="0.3">
      <c r="A275" s="15" t="s">
        <v>15</v>
      </c>
      <c r="B275" s="7" t="s">
        <v>84</v>
      </c>
      <c r="C275" s="7" t="s">
        <v>12</v>
      </c>
      <c r="D275" s="7" t="s">
        <v>192</v>
      </c>
      <c r="E275" s="13">
        <f t="shared" ca="1" si="4"/>
        <v>45923</v>
      </c>
      <c r="F275" s="7" t="s">
        <v>36</v>
      </c>
      <c r="G275" s="8">
        <v>3</v>
      </c>
      <c r="H275" s="9">
        <v>55000</v>
      </c>
      <c r="I275" s="9">
        <v>164036</v>
      </c>
      <c r="J275" s="17">
        <v>36088</v>
      </c>
    </row>
    <row r="276" spans="1:10" x14ac:dyDescent="0.3">
      <c r="A276" s="14" t="s">
        <v>18</v>
      </c>
      <c r="B276" s="4" t="s">
        <v>22</v>
      </c>
      <c r="C276" s="4" t="s">
        <v>23</v>
      </c>
      <c r="D276" s="4" t="s">
        <v>100</v>
      </c>
      <c r="E276" s="13">
        <f t="shared" ca="1" si="4"/>
        <v>45994</v>
      </c>
      <c r="F276" s="4" t="s">
        <v>33</v>
      </c>
      <c r="G276" s="5">
        <v>1</v>
      </c>
      <c r="H276" s="6">
        <v>45000</v>
      </c>
      <c r="I276" s="6">
        <v>45730</v>
      </c>
      <c r="J276" s="16">
        <v>8231</v>
      </c>
    </row>
    <row r="277" spans="1:10" x14ac:dyDescent="0.3">
      <c r="A277" s="15" t="s">
        <v>15</v>
      </c>
      <c r="B277" s="7" t="s">
        <v>56</v>
      </c>
      <c r="C277" s="7" t="s">
        <v>23</v>
      </c>
      <c r="D277" s="7" t="s">
        <v>107</v>
      </c>
      <c r="E277" s="13">
        <f t="shared" ca="1" si="4"/>
        <v>45774</v>
      </c>
      <c r="F277" s="7" t="s">
        <v>40</v>
      </c>
      <c r="G277" s="8">
        <v>3</v>
      </c>
      <c r="H277" s="9">
        <v>15000</v>
      </c>
      <c r="I277" s="9">
        <v>45467</v>
      </c>
      <c r="J277" s="17">
        <v>4547</v>
      </c>
    </row>
    <row r="278" spans="1:10" x14ac:dyDescent="0.3">
      <c r="A278" s="14" t="s">
        <v>18</v>
      </c>
      <c r="B278" s="4" t="s">
        <v>77</v>
      </c>
      <c r="C278" s="4" t="s">
        <v>12</v>
      </c>
      <c r="D278" s="4" t="s">
        <v>163</v>
      </c>
      <c r="E278" s="13">
        <f t="shared" ca="1" si="4"/>
        <v>45939</v>
      </c>
      <c r="F278" s="4" t="s">
        <v>33</v>
      </c>
      <c r="G278" s="5">
        <v>2</v>
      </c>
      <c r="H278" s="6">
        <v>45000</v>
      </c>
      <c r="I278" s="6">
        <v>93041</v>
      </c>
      <c r="J278" s="16">
        <v>16747</v>
      </c>
    </row>
    <row r="279" spans="1:10" x14ac:dyDescent="0.3">
      <c r="A279" s="15" t="s">
        <v>15</v>
      </c>
      <c r="B279" s="7" t="s">
        <v>38</v>
      </c>
      <c r="C279" s="7" t="s">
        <v>23</v>
      </c>
      <c r="D279" s="7" t="s">
        <v>193</v>
      </c>
      <c r="E279" s="13">
        <f t="shared" ca="1" si="4"/>
        <v>45743</v>
      </c>
      <c r="F279" s="7" t="s">
        <v>33</v>
      </c>
      <c r="G279" s="8">
        <v>4</v>
      </c>
      <c r="H279" s="9">
        <v>45000</v>
      </c>
      <c r="I279" s="9">
        <v>196581</v>
      </c>
      <c r="J279" s="17">
        <v>35385</v>
      </c>
    </row>
    <row r="280" spans="1:10" x14ac:dyDescent="0.3">
      <c r="A280" s="14" t="s">
        <v>10</v>
      </c>
      <c r="B280" s="4" t="s">
        <v>88</v>
      </c>
      <c r="C280" s="4" t="s">
        <v>12</v>
      </c>
      <c r="D280" s="4" t="s">
        <v>180</v>
      </c>
      <c r="E280" s="13">
        <f t="shared" ca="1" si="4"/>
        <v>45941</v>
      </c>
      <c r="F280" s="4" t="s">
        <v>40</v>
      </c>
      <c r="G280" s="5">
        <v>9</v>
      </c>
      <c r="H280" s="6">
        <v>15000</v>
      </c>
      <c r="I280" s="6">
        <v>124023</v>
      </c>
      <c r="J280" s="16">
        <v>12402</v>
      </c>
    </row>
    <row r="281" spans="1:10" x14ac:dyDescent="0.3">
      <c r="A281" s="15" t="s">
        <v>18</v>
      </c>
      <c r="B281" s="7" t="s">
        <v>25</v>
      </c>
      <c r="C281" s="7" t="s">
        <v>26</v>
      </c>
      <c r="D281" s="7" t="s">
        <v>194</v>
      </c>
      <c r="E281" s="13">
        <f t="shared" ca="1" si="4"/>
        <v>45918</v>
      </c>
      <c r="F281" s="7" t="s">
        <v>36</v>
      </c>
      <c r="G281" s="8">
        <v>5</v>
      </c>
      <c r="H281" s="9">
        <v>55000</v>
      </c>
      <c r="I281" s="9">
        <v>255858</v>
      </c>
      <c r="J281" s="17">
        <v>56289</v>
      </c>
    </row>
    <row r="282" spans="1:10" x14ac:dyDescent="0.3">
      <c r="A282" s="14" t="s">
        <v>10</v>
      </c>
      <c r="B282" s="4" t="s">
        <v>84</v>
      </c>
      <c r="C282" s="4" t="s">
        <v>12</v>
      </c>
      <c r="D282" s="4" t="s">
        <v>195</v>
      </c>
      <c r="E282" s="13">
        <f t="shared" ca="1" si="4"/>
        <v>46019</v>
      </c>
      <c r="F282" s="4" t="s">
        <v>36</v>
      </c>
      <c r="G282" s="5">
        <v>9</v>
      </c>
      <c r="H282" s="6">
        <v>55000</v>
      </c>
      <c r="I282" s="6">
        <v>543177</v>
      </c>
      <c r="J282" s="16">
        <v>119499</v>
      </c>
    </row>
    <row r="283" spans="1:10" x14ac:dyDescent="0.3">
      <c r="A283" s="15" t="s">
        <v>18</v>
      </c>
      <c r="B283" s="7" t="s">
        <v>46</v>
      </c>
      <c r="C283" s="7" t="s">
        <v>26</v>
      </c>
      <c r="D283" s="7" t="s">
        <v>196</v>
      </c>
      <c r="E283" s="13">
        <f t="shared" ca="1" si="4"/>
        <v>45903</v>
      </c>
      <c r="F283" s="7" t="s">
        <v>14</v>
      </c>
      <c r="G283" s="8">
        <v>8</v>
      </c>
      <c r="H283" s="9">
        <v>18500</v>
      </c>
      <c r="I283" s="9">
        <v>142519</v>
      </c>
      <c r="J283" s="17">
        <v>17102</v>
      </c>
    </row>
    <row r="284" spans="1:10" x14ac:dyDescent="0.3">
      <c r="A284" s="14" t="s">
        <v>41</v>
      </c>
      <c r="B284" s="4" t="s">
        <v>84</v>
      </c>
      <c r="C284" s="4" t="s">
        <v>12</v>
      </c>
      <c r="D284" s="4" t="s">
        <v>79</v>
      </c>
      <c r="E284" s="13">
        <f t="shared" ca="1" si="4"/>
        <v>45908</v>
      </c>
      <c r="F284" s="4" t="s">
        <v>14</v>
      </c>
      <c r="G284" s="5">
        <v>7</v>
      </c>
      <c r="H284" s="6">
        <v>18500</v>
      </c>
      <c r="I284" s="6">
        <v>119157</v>
      </c>
      <c r="J284" s="16">
        <v>14299</v>
      </c>
    </row>
    <row r="285" spans="1:10" x14ac:dyDescent="0.3">
      <c r="A285" s="15" t="s">
        <v>41</v>
      </c>
      <c r="B285" s="7" t="s">
        <v>38</v>
      </c>
      <c r="C285" s="7" t="s">
        <v>23</v>
      </c>
      <c r="D285" s="7" t="s">
        <v>121</v>
      </c>
      <c r="E285" s="13">
        <f t="shared" ca="1" si="4"/>
        <v>45686</v>
      </c>
      <c r="F285" s="7" t="s">
        <v>40</v>
      </c>
      <c r="G285" s="8">
        <v>2</v>
      </c>
      <c r="H285" s="9">
        <v>15000</v>
      </c>
      <c r="I285" s="9">
        <v>31070</v>
      </c>
      <c r="J285" s="17">
        <v>3107</v>
      </c>
    </row>
    <row r="286" spans="1:10" x14ac:dyDescent="0.3">
      <c r="A286" s="14" t="s">
        <v>41</v>
      </c>
      <c r="B286" s="4" t="s">
        <v>38</v>
      </c>
      <c r="C286" s="4" t="s">
        <v>23</v>
      </c>
      <c r="D286" s="4" t="s">
        <v>197</v>
      </c>
      <c r="E286" s="13">
        <f t="shared" ca="1" si="4"/>
        <v>45889</v>
      </c>
      <c r="F286" s="4" t="s">
        <v>33</v>
      </c>
      <c r="G286" s="5">
        <v>4</v>
      </c>
      <c r="H286" s="6">
        <v>45000</v>
      </c>
      <c r="I286" s="6">
        <v>197781</v>
      </c>
      <c r="J286" s="16">
        <v>35601</v>
      </c>
    </row>
    <row r="287" spans="1:10" x14ac:dyDescent="0.3">
      <c r="A287" s="15" t="s">
        <v>41</v>
      </c>
      <c r="B287" s="7" t="s">
        <v>81</v>
      </c>
      <c r="C287" s="7" t="s">
        <v>26</v>
      </c>
      <c r="D287" s="7" t="s">
        <v>53</v>
      </c>
      <c r="E287" s="13">
        <f t="shared" ca="1" si="4"/>
        <v>45931</v>
      </c>
      <c r="F287" s="7" t="s">
        <v>36</v>
      </c>
      <c r="G287" s="8">
        <v>10</v>
      </c>
      <c r="H287" s="9">
        <v>55000</v>
      </c>
      <c r="I287" s="9">
        <v>498562</v>
      </c>
      <c r="J287" s="17">
        <v>109684</v>
      </c>
    </row>
    <row r="288" spans="1:10" x14ac:dyDescent="0.3">
      <c r="A288" s="14" t="s">
        <v>37</v>
      </c>
      <c r="B288" s="4" t="s">
        <v>88</v>
      </c>
      <c r="C288" s="4" t="s">
        <v>12</v>
      </c>
      <c r="D288" s="4" t="s">
        <v>198</v>
      </c>
      <c r="E288" s="13">
        <f t="shared" ca="1" si="4"/>
        <v>45765</v>
      </c>
      <c r="F288" s="4" t="s">
        <v>33</v>
      </c>
      <c r="G288" s="5">
        <v>9</v>
      </c>
      <c r="H288" s="6">
        <v>45000</v>
      </c>
      <c r="I288" s="6">
        <v>434723</v>
      </c>
      <c r="J288" s="16">
        <v>78250</v>
      </c>
    </row>
    <row r="289" spans="1:10" x14ac:dyDescent="0.3">
      <c r="A289" s="15" t="s">
        <v>41</v>
      </c>
      <c r="B289" s="7" t="s">
        <v>51</v>
      </c>
      <c r="C289" s="7" t="s">
        <v>12</v>
      </c>
      <c r="D289" s="7" t="s">
        <v>199</v>
      </c>
      <c r="E289" s="13">
        <f t="shared" ca="1" si="4"/>
        <v>45928</v>
      </c>
      <c r="F289" s="7" t="s">
        <v>36</v>
      </c>
      <c r="G289" s="8">
        <v>7</v>
      </c>
      <c r="H289" s="9">
        <v>55000</v>
      </c>
      <c r="I289" s="9">
        <v>359627</v>
      </c>
      <c r="J289" s="17">
        <v>79118</v>
      </c>
    </row>
    <row r="290" spans="1:10" x14ac:dyDescent="0.3">
      <c r="A290" s="14" t="s">
        <v>15</v>
      </c>
      <c r="B290" s="4" t="s">
        <v>51</v>
      </c>
      <c r="C290" s="4" t="s">
        <v>12</v>
      </c>
      <c r="D290" s="4" t="s">
        <v>65</v>
      </c>
      <c r="E290" s="13">
        <f t="shared" ca="1" si="4"/>
        <v>45919</v>
      </c>
      <c r="F290" s="4" t="s">
        <v>14</v>
      </c>
      <c r="G290" s="5">
        <v>7</v>
      </c>
      <c r="H290" s="6">
        <v>18500</v>
      </c>
      <c r="I290" s="6">
        <v>123099</v>
      </c>
      <c r="J290" s="16">
        <v>14772</v>
      </c>
    </row>
    <row r="291" spans="1:10" x14ac:dyDescent="0.3">
      <c r="A291" s="15" t="s">
        <v>10</v>
      </c>
      <c r="B291" s="7" t="s">
        <v>11</v>
      </c>
      <c r="C291" s="7" t="s">
        <v>12</v>
      </c>
      <c r="D291" s="7" t="s">
        <v>58</v>
      </c>
      <c r="E291" s="13">
        <f t="shared" ca="1" si="4"/>
        <v>45876</v>
      </c>
      <c r="F291" s="7" t="s">
        <v>14</v>
      </c>
      <c r="G291" s="8">
        <v>8</v>
      </c>
      <c r="H291" s="9">
        <v>18500</v>
      </c>
      <c r="I291" s="9">
        <v>152011</v>
      </c>
      <c r="J291" s="17">
        <v>18241</v>
      </c>
    </row>
    <row r="292" spans="1:10" x14ac:dyDescent="0.3">
      <c r="A292" s="14" t="s">
        <v>10</v>
      </c>
      <c r="B292" s="4" t="s">
        <v>25</v>
      </c>
      <c r="C292" s="4" t="s">
        <v>26</v>
      </c>
      <c r="D292" s="4" t="s">
        <v>92</v>
      </c>
      <c r="E292" s="13">
        <f t="shared" ca="1" si="4"/>
        <v>45906</v>
      </c>
      <c r="F292" s="4" t="s">
        <v>21</v>
      </c>
      <c r="G292" s="5">
        <v>3</v>
      </c>
      <c r="H292" s="6">
        <v>12500</v>
      </c>
      <c r="I292" s="6">
        <v>36767</v>
      </c>
      <c r="J292" s="16">
        <v>2941</v>
      </c>
    </row>
    <row r="293" spans="1:10" x14ac:dyDescent="0.3">
      <c r="A293" s="15" t="s">
        <v>18</v>
      </c>
      <c r="B293" s="7" t="s">
        <v>29</v>
      </c>
      <c r="C293" s="7" t="s">
        <v>26</v>
      </c>
      <c r="D293" s="7" t="s">
        <v>193</v>
      </c>
      <c r="E293" s="13">
        <f t="shared" ca="1" si="4"/>
        <v>45726</v>
      </c>
      <c r="F293" s="7" t="s">
        <v>14</v>
      </c>
      <c r="G293" s="8">
        <v>8</v>
      </c>
      <c r="H293" s="9">
        <v>18500</v>
      </c>
      <c r="I293" s="9">
        <v>135297</v>
      </c>
      <c r="J293" s="17">
        <v>16236</v>
      </c>
    </row>
    <row r="294" spans="1:10" x14ac:dyDescent="0.3">
      <c r="A294" s="14" t="s">
        <v>15</v>
      </c>
      <c r="B294" s="4" t="s">
        <v>77</v>
      </c>
      <c r="C294" s="4" t="s">
        <v>12</v>
      </c>
      <c r="D294" s="4" t="s">
        <v>200</v>
      </c>
      <c r="E294" s="13">
        <f t="shared" ca="1" si="4"/>
        <v>45805</v>
      </c>
      <c r="F294" s="4" t="s">
        <v>40</v>
      </c>
      <c r="G294" s="5">
        <v>9</v>
      </c>
      <c r="H294" s="6">
        <v>15000</v>
      </c>
      <c r="I294" s="6">
        <v>145838</v>
      </c>
      <c r="J294" s="16">
        <v>14584</v>
      </c>
    </row>
    <row r="295" spans="1:10" x14ac:dyDescent="0.3">
      <c r="A295" s="15" t="s">
        <v>37</v>
      </c>
      <c r="B295" s="7" t="s">
        <v>88</v>
      </c>
      <c r="C295" s="7" t="s">
        <v>12</v>
      </c>
      <c r="D295" s="7" t="s">
        <v>52</v>
      </c>
      <c r="E295" s="13">
        <f t="shared" ca="1" si="4"/>
        <v>45986</v>
      </c>
      <c r="F295" s="7" t="s">
        <v>33</v>
      </c>
      <c r="G295" s="8">
        <v>7</v>
      </c>
      <c r="H295" s="9">
        <v>45000</v>
      </c>
      <c r="I295" s="9">
        <v>334593</v>
      </c>
      <c r="J295" s="17">
        <v>60227</v>
      </c>
    </row>
    <row r="296" spans="1:10" x14ac:dyDescent="0.3">
      <c r="A296" s="14" t="s">
        <v>37</v>
      </c>
      <c r="B296" s="4" t="s">
        <v>46</v>
      </c>
      <c r="C296" s="4" t="s">
        <v>26</v>
      </c>
      <c r="D296" s="4" t="s">
        <v>111</v>
      </c>
      <c r="E296" s="13">
        <f t="shared" ca="1" si="4"/>
        <v>45707</v>
      </c>
      <c r="F296" s="4" t="s">
        <v>14</v>
      </c>
      <c r="G296" s="5">
        <v>5</v>
      </c>
      <c r="H296" s="6">
        <v>18500</v>
      </c>
      <c r="I296" s="6">
        <v>100853</v>
      </c>
      <c r="J296" s="16">
        <v>12102</v>
      </c>
    </row>
    <row r="297" spans="1:10" x14ac:dyDescent="0.3">
      <c r="A297" s="15" t="s">
        <v>15</v>
      </c>
      <c r="B297" s="7" t="s">
        <v>56</v>
      </c>
      <c r="C297" s="7" t="s">
        <v>23</v>
      </c>
      <c r="D297" s="7" t="s">
        <v>45</v>
      </c>
      <c r="E297" s="13">
        <f t="shared" ca="1" si="4"/>
        <v>46019</v>
      </c>
      <c r="F297" s="7" t="s">
        <v>14</v>
      </c>
      <c r="G297" s="8">
        <v>5</v>
      </c>
      <c r="H297" s="9">
        <v>18500</v>
      </c>
      <c r="I297" s="9">
        <v>86755</v>
      </c>
      <c r="J297" s="17">
        <v>10411</v>
      </c>
    </row>
    <row r="298" spans="1:10" x14ac:dyDescent="0.3">
      <c r="A298" s="14" t="s">
        <v>10</v>
      </c>
      <c r="B298" s="4" t="s">
        <v>84</v>
      </c>
      <c r="C298" s="4" t="s">
        <v>12</v>
      </c>
      <c r="D298" s="4" t="s">
        <v>141</v>
      </c>
      <c r="E298" s="13">
        <f t="shared" ca="1" si="4"/>
        <v>45682</v>
      </c>
      <c r="F298" s="4" t="s">
        <v>40</v>
      </c>
      <c r="G298" s="5">
        <v>6</v>
      </c>
      <c r="H298" s="6">
        <v>15000</v>
      </c>
      <c r="I298" s="6">
        <v>81328</v>
      </c>
      <c r="J298" s="16">
        <v>8133</v>
      </c>
    </row>
    <row r="299" spans="1:10" x14ac:dyDescent="0.3">
      <c r="A299" s="15" t="s">
        <v>37</v>
      </c>
      <c r="B299" s="7" t="s">
        <v>19</v>
      </c>
      <c r="C299" s="7" t="s">
        <v>12</v>
      </c>
      <c r="D299" s="7" t="s">
        <v>115</v>
      </c>
      <c r="E299" s="13">
        <f t="shared" ca="1" si="4"/>
        <v>45747</v>
      </c>
      <c r="F299" s="7" t="s">
        <v>40</v>
      </c>
      <c r="G299" s="8">
        <v>5</v>
      </c>
      <c r="H299" s="9">
        <v>15000</v>
      </c>
      <c r="I299" s="9">
        <v>79738</v>
      </c>
      <c r="J299" s="17">
        <v>7974</v>
      </c>
    </row>
    <row r="300" spans="1:10" x14ac:dyDescent="0.3">
      <c r="A300" s="14" t="s">
        <v>41</v>
      </c>
      <c r="B300" s="4" t="s">
        <v>81</v>
      </c>
      <c r="C300" s="4" t="s">
        <v>26</v>
      </c>
      <c r="D300" s="4" t="s">
        <v>201</v>
      </c>
      <c r="E300" s="13">
        <f t="shared" ca="1" si="4"/>
        <v>45786</v>
      </c>
      <c r="F300" s="4" t="s">
        <v>40</v>
      </c>
      <c r="G300" s="5">
        <v>8</v>
      </c>
      <c r="H300" s="6">
        <v>15000</v>
      </c>
      <c r="I300" s="6">
        <v>109003</v>
      </c>
      <c r="J300" s="16">
        <v>10900</v>
      </c>
    </row>
    <row r="301" spans="1:10" x14ac:dyDescent="0.3">
      <c r="A301" s="15" t="s">
        <v>41</v>
      </c>
      <c r="B301" s="7" t="s">
        <v>16</v>
      </c>
      <c r="C301" s="7" t="s">
        <v>12</v>
      </c>
      <c r="D301" s="7" t="s">
        <v>71</v>
      </c>
      <c r="E301" s="13">
        <f t="shared" ca="1" si="4"/>
        <v>45895</v>
      </c>
      <c r="F301" s="7" t="s">
        <v>40</v>
      </c>
      <c r="G301" s="8">
        <v>9</v>
      </c>
      <c r="H301" s="9">
        <v>15000</v>
      </c>
      <c r="I301" s="9">
        <v>144684</v>
      </c>
      <c r="J301" s="17">
        <v>14468</v>
      </c>
    </row>
    <row r="302" spans="1:10" x14ac:dyDescent="0.3">
      <c r="A302" s="14" t="s">
        <v>18</v>
      </c>
      <c r="B302" s="4" t="s">
        <v>11</v>
      </c>
      <c r="C302" s="4" t="s">
        <v>12</v>
      </c>
      <c r="D302" s="4" t="s">
        <v>65</v>
      </c>
      <c r="E302" s="13">
        <f t="shared" ca="1" si="4"/>
        <v>45678</v>
      </c>
      <c r="F302" s="4" t="s">
        <v>14</v>
      </c>
      <c r="G302" s="5">
        <v>5</v>
      </c>
      <c r="H302" s="6">
        <v>18500</v>
      </c>
      <c r="I302" s="6">
        <v>85047</v>
      </c>
      <c r="J302" s="16">
        <v>10206</v>
      </c>
    </row>
    <row r="303" spans="1:10" x14ac:dyDescent="0.3">
      <c r="A303" s="15" t="s">
        <v>37</v>
      </c>
      <c r="B303" s="7" t="s">
        <v>51</v>
      </c>
      <c r="C303" s="7" t="s">
        <v>12</v>
      </c>
      <c r="D303" s="7" t="s">
        <v>35</v>
      </c>
      <c r="E303" s="13">
        <f t="shared" ca="1" si="4"/>
        <v>45859</v>
      </c>
      <c r="F303" s="7" t="s">
        <v>14</v>
      </c>
      <c r="G303" s="8">
        <v>6</v>
      </c>
      <c r="H303" s="9">
        <v>18500</v>
      </c>
      <c r="I303" s="9">
        <v>112312</v>
      </c>
      <c r="J303" s="17">
        <v>13477</v>
      </c>
    </row>
    <row r="304" spans="1:10" x14ac:dyDescent="0.3">
      <c r="A304" s="14" t="s">
        <v>15</v>
      </c>
      <c r="B304" s="4" t="s">
        <v>16</v>
      </c>
      <c r="C304" s="4" t="s">
        <v>12</v>
      </c>
      <c r="D304" s="4" t="s">
        <v>52</v>
      </c>
      <c r="E304" s="13">
        <f t="shared" ca="1" si="4"/>
        <v>45818</v>
      </c>
      <c r="F304" s="4" t="s">
        <v>33</v>
      </c>
      <c r="G304" s="5">
        <v>7</v>
      </c>
      <c r="H304" s="6">
        <v>45000</v>
      </c>
      <c r="I304" s="6">
        <v>342874</v>
      </c>
      <c r="J304" s="16">
        <v>61717</v>
      </c>
    </row>
    <row r="305" spans="1:10" x14ac:dyDescent="0.3">
      <c r="A305" s="15" t="s">
        <v>10</v>
      </c>
      <c r="B305" s="7" t="s">
        <v>22</v>
      </c>
      <c r="C305" s="7" t="s">
        <v>23</v>
      </c>
      <c r="D305" s="7" t="s">
        <v>158</v>
      </c>
      <c r="E305" s="13">
        <f t="shared" ca="1" si="4"/>
        <v>45768</v>
      </c>
      <c r="F305" s="7" t="s">
        <v>33</v>
      </c>
      <c r="G305" s="8">
        <v>1</v>
      </c>
      <c r="H305" s="9">
        <v>45000</v>
      </c>
      <c r="I305" s="9">
        <v>43331</v>
      </c>
      <c r="J305" s="17">
        <v>7800</v>
      </c>
    </row>
    <row r="306" spans="1:10" x14ac:dyDescent="0.3">
      <c r="A306" s="14" t="s">
        <v>10</v>
      </c>
      <c r="B306" s="4" t="s">
        <v>11</v>
      </c>
      <c r="C306" s="4" t="s">
        <v>12</v>
      </c>
      <c r="D306" s="4" t="s">
        <v>71</v>
      </c>
      <c r="E306" s="13">
        <f t="shared" ca="1" si="4"/>
        <v>45986</v>
      </c>
      <c r="F306" s="4" t="s">
        <v>21</v>
      </c>
      <c r="G306" s="5">
        <v>3</v>
      </c>
      <c r="H306" s="6">
        <v>12500</v>
      </c>
      <c r="I306" s="6">
        <v>35323</v>
      </c>
      <c r="J306" s="16">
        <v>2826</v>
      </c>
    </row>
    <row r="307" spans="1:10" x14ac:dyDescent="0.3">
      <c r="A307" s="15" t="s">
        <v>15</v>
      </c>
      <c r="B307" s="7" t="s">
        <v>25</v>
      </c>
      <c r="C307" s="7" t="s">
        <v>26</v>
      </c>
      <c r="D307" s="7" t="s">
        <v>80</v>
      </c>
      <c r="E307" s="13">
        <f t="shared" ca="1" si="4"/>
        <v>45763</v>
      </c>
      <c r="F307" s="7" t="s">
        <v>36</v>
      </c>
      <c r="G307" s="8">
        <v>8</v>
      </c>
      <c r="H307" s="9">
        <v>55000</v>
      </c>
      <c r="I307" s="9">
        <v>449314</v>
      </c>
      <c r="J307" s="17">
        <v>98849</v>
      </c>
    </row>
    <row r="308" spans="1:10" x14ac:dyDescent="0.3">
      <c r="A308" s="14" t="s">
        <v>41</v>
      </c>
      <c r="B308" s="4" t="s">
        <v>56</v>
      </c>
      <c r="C308" s="4" t="s">
        <v>23</v>
      </c>
      <c r="D308" s="4" t="s">
        <v>202</v>
      </c>
      <c r="E308" s="13">
        <f t="shared" ca="1" si="4"/>
        <v>45927</v>
      </c>
      <c r="F308" s="4" t="s">
        <v>14</v>
      </c>
      <c r="G308" s="5">
        <v>3</v>
      </c>
      <c r="H308" s="6">
        <v>18500</v>
      </c>
      <c r="I308" s="6">
        <v>53380</v>
      </c>
      <c r="J308" s="16">
        <v>6406</v>
      </c>
    </row>
    <row r="309" spans="1:10" x14ac:dyDescent="0.3">
      <c r="A309" s="15" t="s">
        <v>37</v>
      </c>
      <c r="B309" s="7" t="s">
        <v>77</v>
      </c>
      <c r="C309" s="7" t="s">
        <v>12</v>
      </c>
      <c r="D309" s="7" t="s">
        <v>82</v>
      </c>
      <c r="E309" s="13">
        <f t="shared" ca="1" si="4"/>
        <v>45666</v>
      </c>
      <c r="F309" s="7" t="s">
        <v>21</v>
      </c>
      <c r="G309" s="8">
        <v>9</v>
      </c>
      <c r="H309" s="9">
        <v>12500</v>
      </c>
      <c r="I309" s="9">
        <v>113549</v>
      </c>
      <c r="J309" s="17">
        <v>9084</v>
      </c>
    </row>
    <row r="310" spans="1:10" x14ac:dyDescent="0.3">
      <c r="A310" s="14" t="s">
        <v>10</v>
      </c>
      <c r="B310" s="4" t="s">
        <v>84</v>
      </c>
      <c r="C310" s="4" t="s">
        <v>12</v>
      </c>
      <c r="D310" s="4" t="s">
        <v>185</v>
      </c>
      <c r="E310" s="13">
        <f t="shared" ca="1" si="4"/>
        <v>45740</v>
      </c>
      <c r="F310" s="4" t="s">
        <v>40</v>
      </c>
      <c r="G310" s="5">
        <v>1</v>
      </c>
      <c r="H310" s="6">
        <v>15000</v>
      </c>
      <c r="I310" s="6">
        <v>16372</v>
      </c>
      <c r="J310" s="16">
        <v>1637</v>
      </c>
    </row>
    <row r="311" spans="1:10" x14ac:dyDescent="0.3">
      <c r="A311" s="15" t="s">
        <v>15</v>
      </c>
      <c r="B311" s="7" t="s">
        <v>84</v>
      </c>
      <c r="C311" s="7" t="s">
        <v>12</v>
      </c>
      <c r="D311" s="7" t="s">
        <v>53</v>
      </c>
      <c r="E311" s="13">
        <f t="shared" ca="1" si="4"/>
        <v>45818</v>
      </c>
      <c r="F311" s="7" t="s">
        <v>36</v>
      </c>
      <c r="G311" s="8">
        <v>10</v>
      </c>
      <c r="H311" s="9">
        <v>55000</v>
      </c>
      <c r="I311" s="9">
        <v>520026</v>
      </c>
      <c r="J311" s="17">
        <v>114406</v>
      </c>
    </row>
    <row r="312" spans="1:10" x14ac:dyDescent="0.3">
      <c r="A312" s="14" t="s">
        <v>18</v>
      </c>
      <c r="B312" s="4" t="s">
        <v>88</v>
      </c>
      <c r="C312" s="4" t="s">
        <v>12</v>
      </c>
      <c r="D312" s="4" t="s">
        <v>78</v>
      </c>
      <c r="E312" s="13">
        <f t="shared" ca="1" si="4"/>
        <v>45921</v>
      </c>
      <c r="F312" s="4" t="s">
        <v>14</v>
      </c>
      <c r="G312" s="5">
        <v>3</v>
      </c>
      <c r="H312" s="6">
        <v>18500</v>
      </c>
      <c r="I312" s="6">
        <v>55162</v>
      </c>
      <c r="J312" s="16">
        <v>6619</v>
      </c>
    </row>
    <row r="313" spans="1:10" x14ac:dyDescent="0.3">
      <c r="A313" s="15" t="s">
        <v>18</v>
      </c>
      <c r="B313" s="7" t="s">
        <v>84</v>
      </c>
      <c r="C313" s="7" t="s">
        <v>12</v>
      </c>
      <c r="D313" s="7" t="s">
        <v>137</v>
      </c>
      <c r="E313" s="13">
        <f t="shared" ca="1" si="4"/>
        <v>45983</v>
      </c>
      <c r="F313" s="7" t="s">
        <v>14</v>
      </c>
      <c r="G313" s="8">
        <v>5</v>
      </c>
      <c r="H313" s="9">
        <v>18500</v>
      </c>
      <c r="I313" s="9">
        <v>85915</v>
      </c>
      <c r="J313" s="17">
        <v>10310</v>
      </c>
    </row>
    <row r="314" spans="1:10" x14ac:dyDescent="0.3">
      <c r="A314" s="14" t="s">
        <v>37</v>
      </c>
      <c r="B314" s="4" t="s">
        <v>22</v>
      </c>
      <c r="C314" s="4" t="s">
        <v>23</v>
      </c>
      <c r="D314" s="4" t="s">
        <v>159</v>
      </c>
      <c r="E314" s="13">
        <f t="shared" ca="1" si="4"/>
        <v>46019</v>
      </c>
      <c r="F314" s="4" t="s">
        <v>33</v>
      </c>
      <c r="G314" s="5">
        <v>8</v>
      </c>
      <c r="H314" s="6">
        <v>45000</v>
      </c>
      <c r="I314" s="6">
        <v>350726</v>
      </c>
      <c r="J314" s="16">
        <v>63131</v>
      </c>
    </row>
    <row r="315" spans="1:10" x14ac:dyDescent="0.3">
      <c r="A315" s="15" t="s">
        <v>15</v>
      </c>
      <c r="B315" s="7" t="s">
        <v>19</v>
      </c>
      <c r="C315" s="7" t="s">
        <v>12</v>
      </c>
      <c r="D315" s="7" t="s">
        <v>172</v>
      </c>
      <c r="E315" s="13">
        <f t="shared" ca="1" si="4"/>
        <v>45790</v>
      </c>
      <c r="F315" s="7" t="s">
        <v>36</v>
      </c>
      <c r="G315" s="8">
        <v>7</v>
      </c>
      <c r="H315" s="9">
        <v>55000</v>
      </c>
      <c r="I315" s="9">
        <v>351294</v>
      </c>
      <c r="J315" s="17">
        <v>77285</v>
      </c>
    </row>
    <row r="316" spans="1:10" x14ac:dyDescent="0.3">
      <c r="A316" s="14" t="s">
        <v>15</v>
      </c>
      <c r="B316" s="4" t="s">
        <v>88</v>
      </c>
      <c r="C316" s="4" t="s">
        <v>12</v>
      </c>
      <c r="D316" s="4" t="s">
        <v>13</v>
      </c>
      <c r="E316" s="13">
        <f t="shared" ca="1" si="4"/>
        <v>45856</v>
      </c>
      <c r="F316" s="4" t="s">
        <v>14</v>
      </c>
      <c r="G316" s="5">
        <v>8</v>
      </c>
      <c r="H316" s="6">
        <v>18500</v>
      </c>
      <c r="I316" s="6">
        <v>143462</v>
      </c>
      <c r="J316" s="16">
        <v>17215</v>
      </c>
    </row>
    <row r="317" spans="1:10" x14ac:dyDescent="0.3">
      <c r="A317" s="15" t="s">
        <v>18</v>
      </c>
      <c r="B317" s="7" t="s">
        <v>84</v>
      </c>
      <c r="C317" s="7" t="s">
        <v>12</v>
      </c>
      <c r="D317" s="7" t="s">
        <v>162</v>
      </c>
      <c r="E317" s="13">
        <f t="shared" ca="1" si="4"/>
        <v>45794</v>
      </c>
      <c r="F317" s="7" t="s">
        <v>21</v>
      </c>
      <c r="G317" s="8">
        <v>6</v>
      </c>
      <c r="H317" s="9">
        <v>12500</v>
      </c>
      <c r="I317" s="9">
        <v>76066</v>
      </c>
      <c r="J317" s="17">
        <v>6085</v>
      </c>
    </row>
    <row r="318" spans="1:10" x14ac:dyDescent="0.3">
      <c r="A318" s="14" t="s">
        <v>37</v>
      </c>
      <c r="B318" s="4" t="s">
        <v>16</v>
      </c>
      <c r="C318" s="4" t="s">
        <v>12</v>
      </c>
      <c r="D318" s="4" t="s">
        <v>164</v>
      </c>
      <c r="E318" s="13">
        <f t="shared" ca="1" si="4"/>
        <v>45805</v>
      </c>
      <c r="F318" s="4" t="s">
        <v>36</v>
      </c>
      <c r="G318" s="5">
        <v>8</v>
      </c>
      <c r="H318" s="6">
        <v>55000</v>
      </c>
      <c r="I318" s="6">
        <v>441004</v>
      </c>
      <c r="J318" s="16">
        <v>97021</v>
      </c>
    </row>
    <row r="319" spans="1:10" x14ac:dyDescent="0.3">
      <c r="A319" s="15" t="s">
        <v>18</v>
      </c>
      <c r="B319" s="7" t="s">
        <v>29</v>
      </c>
      <c r="C319" s="7" t="s">
        <v>26</v>
      </c>
      <c r="D319" s="7" t="s">
        <v>203</v>
      </c>
      <c r="E319" s="13">
        <f t="shared" ca="1" si="4"/>
        <v>45809</v>
      </c>
      <c r="F319" s="7" t="s">
        <v>33</v>
      </c>
      <c r="G319" s="8">
        <v>4</v>
      </c>
      <c r="H319" s="9">
        <v>45000</v>
      </c>
      <c r="I319" s="9">
        <v>192093</v>
      </c>
      <c r="J319" s="17">
        <v>34577</v>
      </c>
    </row>
    <row r="320" spans="1:10" x14ac:dyDescent="0.3">
      <c r="A320" s="14" t="s">
        <v>37</v>
      </c>
      <c r="B320" s="4" t="s">
        <v>29</v>
      </c>
      <c r="C320" s="4" t="s">
        <v>26</v>
      </c>
      <c r="D320" s="4" t="s">
        <v>198</v>
      </c>
      <c r="E320" s="13">
        <f t="shared" ca="1" si="4"/>
        <v>45926</v>
      </c>
      <c r="F320" s="4" t="s">
        <v>36</v>
      </c>
      <c r="G320" s="5">
        <v>5</v>
      </c>
      <c r="H320" s="6">
        <v>55000</v>
      </c>
      <c r="I320" s="6">
        <v>281517</v>
      </c>
      <c r="J320" s="16">
        <v>61934</v>
      </c>
    </row>
    <row r="321" spans="1:10" x14ac:dyDescent="0.3">
      <c r="A321" s="15" t="s">
        <v>41</v>
      </c>
      <c r="B321" s="7" t="s">
        <v>31</v>
      </c>
      <c r="C321" s="7" t="s">
        <v>12</v>
      </c>
      <c r="D321" s="7" t="s">
        <v>160</v>
      </c>
      <c r="E321" s="13">
        <f t="shared" ca="1" si="4"/>
        <v>45670</v>
      </c>
      <c r="F321" s="7" t="s">
        <v>36</v>
      </c>
      <c r="G321" s="8">
        <v>1</v>
      </c>
      <c r="H321" s="9">
        <v>55000</v>
      </c>
      <c r="I321" s="9">
        <v>51554</v>
      </c>
      <c r="J321" s="17">
        <v>11342</v>
      </c>
    </row>
    <row r="322" spans="1:10" x14ac:dyDescent="0.3">
      <c r="A322" s="14" t="s">
        <v>15</v>
      </c>
      <c r="B322" s="4" t="s">
        <v>84</v>
      </c>
      <c r="C322" s="4" t="s">
        <v>12</v>
      </c>
      <c r="D322" s="4" t="s">
        <v>169</v>
      </c>
      <c r="E322" s="13">
        <f t="shared" ca="1" si="4"/>
        <v>45704</v>
      </c>
      <c r="F322" s="4" t="s">
        <v>21</v>
      </c>
      <c r="G322" s="5">
        <v>1</v>
      </c>
      <c r="H322" s="6">
        <v>12500</v>
      </c>
      <c r="I322" s="6">
        <v>11849</v>
      </c>
      <c r="J322" s="16">
        <v>948</v>
      </c>
    </row>
    <row r="323" spans="1:10" x14ac:dyDescent="0.3">
      <c r="A323" s="15" t="s">
        <v>41</v>
      </c>
      <c r="B323" s="7" t="s">
        <v>88</v>
      </c>
      <c r="C323" s="7" t="s">
        <v>12</v>
      </c>
      <c r="D323" s="7" t="s">
        <v>204</v>
      </c>
      <c r="E323" s="13">
        <f t="shared" ref="E323:E386" ca="1" si="5">DATE(2025,1,1)+RANDBETWEEN(0,364)</f>
        <v>45896</v>
      </c>
      <c r="F323" s="7" t="s">
        <v>14</v>
      </c>
      <c r="G323" s="8">
        <v>2</v>
      </c>
      <c r="H323" s="9">
        <v>18500</v>
      </c>
      <c r="I323" s="9">
        <v>34611</v>
      </c>
      <c r="J323" s="17">
        <v>4153</v>
      </c>
    </row>
    <row r="324" spans="1:10" x14ac:dyDescent="0.3">
      <c r="A324" s="14" t="s">
        <v>10</v>
      </c>
      <c r="B324" s="4" t="s">
        <v>84</v>
      </c>
      <c r="C324" s="4" t="s">
        <v>12</v>
      </c>
      <c r="D324" s="4" t="s">
        <v>205</v>
      </c>
      <c r="E324" s="13">
        <f t="shared" ca="1" si="5"/>
        <v>45935</v>
      </c>
      <c r="F324" s="4" t="s">
        <v>14</v>
      </c>
      <c r="G324" s="5">
        <v>9</v>
      </c>
      <c r="H324" s="6">
        <v>18500</v>
      </c>
      <c r="I324" s="6">
        <v>157092</v>
      </c>
      <c r="J324" s="16">
        <v>18851</v>
      </c>
    </row>
    <row r="325" spans="1:10" x14ac:dyDescent="0.3">
      <c r="A325" s="15" t="s">
        <v>15</v>
      </c>
      <c r="B325" s="7" t="s">
        <v>19</v>
      </c>
      <c r="C325" s="7" t="s">
        <v>12</v>
      </c>
      <c r="D325" s="7" t="s">
        <v>111</v>
      </c>
      <c r="E325" s="13">
        <f t="shared" ca="1" si="5"/>
        <v>46001</v>
      </c>
      <c r="F325" s="7" t="s">
        <v>40</v>
      </c>
      <c r="G325" s="8">
        <v>8</v>
      </c>
      <c r="H325" s="9">
        <v>15000</v>
      </c>
      <c r="I325" s="9">
        <v>112792</v>
      </c>
      <c r="J325" s="17">
        <v>11279</v>
      </c>
    </row>
    <row r="326" spans="1:10" x14ac:dyDescent="0.3">
      <c r="A326" s="14" t="s">
        <v>37</v>
      </c>
      <c r="B326" s="4" t="s">
        <v>88</v>
      </c>
      <c r="C326" s="4" t="s">
        <v>12</v>
      </c>
      <c r="D326" s="4" t="s">
        <v>49</v>
      </c>
      <c r="E326" s="13">
        <f t="shared" ca="1" si="5"/>
        <v>45689</v>
      </c>
      <c r="F326" s="4" t="s">
        <v>40</v>
      </c>
      <c r="G326" s="5">
        <v>2</v>
      </c>
      <c r="H326" s="6">
        <v>15000</v>
      </c>
      <c r="I326" s="6">
        <v>30788</v>
      </c>
      <c r="J326" s="16">
        <v>3079</v>
      </c>
    </row>
    <row r="327" spans="1:10" x14ac:dyDescent="0.3">
      <c r="A327" s="15" t="s">
        <v>37</v>
      </c>
      <c r="B327" s="7" t="s">
        <v>19</v>
      </c>
      <c r="C327" s="7" t="s">
        <v>12</v>
      </c>
      <c r="D327" s="7" t="s">
        <v>206</v>
      </c>
      <c r="E327" s="13">
        <f t="shared" ca="1" si="5"/>
        <v>45808</v>
      </c>
      <c r="F327" s="7" t="s">
        <v>33</v>
      </c>
      <c r="G327" s="8">
        <v>8</v>
      </c>
      <c r="H327" s="9">
        <v>45000</v>
      </c>
      <c r="I327" s="9">
        <v>335255</v>
      </c>
      <c r="J327" s="17">
        <v>60346</v>
      </c>
    </row>
    <row r="328" spans="1:10" x14ac:dyDescent="0.3">
      <c r="A328" s="14" t="s">
        <v>10</v>
      </c>
      <c r="B328" s="4" t="s">
        <v>25</v>
      </c>
      <c r="C328" s="4" t="s">
        <v>26</v>
      </c>
      <c r="D328" s="4" t="s">
        <v>157</v>
      </c>
      <c r="E328" s="13">
        <f t="shared" ca="1" si="5"/>
        <v>45768</v>
      </c>
      <c r="F328" s="4" t="s">
        <v>14</v>
      </c>
      <c r="G328" s="5">
        <v>9</v>
      </c>
      <c r="H328" s="6">
        <v>18500</v>
      </c>
      <c r="I328" s="6">
        <v>178117</v>
      </c>
      <c r="J328" s="16">
        <v>21374</v>
      </c>
    </row>
    <row r="329" spans="1:10" x14ac:dyDescent="0.3">
      <c r="A329" s="15" t="s">
        <v>41</v>
      </c>
      <c r="B329" s="7" t="s">
        <v>56</v>
      </c>
      <c r="C329" s="7" t="s">
        <v>23</v>
      </c>
      <c r="D329" s="7" t="s">
        <v>207</v>
      </c>
      <c r="E329" s="13">
        <f t="shared" ca="1" si="5"/>
        <v>45906</v>
      </c>
      <c r="F329" s="7" t="s">
        <v>14</v>
      </c>
      <c r="G329" s="8">
        <v>9</v>
      </c>
      <c r="H329" s="9">
        <v>18500</v>
      </c>
      <c r="I329" s="9">
        <v>159374</v>
      </c>
      <c r="J329" s="17">
        <v>19125</v>
      </c>
    </row>
    <row r="330" spans="1:10" x14ac:dyDescent="0.3">
      <c r="A330" s="14" t="s">
        <v>37</v>
      </c>
      <c r="B330" s="4" t="s">
        <v>51</v>
      </c>
      <c r="C330" s="4" t="s">
        <v>12</v>
      </c>
      <c r="D330" s="4" t="s">
        <v>187</v>
      </c>
      <c r="E330" s="13">
        <f t="shared" ca="1" si="5"/>
        <v>45876</v>
      </c>
      <c r="F330" s="4" t="s">
        <v>33</v>
      </c>
      <c r="G330" s="5">
        <v>9</v>
      </c>
      <c r="H330" s="6">
        <v>45000</v>
      </c>
      <c r="I330" s="6">
        <v>425321</v>
      </c>
      <c r="J330" s="16">
        <v>76558</v>
      </c>
    </row>
    <row r="331" spans="1:10" x14ac:dyDescent="0.3">
      <c r="A331" s="15" t="s">
        <v>15</v>
      </c>
      <c r="B331" s="7" t="s">
        <v>16</v>
      </c>
      <c r="C331" s="7" t="s">
        <v>12</v>
      </c>
      <c r="D331" s="7" t="s">
        <v>192</v>
      </c>
      <c r="E331" s="13">
        <f t="shared" ca="1" si="5"/>
        <v>45963</v>
      </c>
      <c r="F331" s="7" t="s">
        <v>21</v>
      </c>
      <c r="G331" s="8">
        <v>9</v>
      </c>
      <c r="H331" s="9">
        <v>12500</v>
      </c>
      <c r="I331" s="9">
        <v>111622</v>
      </c>
      <c r="J331" s="17">
        <v>8930</v>
      </c>
    </row>
    <row r="332" spans="1:10" x14ac:dyDescent="0.3">
      <c r="A332" s="14" t="s">
        <v>10</v>
      </c>
      <c r="B332" s="4" t="s">
        <v>46</v>
      </c>
      <c r="C332" s="4" t="s">
        <v>26</v>
      </c>
      <c r="D332" s="4" t="s">
        <v>138</v>
      </c>
      <c r="E332" s="13">
        <f t="shared" ca="1" si="5"/>
        <v>45811</v>
      </c>
      <c r="F332" s="4" t="s">
        <v>36</v>
      </c>
      <c r="G332" s="5">
        <v>4</v>
      </c>
      <c r="H332" s="6">
        <v>55000</v>
      </c>
      <c r="I332" s="6">
        <v>218021</v>
      </c>
      <c r="J332" s="16">
        <v>47965</v>
      </c>
    </row>
    <row r="333" spans="1:10" x14ac:dyDescent="0.3">
      <c r="A333" s="15" t="s">
        <v>37</v>
      </c>
      <c r="B333" s="7" t="s">
        <v>22</v>
      </c>
      <c r="C333" s="7" t="s">
        <v>23</v>
      </c>
      <c r="D333" s="7" t="s">
        <v>208</v>
      </c>
      <c r="E333" s="13">
        <f t="shared" ca="1" si="5"/>
        <v>45718</v>
      </c>
      <c r="F333" s="7" t="s">
        <v>21</v>
      </c>
      <c r="G333" s="8">
        <v>8</v>
      </c>
      <c r="H333" s="9">
        <v>12500</v>
      </c>
      <c r="I333" s="9">
        <v>103398</v>
      </c>
      <c r="J333" s="17">
        <v>8272</v>
      </c>
    </row>
    <row r="334" spans="1:10" x14ac:dyDescent="0.3">
      <c r="A334" s="14" t="s">
        <v>41</v>
      </c>
      <c r="B334" s="4" t="s">
        <v>22</v>
      </c>
      <c r="C334" s="4" t="s">
        <v>23</v>
      </c>
      <c r="D334" s="4" t="s">
        <v>131</v>
      </c>
      <c r="E334" s="13">
        <f t="shared" ca="1" si="5"/>
        <v>45745</v>
      </c>
      <c r="F334" s="4" t="s">
        <v>21</v>
      </c>
      <c r="G334" s="5">
        <v>3</v>
      </c>
      <c r="H334" s="6">
        <v>12500</v>
      </c>
      <c r="I334" s="6">
        <v>39398</v>
      </c>
      <c r="J334" s="16">
        <v>3152</v>
      </c>
    </row>
    <row r="335" spans="1:10" x14ac:dyDescent="0.3">
      <c r="A335" s="15" t="s">
        <v>41</v>
      </c>
      <c r="B335" s="7" t="s">
        <v>38</v>
      </c>
      <c r="C335" s="7" t="s">
        <v>23</v>
      </c>
      <c r="D335" s="7" t="s">
        <v>166</v>
      </c>
      <c r="E335" s="13">
        <f t="shared" ca="1" si="5"/>
        <v>45874</v>
      </c>
      <c r="F335" s="7" t="s">
        <v>14</v>
      </c>
      <c r="G335" s="8">
        <v>3</v>
      </c>
      <c r="H335" s="9">
        <v>18500</v>
      </c>
      <c r="I335" s="9">
        <v>60840</v>
      </c>
      <c r="J335" s="17">
        <v>7301</v>
      </c>
    </row>
    <row r="336" spans="1:10" x14ac:dyDescent="0.3">
      <c r="A336" s="14" t="s">
        <v>15</v>
      </c>
      <c r="B336" s="4" t="s">
        <v>77</v>
      </c>
      <c r="C336" s="4" t="s">
        <v>12</v>
      </c>
      <c r="D336" s="4" t="s">
        <v>209</v>
      </c>
      <c r="E336" s="13">
        <f t="shared" ca="1" si="5"/>
        <v>45909</v>
      </c>
      <c r="F336" s="4" t="s">
        <v>36</v>
      </c>
      <c r="G336" s="5">
        <v>10</v>
      </c>
      <c r="H336" s="6">
        <v>55000</v>
      </c>
      <c r="I336" s="6">
        <v>505719</v>
      </c>
      <c r="J336" s="16">
        <v>111258</v>
      </c>
    </row>
    <row r="337" spans="1:10" x14ac:dyDescent="0.3">
      <c r="A337" s="15" t="s">
        <v>37</v>
      </c>
      <c r="B337" s="7" t="s">
        <v>46</v>
      </c>
      <c r="C337" s="7" t="s">
        <v>26</v>
      </c>
      <c r="D337" s="7" t="s">
        <v>113</v>
      </c>
      <c r="E337" s="13">
        <f t="shared" ca="1" si="5"/>
        <v>45658</v>
      </c>
      <c r="F337" s="7" t="s">
        <v>40</v>
      </c>
      <c r="G337" s="8">
        <v>4</v>
      </c>
      <c r="H337" s="9">
        <v>15000</v>
      </c>
      <c r="I337" s="9">
        <v>63317</v>
      </c>
      <c r="J337" s="17">
        <v>6332</v>
      </c>
    </row>
    <row r="338" spans="1:10" x14ac:dyDescent="0.3">
      <c r="A338" s="14" t="s">
        <v>37</v>
      </c>
      <c r="B338" s="4" t="s">
        <v>81</v>
      </c>
      <c r="C338" s="4" t="s">
        <v>26</v>
      </c>
      <c r="D338" s="4" t="s">
        <v>45</v>
      </c>
      <c r="E338" s="13">
        <f t="shared" ca="1" si="5"/>
        <v>45762</v>
      </c>
      <c r="F338" s="4" t="s">
        <v>36</v>
      </c>
      <c r="G338" s="5">
        <v>7</v>
      </c>
      <c r="H338" s="6">
        <v>55000</v>
      </c>
      <c r="I338" s="6">
        <v>388815</v>
      </c>
      <c r="J338" s="16">
        <v>85539</v>
      </c>
    </row>
    <row r="339" spans="1:10" x14ac:dyDescent="0.3">
      <c r="A339" s="15" t="s">
        <v>15</v>
      </c>
      <c r="B339" s="7" t="s">
        <v>51</v>
      </c>
      <c r="C339" s="7" t="s">
        <v>12</v>
      </c>
      <c r="D339" s="7" t="s">
        <v>210</v>
      </c>
      <c r="E339" s="13">
        <f t="shared" ca="1" si="5"/>
        <v>45737</v>
      </c>
      <c r="F339" s="7" t="s">
        <v>36</v>
      </c>
      <c r="G339" s="8">
        <v>2</v>
      </c>
      <c r="H339" s="9">
        <v>55000</v>
      </c>
      <c r="I339" s="9">
        <v>118200</v>
      </c>
      <c r="J339" s="17">
        <v>26004</v>
      </c>
    </row>
    <row r="340" spans="1:10" x14ac:dyDescent="0.3">
      <c r="A340" s="14" t="s">
        <v>18</v>
      </c>
      <c r="B340" s="4" t="s">
        <v>51</v>
      </c>
      <c r="C340" s="4" t="s">
        <v>12</v>
      </c>
      <c r="D340" s="4" t="s">
        <v>194</v>
      </c>
      <c r="E340" s="13">
        <f t="shared" ca="1" si="5"/>
        <v>45993</v>
      </c>
      <c r="F340" s="4" t="s">
        <v>40</v>
      </c>
      <c r="G340" s="5">
        <v>7</v>
      </c>
      <c r="H340" s="6">
        <v>15000</v>
      </c>
      <c r="I340" s="6">
        <v>96300</v>
      </c>
      <c r="J340" s="16">
        <v>9630</v>
      </c>
    </row>
    <row r="341" spans="1:10" x14ac:dyDescent="0.3">
      <c r="A341" s="15" t="s">
        <v>37</v>
      </c>
      <c r="B341" s="7" t="s">
        <v>19</v>
      </c>
      <c r="C341" s="7" t="s">
        <v>12</v>
      </c>
      <c r="D341" s="7" t="s">
        <v>90</v>
      </c>
      <c r="E341" s="13">
        <f t="shared" ca="1" si="5"/>
        <v>45794</v>
      </c>
      <c r="F341" s="7" t="s">
        <v>36</v>
      </c>
      <c r="G341" s="8">
        <v>10</v>
      </c>
      <c r="H341" s="9">
        <v>55000</v>
      </c>
      <c r="I341" s="9">
        <v>495817</v>
      </c>
      <c r="J341" s="17">
        <v>109080</v>
      </c>
    </row>
    <row r="342" spans="1:10" x14ac:dyDescent="0.3">
      <c r="A342" s="14" t="s">
        <v>37</v>
      </c>
      <c r="B342" s="4" t="s">
        <v>22</v>
      </c>
      <c r="C342" s="4" t="s">
        <v>23</v>
      </c>
      <c r="D342" s="4" t="s">
        <v>124</v>
      </c>
      <c r="E342" s="13">
        <f t="shared" ca="1" si="5"/>
        <v>45737</v>
      </c>
      <c r="F342" s="4" t="s">
        <v>14</v>
      </c>
      <c r="G342" s="5">
        <v>1</v>
      </c>
      <c r="H342" s="6">
        <v>18500</v>
      </c>
      <c r="I342" s="6">
        <v>19425</v>
      </c>
      <c r="J342" s="16">
        <v>2331</v>
      </c>
    </row>
    <row r="343" spans="1:10" x14ac:dyDescent="0.3">
      <c r="A343" s="15" t="s">
        <v>18</v>
      </c>
      <c r="B343" s="7" t="s">
        <v>46</v>
      </c>
      <c r="C343" s="7" t="s">
        <v>26</v>
      </c>
      <c r="D343" s="7" t="s">
        <v>58</v>
      </c>
      <c r="E343" s="13">
        <f t="shared" ca="1" si="5"/>
        <v>45671</v>
      </c>
      <c r="F343" s="7" t="s">
        <v>33</v>
      </c>
      <c r="G343" s="8">
        <v>9</v>
      </c>
      <c r="H343" s="9">
        <v>45000</v>
      </c>
      <c r="I343" s="9">
        <v>443447</v>
      </c>
      <c r="J343" s="17">
        <v>79820</v>
      </c>
    </row>
    <row r="344" spans="1:10" x14ac:dyDescent="0.3">
      <c r="A344" s="14" t="s">
        <v>37</v>
      </c>
      <c r="B344" s="4" t="s">
        <v>11</v>
      </c>
      <c r="C344" s="4" t="s">
        <v>12</v>
      </c>
      <c r="D344" s="4" t="s">
        <v>90</v>
      </c>
      <c r="E344" s="13">
        <f t="shared" ca="1" si="5"/>
        <v>45940</v>
      </c>
      <c r="F344" s="4" t="s">
        <v>21</v>
      </c>
      <c r="G344" s="5">
        <v>5</v>
      </c>
      <c r="H344" s="6">
        <v>12500</v>
      </c>
      <c r="I344" s="6">
        <v>61825</v>
      </c>
      <c r="J344" s="16">
        <v>4946</v>
      </c>
    </row>
    <row r="345" spans="1:10" x14ac:dyDescent="0.3">
      <c r="A345" s="15" t="s">
        <v>37</v>
      </c>
      <c r="B345" s="7" t="s">
        <v>56</v>
      </c>
      <c r="C345" s="7" t="s">
        <v>23</v>
      </c>
      <c r="D345" s="7" t="s">
        <v>210</v>
      </c>
      <c r="E345" s="13">
        <f t="shared" ca="1" si="5"/>
        <v>45658</v>
      </c>
      <c r="F345" s="7" t="s">
        <v>33</v>
      </c>
      <c r="G345" s="8">
        <v>6</v>
      </c>
      <c r="H345" s="9">
        <v>45000</v>
      </c>
      <c r="I345" s="9">
        <v>285701</v>
      </c>
      <c r="J345" s="17">
        <v>51426</v>
      </c>
    </row>
    <row r="346" spans="1:10" x14ac:dyDescent="0.3">
      <c r="A346" s="14" t="s">
        <v>15</v>
      </c>
      <c r="B346" s="4" t="s">
        <v>31</v>
      </c>
      <c r="C346" s="4" t="s">
        <v>12</v>
      </c>
      <c r="D346" s="4" t="s">
        <v>211</v>
      </c>
      <c r="E346" s="13">
        <f t="shared" ca="1" si="5"/>
        <v>45678</v>
      </c>
      <c r="F346" s="4" t="s">
        <v>36</v>
      </c>
      <c r="G346" s="5">
        <v>6</v>
      </c>
      <c r="H346" s="6">
        <v>55000</v>
      </c>
      <c r="I346" s="6">
        <v>297585</v>
      </c>
      <c r="J346" s="16">
        <v>65469</v>
      </c>
    </row>
    <row r="347" spans="1:10" x14ac:dyDescent="0.3">
      <c r="A347" s="15" t="s">
        <v>15</v>
      </c>
      <c r="B347" s="7" t="s">
        <v>22</v>
      </c>
      <c r="C347" s="7" t="s">
        <v>23</v>
      </c>
      <c r="D347" s="7" t="s">
        <v>157</v>
      </c>
      <c r="E347" s="13">
        <f t="shared" ca="1" si="5"/>
        <v>45705</v>
      </c>
      <c r="F347" s="7" t="s">
        <v>40</v>
      </c>
      <c r="G347" s="8">
        <v>5</v>
      </c>
      <c r="H347" s="9">
        <v>15000</v>
      </c>
      <c r="I347" s="9">
        <v>76796</v>
      </c>
      <c r="J347" s="17">
        <v>7680</v>
      </c>
    </row>
    <row r="348" spans="1:10" x14ac:dyDescent="0.3">
      <c r="A348" s="14" t="s">
        <v>41</v>
      </c>
      <c r="B348" s="4" t="s">
        <v>88</v>
      </c>
      <c r="C348" s="4" t="s">
        <v>12</v>
      </c>
      <c r="D348" s="4" t="s">
        <v>201</v>
      </c>
      <c r="E348" s="13">
        <f t="shared" ca="1" si="5"/>
        <v>45711</v>
      </c>
      <c r="F348" s="4" t="s">
        <v>36</v>
      </c>
      <c r="G348" s="5">
        <v>5</v>
      </c>
      <c r="H348" s="6">
        <v>55000</v>
      </c>
      <c r="I348" s="6">
        <v>283759</v>
      </c>
      <c r="J348" s="16">
        <v>62427</v>
      </c>
    </row>
    <row r="349" spans="1:10" x14ac:dyDescent="0.3">
      <c r="A349" s="15" t="s">
        <v>37</v>
      </c>
      <c r="B349" s="7" t="s">
        <v>16</v>
      </c>
      <c r="C349" s="7" t="s">
        <v>12</v>
      </c>
      <c r="D349" s="7" t="s">
        <v>141</v>
      </c>
      <c r="E349" s="13">
        <f t="shared" ca="1" si="5"/>
        <v>45918</v>
      </c>
      <c r="F349" s="7" t="s">
        <v>14</v>
      </c>
      <c r="G349" s="8">
        <v>9</v>
      </c>
      <c r="H349" s="9">
        <v>18500</v>
      </c>
      <c r="I349" s="9">
        <v>163893</v>
      </c>
      <c r="J349" s="17">
        <v>19667</v>
      </c>
    </row>
    <row r="350" spans="1:10" x14ac:dyDescent="0.3">
      <c r="A350" s="14" t="s">
        <v>37</v>
      </c>
      <c r="B350" s="4" t="s">
        <v>29</v>
      </c>
      <c r="C350" s="4" t="s">
        <v>26</v>
      </c>
      <c r="D350" s="4" t="s">
        <v>102</v>
      </c>
      <c r="E350" s="13">
        <f t="shared" ca="1" si="5"/>
        <v>45863</v>
      </c>
      <c r="F350" s="4" t="s">
        <v>40</v>
      </c>
      <c r="G350" s="5">
        <v>9</v>
      </c>
      <c r="H350" s="6">
        <v>15000</v>
      </c>
      <c r="I350" s="6">
        <v>132182</v>
      </c>
      <c r="J350" s="16">
        <v>13218</v>
      </c>
    </row>
    <row r="351" spans="1:10" x14ac:dyDescent="0.3">
      <c r="A351" s="15" t="s">
        <v>41</v>
      </c>
      <c r="B351" s="7" t="s">
        <v>56</v>
      </c>
      <c r="C351" s="7" t="s">
        <v>23</v>
      </c>
      <c r="D351" s="7" t="s">
        <v>48</v>
      </c>
      <c r="E351" s="13">
        <f t="shared" ca="1" si="5"/>
        <v>45993</v>
      </c>
      <c r="F351" s="7" t="s">
        <v>33</v>
      </c>
      <c r="G351" s="8">
        <v>2</v>
      </c>
      <c r="H351" s="9">
        <v>45000</v>
      </c>
      <c r="I351" s="9">
        <v>85335</v>
      </c>
      <c r="J351" s="17">
        <v>15360</v>
      </c>
    </row>
    <row r="352" spans="1:10" x14ac:dyDescent="0.3">
      <c r="A352" s="14" t="s">
        <v>41</v>
      </c>
      <c r="B352" s="4" t="s">
        <v>19</v>
      </c>
      <c r="C352" s="4" t="s">
        <v>12</v>
      </c>
      <c r="D352" s="4" t="s">
        <v>189</v>
      </c>
      <c r="E352" s="13">
        <f t="shared" ca="1" si="5"/>
        <v>45973</v>
      </c>
      <c r="F352" s="4" t="s">
        <v>14</v>
      </c>
      <c r="G352" s="5">
        <v>9</v>
      </c>
      <c r="H352" s="6">
        <v>18500</v>
      </c>
      <c r="I352" s="6">
        <v>178011</v>
      </c>
      <c r="J352" s="16">
        <v>21361</v>
      </c>
    </row>
    <row r="353" spans="1:10" x14ac:dyDescent="0.3">
      <c r="A353" s="15" t="s">
        <v>15</v>
      </c>
      <c r="B353" s="7" t="s">
        <v>31</v>
      </c>
      <c r="C353" s="7" t="s">
        <v>12</v>
      </c>
      <c r="D353" s="7" t="s">
        <v>97</v>
      </c>
      <c r="E353" s="13">
        <f t="shared" ca="1" si="5"/>
        <v>45675</v>
      </c>
      <c r="F353" s="7" t="s">
        <v>14</v>
      </c>
      <c r="G353" s="8">
        <v>3</v>
      </c>
      <c r="H353" s="9">
        <v>18500</v>
      </c>
      <c r="I353" s="9">
        <v>58125</v>
      </c>
      <c r="J353" s="17">
        <v>6975</v>
      </c>
    </row>
    <row r="354" spans="1:10" x14ac:dyDescent="0.3">
      <c r="A354" s="14" t="s">
        <v>18</v>
      </c>
      <c r="B354" s="4" t="s">
        <v>22</v>
      </c>
      <c r="C354" s="4" t="s">
        <v>23</v>
      </c>
      <c r="D354" s="4" t="s">
        <v>152</v>
      </c>
      <c r="E354" s="13">
        <f t="shared" ca="1" si="5"/>
        <v>45871</v>
      </c>
      <c r="F354" s="4" t="s">
        <v>14</v>
      </c>
      <c r="G354" s="5">
        <v>5</v>
      </c>
      <c r="H354" s="6">
        <v>18500</v>
      </c>
      <c r="I354" s="6">
        <v>87445</v>
      </c>
      <c r="J354" s="16">
        <v>10493</v>
      </c>
    </row>
    <row r="355" spans="1:10" x14ac:dyDescent="0.3">
      <c r="A355" s="15" t="s">
        <v>41</v>
      </c>
      <c r="B355" s="7" t="s">
        <v>88</v>
      </c>
      <c r="C355" s="7" t="s">
        <v>12</v>
      </c>
      <c r="D355" s="7" t="s">
        <v>149</v>
      </c>
      <c r="E355" s="13">
        <f t="shared" ca="1" si="5"/>
        <v>45707</v>
      </c>
      <c r="F355" s="7" t="s">
        <v>36</v>
      </c>
      <c r="G355" s="8">
        <v>5</v>
      </c>
      <c r="H355" s="9">
        <v>55000</v>
      </c>
      <c r="I355" s="9">
        <v>268133</v>
      </c>
      <c r="J355" s="17">
        <v>58989</v>
      </c>
    </row>
    <row r="356" spans="1:10" x14ac:dyDescent="0.3">
      <c r="A356" s="14" t="s">
        <v>37</v>
      </c>
      <c r="B356" s="4" t="s">
        <v>51</v>
      </c>
      <c r="C356" s="4" t="s">
        <v>12</v>
      </c>
      <c r="D356" s="4" t="s">
        <v>112</v>
      </c>
      <c r="E356" s="13">
        <f t="shared" ca="1" si="5"/>
        <v>45692</v>
      </c>
      <c r="F356" s="4" t="s">
        <v>33</v>
      </c>
      <c r="G356" s="5">
        <v>9</v>
      </c>
      <c r="H356" s="6">
        <v>45000</v>
      </c>
      <c r="I356" s="6">
        <v>426303</v>
      </c>
      <c r="J356" s="16">
        <v>76735</v>
      </c>
    </row>
    <row r="357" spans="1:10" x14ac:dyDescent="0.3">
      <c r="A357" s="15" t="s">
        <v>15</v>
      </c>
      <c r="B357" s="7" t="s">
        <v>16</v>
      </c>
      <c r="C357" s="7" t="s">
        <v>12</v>
      </c>
      <c r="D357" s="7" t="s">
        <v>34</v>
      </c>
      <c r="E357" s="13">
        <f t="shared" ca="1" si="5"/>
        <v>45662</v>
      </c>
      <c r="F357" s="7" t="s">
        <v>36</v>
      </c>
      <c r="G357" s="8">
        <v>10</v>
      </c>
      <c r="H357" s="9">
        <v>55000</v>
      </c>
      <c r="I357" s="9">
        <v>573943</v>
      </c>
      <c r="J357" s="17">
        <v>126267</v>
      </c>
    </row>
    <row r="358" spans="1:10" x14ac:dyDescent="0.3">
      <c r="A358" s="14" t="s">
        <v>37</v>
      </c>
      <c r="B358" s="4" t="s">
        <v>51</v>
      </c>
      <c r="C358" s="4" t="s">
        <v>12</v>
      </c>
      <c r="D358" s="4" t="s">
        <v>166</v>
      </c>
      <c r="E358" s="13">
        <f t="shared" ca="1" si="5"/>
        <v>45998</v>
      </c>
      <c r="F358" s="4" t="s">
        <v>33</v>
      </c>
      <c r="G358" s="5">
        <v>5</v>
      </c>
      <c r="H358" s="6">
        <v>45000</v>
      </c>
      <c r="I358" s="6">
        <v>228000</v>
      </c>
      <c r="J358" s="16">
        <v>41040</v>
      </c>
    </row>
    <row r="359" spans="1:10" x14ac:dyDescent="0.3">
      <c r="A359" s="15" t="s">
        <v>15</v>
      </c>
      <c r="B359" s="7" t="s">
        <v>46</v>
      </c>
      <c r="C359" s="7" t="s">
        <v>26</v>
      </c>
      <c r="D359" s="7" t="s">
        <v>30</v>
      </c>
      <c r="E359" s="13">
        <f t="shared" ca="1" si="5"/>
        <v>45742</v>
      </c>
      <c r="F359" s="7" t="s">
        <v>36</v>
      </c>
      <c r="G359" s="8">
        <v>3</v>
      </c>
      <c r="H359" s="9">
        <v>55000</v>
      </c>
      <c r="I359" s="9">
        <v>154406</v>
      </c>
      <c r="J359" s="17">
        <v>33969</v>
      </c>
    </row>
    <row r="360" spans="1:10" x14ac:dyDescent="0.3">
      <c r="A360" s="14" t="s">
        <v>37</v>
      </c>
      <c r="B360" s="4" t="s">
        <v>88</v>
      </c>
      <c r="C360" s="4" t="s">
        <v>12</v>
      </c>
      <c r="D360" s="4" t="s">
        <v>164</v>
      </c>
      <c r="E360" s="13">
        <f t="shared" ca="1" si="5"/>
        <v>45770</v>
      </c>
      <c r="F360" s="4" t="s">
        <v>14</v>
      </c>
      <c r="G360" s="5">
        <v>6</v>
      </c>
      <c r="H360" s="6">
        <v>18500</v>
      </c>
      <c r="I360" s="6">
        <v>107787</v>
      </c>
      <c r="J360" s="16">
        <v>12934</v>
      </c>
    </row>
    <row r="361" spans="1:10" x14ac:dyDescent="0.3">
      <c r="A361" s="15" t="s">
        <v>10</v>
      </c>
      <c r="B361" s="7" t="s">
        <v>81</v>
      </c>
      <c r="C361" s="7" t="s">
        <v>26</v>
      </c>
      <c r="D361" s="7" t="s">
        <v>195</v>
      </c>
      <c r="E361" s="13">
        <f t="shared" ca="1" si="5"/>
        <v>45895</v>
      </c>
      <c r="F361" s="7" t="s">
        <v>33</v>
      </c>
      <c r="G361" s="8">
        <v>4</v>
      </c>
      <c r="H361" s="9">
        <v>45000</v>
      </c>
      <c r="I361" s="9">
        <v>163062</v>
      </c>
      <c r="J361" s="17">
        <v>29351</v>
      </c>
    </row>
    <row r="362" spans="1:10" x14ac:dyDescent="0.3">
      <c r="A362" s="14" t="s">
        <v>15</v>
      </c>
      <c r="B362" s="4" t="s">
        <v>88</v>
      </c>
      <c r="C362" s="4" t="s">
        <v>12</v>
      </c>
      <c r="D362" s="4" t="s">
        <v>111</v>
      </c>
      <c r="E362" s="13">
        <f t="shared" ca="1" si="5"/>
        <v>45934</v>
      </c>
      <c r="F362" s="4" t="s">
        <v>21</v>
      </c>
      <c r="G362" s="5">
        <v>6</v>
      </c>
      <c r="H362" s="6">
        <v>12500</v>
      </c>
      <c r="I362" s="6">
        <v>78174</v>
      </c>
      <c r="J362" s="16">
        <v>6254</v>
      </c>
    </row>
    <row r="363" spans="1:10" x14ac:dyDescent="0.3">
      <c r="A363" s="15" t="s">
        <v>18</v>
      </c>
      <c r="B363" s="7" t="s">
        <v>29</v>
      </c>
      <c r="C363" s="7" t="s">
        <v>26</v>
      </c>
      <c r="D363" s="7" t="s">
        <v>127</v>
      </c>
      <c r="E363" s="13">
        <f t="shared" ca="1" si="5"/>
        <v>45762</v>
      </c>
      <c r="F363" s="7" t="s">
        <v>33</v>
      </c>
      <c r="G363" s="8">
        <v>10</v>
      </c>
      <c r="H363" s="9">
        <v>45000</v>
      </c>
      <c r="I363" s="9">
        <v>422982</v>
      </c>
      <c r="J363" s="17">
        <v>76137</v>
      </c>
    </row>
    <row r="364" spans="1:10" x14ac:dyDescent="0.3">
      <c r="A364" s="14" t="s">
        <v>10</v>
      </c>
      <c r="B364" s="4" t="s">
        <v>77</v>
      </c>
      <c r="C364" s="4" t="s">
        <v>12</v>
      </c>
      <c r="D364" s="4" t="s">
        <v>150</v>
      </c>
      <c r="E364" s="13">
        <f t="shared" ca="1" si="5"/>
        <v>45675</v>
      </c>
      <c r="F364" s="4" t="s">
        <v>36</v>
      </c>
      <c r="G364" s="5">
        <v>2</v>
      </c>
      <c r="H364" s="6">
        <v>55000</v>
      </c>
      <c r="I364" s="6">
        <v>101144</v>
      </c>
      <c r="J364" s="16">
        <v>22252</v>
      </c>
    </row>
    <row r="365" spans="1:10" x14ac:dyDescent="0.3">
      <c r="A365" s="15" t="s">
        <v>37</v>
      </c>
      <c r="B365" s="7" t="s">
        <v>56</v>
      </c>
      <c r="C365" s="7" t="s">
        <v>23</v>
      </c>
      <c r="D365" s="7" t="s">
        <v>24</v>
      </c>
      <c r="E365" s="13">
        <f t="shared" ca="1" si="5"/>
        <v>45718</v>
      </c>
      <c r="F365" s="7" t="s">
        <v>40</v>
      </c>
      <c r="G365" s="8">
        <v>7</v>
      </c>
      <c r="H365" s="9">
        <v>15000</v>
      </c>
      <c r="I365" s="9">
        <v>111791</v>
      </c>
      <c r="J365" s="17">
        <v>11179</v>
      </c>
    </row>
    <row r="366" spans="1:10" x14ac:dyDescent="0.3">
      <c r="A366" s="14" t="s">
        <v>18</v>
      </c>
      <c r="B366" s="4" t="s">
        <v>11</v>
      </c>
      <c r="C366" s="4" t="s">
        <v>12</v>
      </c>
      <c r="D366" s="4" t="s">
        <v>212</v>
      </c>
      <c r="E366" s="13">
        <f t="shared" ca="1" si="5"/>
        <v>45894</v>
      </c>
      <c r="F366" s="4" t="s">
        <v>36</v>
      </c>
      <c r="G366" s="5">
        <v>3</v>
      </c>
      <c r="H366" s="6">
        <v>55000</v>
      </c>
      <c r="I366" s="6">
        <v>176072</v>
      </c>
      <c r="J366" s="16">
        <v>38736</v>
      </c>
    </row>
    <row r="367" spans="1:10" x14ac:dyDescent="0.3">
      <c r="A367" s="15" t="s">
        <v>18</v>
      </c>
      <c r="B367" s="7" t="s">
        <v>22</v>
      </c>
      <c r="C367" s="7" t="s">
        <v>23</v>
      </c>
      <c r="D367" s="7" t="s">
        <v>151</v>
      </c>
      <c r="E367" s="13">
        <f t="shared" ca="1" si="5"/>
        <v>45660</v>
      </c>
      <c r="F367" s="7" t="s">
        <v>21</v>
      </c>
      <c r="G367" s="8">
        <v>8</v>
      </c>
      <c r="H367" s="9">
        <v>12500</v>
      </c>
      <c r="I367" s="9">
        <v>106906</v>
      </c>
      <c r="J367" s="17">
        <v>8552</v>
      </c>
    </row>
    <row r="368" spans="1:10" x14ac:dyDescent="0.3">
      <c r="A368" s="14" t="s">
        <v>10</v>
      </c>
      <c r="B368" s="4" t="s">
        <v>56</v>
      </c>
      <c r="C368" s="4" t="s">
        <v>23</v>
      </c>
      <c r="D368" s="4" t="s">
        <v>213</v>
      </c>
      <c r="E368" s="13">
        <f t="shared" ca="1" si="5"/>
        <v>45709</v>
      </c>
      <c r="F368" s="4" t="s">
        <v>21</v>
      </c>
      <c r="G368" s="5">
        <v>5</v>
      </c>
      <c r="H368" s="6">
        <v>12500</v>
      </c>
      <c r="I368" s="6">
        <v>65835</v>
      </c>
      <c r="J368" s="16">
        <v>5267</v>
      </c>
    </row>
    <row r="369" spans="1:10" x14ac:dyDescent="0.3">
      <c r="A369" s="15" t="s">
        <v>18</v>
      </c>
      <c r="B369" s="7" t="s">
        <v>16</v>
      </c>
      <c r="C369" s="7" t="s">
        <v>12</v>
      </c>
      <c r="D369" s="7" t="s">
        <v>173</v>
      </c>
      <c r="E369" s="13">
        <f t="shared" ca="1" si="5"/>
        <v>45981</v>
      </c>
      <c r="F369" s="7" t="s">
        <v>14</v>
      </c>
      <c r="G369" s="8">
        <v>7</v>
      </c>
      <c r="H369" s="9">
        <v>18500</v>
      </c>
      <c r="I369" s="9">
        <v>134698</v>
      </c>
      <c r="J369" s="17">
        <v>16164</v>
      </c>
    </row>
    <row r="370" spans="1:10" x14ac:dyDescent="0.3">
      <c r="A370" s="14" t="s">
        <v>18</v>
      </c>
      <c r="B370" s="4" t="s">
        <v>19</v>
      </c>
      <c r="C370" s="4" t="s">
        <v>12</v>
      </c>
      <c r="D370" s="4" t="s">
        <v>98</v>
      </c>
      <c r="E370" s="13">
        <f t="shared" ca="1" si="5"/>
        <v>45871</v>
      </c>
      <c r="F370" s="4" t="s">
        <v>14</v>
      </c>
      <c r="G370" s="5">
        <v>5</v>
      </c>
      <c r="H370" s="6">
        <v>18500</v>
      </c>
      <c r="I370" s="6">
        <v>89005</v>
      </c>
      <c r="J370" s="16">
        <v>10681</v>
      </c>
    </row>
    <row r="371" spans="1:10" x14ac:dyDescent="0.3">
      <c r="A371" s="15" t="s">
        <v>10</v>
      </c>
      <c r="B371" s="7" t="s">
        <v>84</v>
      </c>
      <c r="C371" s="7" t="s">
        <v>12</v>
      </c>
      <c r="D371" s="7" t="s">
        <v>189</v>
      </c>
      <c r="E371" s="13">
        <f t="shared" ca="1" si="5"/>
        <v>45882</v>
      </c>
      <c r="F371" s="7" t="s">
        <v>33</v>
      </c>
      <c r="G371" s="8">
        <v>9</v>
      </c>
      <c r="H371" s="9">
        <v>45000</v>
      </c>
      <c r="I371" s="9">
        <v>426533</v>
      </c>
      <c r="J371" s="17">
        <v>76776</v>
      </c>
    </row>
    <row r="372" spans="1:10" x14ac:dyDescent="0.3">
      <c r="A372" s="14" t="s">
        <v>18</v>
      </c>
      <c r="B372" s="4" t="s">
        <v>25</v>
      </c>
      <c r="C372" s="4" t="s">
        <v>26</v>
      </c>
      <c r="D372" s="4" t="s">
        <v>125</v>
      </c>
      <c r="E372" s="13">
        <f t="shared" ca="1" si="5"/>
        <v>45718</v>
      </c>
      <c r="F372" s="4" t="s">
        <v>14</v>
      </c>
      <c r="G372" s="5">
        <v>6</v>
      </c>
      <c r="H372" s="6">
        <v>18500</v>
      </c>
      <c r="I372" s="6">
        <v>114025</v>
      </c>
      <c r="J372" s="16">
        <v>13683</v>
      </c>
    </row>
    <row r="373" spans="1:10" x14ac:dyDescent="0.3">
      <c r="A373" s="15" t="s">
        <v>10</v>
      </c>
      <c r="B373" s="7" t="s">
        <v>84</v>
      </c>
      <c r="C373" s="7" t="s">
        <v>12</v>
      </c>
      <c r="D373" s="7" t="s">
        <v>63</v>
      </c>
      <c r="E373" s="13">
        <f t="shared" ca="1" si="5"/>
        <v>45679</v>
      </c>
      <c r="F373" s="7" t="s">
        <v>33</v>
      </c>
      <c r="G373" s="8">
        <v>3</v>
      </c>
      <c r="H373" s="9">
        <v>45000</v>
      </c>
      <c r="I373" s="9">
        <v>129143</v>
      </c>
      <c r="J373" s="17">
        <v>23246</v>
      </c>
    </row>
    <row r="374" spans="1:10" x14ac:dyDescent="0.3">
      <c r="A374" s="14" t="s">
        <v>18</v>
      </c>
      <c r="B374" s="4" t="s">
        <v>77</v>
      </c>
      <c r="C374" s="4" t="s">
        <v>12</v>
      </c>
      <c r="D374" s="4" t="s">
        <v>184</v>
      </c>
      <c r="E374" s="13">
        <f t="shared" ca="1" si="5"/>
        <v>45658</v>
      </c>
      <c r="F374" s="4" t="s">
        <v>21</v>
      </c>
      <c r="G374" s="5">
        <v>10</v>
      </c>
      <c r="H374" s="6">
        <v>12500</v>
      </c>
      <c r="I374" s="6">
        <v>125060</v>
      </c>
      <c r="J374" s="16">
        <v>10005</v>
      </c>
    </row>
    <row r="375" spans="1:10" x14ac:dyDescent="0.3">
      <c r="A375" s="15" t="s">
        <v>37</v>
      </c>
      <c r="B375" s="7" t="s">
        <v>77</v>
      </c>
      <c r="C375" s="7" t="s">
        <v>12</v>
      </c>
      <c r="D375" s="7" t="s">
        <v>42</v>
      </c>
      <c r="E375" s="13">
        <f t="shared" ca="1" si="5"/>
        <v>45759</v>
      </c>
      <c r="F375" s="7" t="s">
        <v>33</v>
      </c>
      <c r="G375" s="8">
        <v>7</v>
      </c>
      <c r="H375" s="9">
        <v>45000</v>
      </c>
      <c r="I375" s="9">
        <v>299108</v>
      </c>
      <c r="J375" s="17">
        <v>53839</v>
      </c>
    </row>
    <row r="376" spans="1:10" x14ac:dyDescent="0.3">
      <c r="A376" s="14" t="s">
        <v>37</v>
      </c>
      <c r="B376" s="4" t="s">
        <v>88</v>
      </c>
      <c r="C376" s="4" t="s">
        <v>12</v>
      </c>
      <c r="D376" s="4" t="s">
        <v>13</v>
      </c>
      <c r="E376" s="13">
        <f t="shared" ca="1" si="5"/>
        <v>45881</v>
      </c>
      <c r="F376" s="4" t="s">
        <v>40</v>
      </c>
      <c r="G376" s="5">
        <v>10</v>
      </c>
      <c r="H376" s="6">
        <v>15000</v>
      </c>
      <c r="I376" s="6">
        <v>149191</v>
      </c>
      <c r="J376" s="16">
        <v>14919</v>
      </c>
    </row>
    <row r="377" spans="1:10" x14ac:dyDescent="0.3">
      <c r="A377" s="15" t="s">
        <v>18</v>
      </c>
      <c r="B377" s="7" t="s">
        <v>77</v>
      </c>
      <c r="C377" s="7" t="s">
        <v>12</v>
      </c>
      <c r="D377" s="7" t="s">
        <v>139</v>
      </c>
      <c r="E377" s="13">
        <f t="shared" ca="1" si="5"/>
        <v>45933</v>
      </c>
      <c r="F377" s="7" t="s">
        <v>33</v>
      </c>
      <c r="G377" s="8">
        <v>1</v>
      </c>
      <c r="H377" s="9">
        <v>45000</v>
      </c>
      <c r="I377" s="9">
        <v>49258</v>
      </c>
      <c r="J377" s="17">
        <v>8866</v>
      </c>
    </row>
    <row r="378" spans="1:10" x14ac:dyDescent="0.3">
      <c r="A378" s="14" t="s">
        <v>18</v>
      </c>
      <c r="B378" s="4" t="s">
        <v>11</v>
      </c>
      <c r="C378" s="4" t="s">
        <v>12</v>
      </c>
      <c r="D378" s="4" t="s">
        <v>148</v>
      </c>
      <c r="E378" s="13">
        <f t="shared" ca="1" si="5"/>
        <v>45919</v>
      </c>
      <c r="F378" s="4" t="s">
        <v>14</v>
      </c>
      <c r="G378" s="5">
        <v>4</v>
      </c>
      <c r="H378" s="6">
        <v>18500</v>
      </c>
      <c r="I378" s="6">
        <v>81400</v>
      </c>
      <c r="J378" s="16">
        <v>9768</v>
      </c>
    </row>
    <row r="379" spans="1:10" x14ac:dyDescent="0.3">
      <c r="A379" s="15" t="s">
        <v>15</v>
      </c>
      <c r="B379" s="7" t="s">
        <v>22</v>
      </c>
      <c r="C379" s="7" t="s">
        <v>23</v>
      </c>
      <c r="D379" s="7" t="s">
        <v>156</v>
      </c>
      <c r="E379" s="13">
        <f t="shared" ca="1" si="5"/>
        <v>45865</v>
      </c>
      <c r="F379" s="7" t="s">
        <v>33</v>
      </c>
      <c r="G379" s="8">
        <v>1</v>
      </c>
      <c r="H379" s="9">
        <v>45000</v>
      </c>
      <c r="I379" s="9">
        <v>41050</v>
      </c>
      <c r="J379" s="17">
        <v>7389</v>
      </c>
    </row>
    <row r="380" spans="1:10" x14ac:dyDescent="0.3">
      <c r="A380" s="14" t="s">
        <v>15</v>
      </c>
      <c r="B380" s="4" t="s">
        <v>88</v>
      </c>
      <c r="C380" s="4" t="s">
        <v>12</v>
      </c>
      <c r="D380" s="4" t="s">
        <v>78</v>
      </c>
      <c r="E380" s="13">
        <f t="shared" ca="1" si="5"/>
        <v>45696</v>
      </c>
      <c r="F380" s="4" t="s">
        <v>36</v>
      </c>
      <c r="G380" s="5">
        <v>5</v>
      </c>
      <c r="H380" s="6">
        <v>55000</v>
      </c>
      <c r="I380" s="6">
        <v>257896</v>
      </c>
      <c r="J380" s="16">
        <v>56737</v>
      </c>
    </row>
    <row r="381" spans="1:10" x14ac:dyDescent="0.3">
      <c r="A381" s="15" t="s">
        <v>10</v>
      </c>
      <c r="B381" s="7" t="s">
        <v>46</v>
      </c>
      <c r="C381" s="7" t="s">
        <v>26</v>
      </c>
      <c r="D381" s="7" t="s">
        <v>214</v>
      </c>
      <c r="E381" s="13">
        <f t="shared" ca="1" si="5"/>
        <v>45843</v>
      </c>
      <c r="F381" s="7" t="s">
        <v>33</v>
      </c>
      <c r="G381" s="8">
        <v>7</v>
      </c>
      <c r="H381" s="9">
        <v>45000</v>
      </c>
      <c r="I381" s="9">
        <v>332761</v>
      </c>
      <c r="J381" s="17">
        <v>59897</v>
      </c>
    </row>
    <row r="382" spans="1:10" x14ac:dyDescent="0.3">
      <c r="A382" s="14" t="s">
        <v>37</v>
      </c>
      <c r="B382" s="4" t="s">
        <v>77</v>
      </c>
      <c r="C382" s="4" t="s">
        <v>12</v>
      </c>
      <c r="D382" s="4" t="s">
        <v>215</v>
      </c>
      <c r="E382" s="13">
        <f t="shared" ca="1" si="5"/>
        <v>45829</v>
      </c>
      <c r="F382" s="4" t="s">
        <v>40</v>
      </c>
      <c r="G382" s="5">
        <v>10</v>
      </c>
      <c r="H382" s="6">
        <v>15000</v>
      </c>
      <c r="I382" s="6">
        <v>154561</v>
      </c>
      <c r="J382" s="16">
        <v>15456</v>
      </c>
    </row>
    <row r="383" spans="1:10" x14ac:dyDescent="0.3">
      <c r="A383" s="15" t="s">
        <v>37</v>
      </c>
      <c r="B383" s="7" t="s">
        <v>22</v>
      </c>
      <c r="C383" s="7" t="s">
        <v>23</v>
      </c>
      <c r="D383" s="7" t="s">
        <v>216</v>
      </c>
      <c r="E383" s="13">
        <f t="shared" ca="1" si="5"/>
        <v>45742</v>
      </c>
      <c r="F383" s="7" t="s">
        <v>14</v>
      </c>
      <c r="G383" s="8">
        <v>3</v>
      </c>
      <c r="H383" s="9">
        <v>18500</v>
      </c>
      <c r="I383" s="9">
        <v>57305</v>
      </c>
      <c r="J383" s="17">
        <v>6877</v>
      </c>
    </row>
    <row r="384" spans="1:10" x14ac:dyDescent="0.3">
      <c r="A384" s="14" t="s">
        <v>37</v>
      </c>
      <c r="B384" s="4" t="s">
        <v>16</v>
      </c>
      <c r="C384" s="4" t="s">
        <v>12</v>
      </c>
      <c r="D384" s="4" t="s">
        <v>177</v>
      </c>
      <c r="E384" s="13">
        <f t="shared" ca="1" si="5"/>
        <v>45838</v>
      </c>
      <c r="F384" s="4" t="s">
        <v>36</v>
      </c>
      <c r="G384" s="5">
        <v>8</v>
      </c>
      <c r="H384" s="6">
        <v>55000</v>
      </c>
      <c r="I384" s="6">
        <v>478091</v>
      </c>
      <c r="J384" s="16">
        <v>105180</v>
      </c>
    </row>
    <row r="385" spans="1:10" x14ac:dyDescent="0.3">
      <c r="A385" s="15" t="s">
        <v>18</v>
      </c>
      <c r="B385" s="7" t="s">
        <v>84</v>
      </c>
      <c r="C385" s="7" t="s">
        <v>12</v>
      </c>
      <c r="D385" s="7" t="s">
        <v>53</v>
      </c>
      <c r="E385" s="13">
        <f t="shared" ca="1" si="5"/>
        <v>45962</v>
      </c>
      <c r="F385" s="7" t="s">
        <v>21</v>
      </c>
      <c r="G385" s="8">
        <v>1</v>
      </c>
      <c r="H385" s="9">
        <v>12500</v>
      </c>
      <c r="I385" s="9">
        <v>12245</v>
      </c>
      <c r="J385" s="17">
        <v>980</v>
      </c>
    </row>
    <row r="386" spans="1:10" x14ac:dyDescent="0.3">
      <c r="A386" s="14" t="s">
        <v>15</v>
      </c>
      <c r="B386" s="4" t="s">
        <v>56</v>
      </c>
      <c r="C386" s="4" t="s">
        <v>23</v>
      </c>
      <c r="D386" s="4" t="s">
        <v>217</v>
      </c>
      <c r="E386" s="13">
        <f t="shared" ca="1" si="5"/>
        <v>45907</v>
      </c>
      <c r="F386" s="4" t="s">
        <v>40</v>
      </c>
      <c r="G386" s="5">
        <v>1</v>
      </c>
      <c r="H386" s="6">
        <v>15000</v>
      </c>
      <c r="I386" s="6">
        <v>14038</v>
      </c>
      <c r="J386" s="16">
        <v>1404</v>
      </c>
    </row>
    <row r="387" spans="1:10" x14ac:dyDescent="0.3">
      <c r="A387" s="15" t="s">
        <v>18</v>
      </c>
      <c r="B387" s="7" t="s">
        <v>51</v>
      </c>
      <c r="C387" s="7" t="s">
        <v>12</v>
      </c>
      <c r="D387" s="7" t="s">
        <v>206</v>
      </c>
      <c r="E387" s="13">
        <f t="shared" ref="E387:E450" ca="1" si="6">DATE(2025,1,1)+RANDBETWEEN(0,364)</f>
        <v>45960</v>
      </c>
      <c r="F387" s="7" t="s">
        <v>36</v>
      </c>
      <c r="G387" s="8">
        <v>5</v>
      </c>
      <c r="H387" s="9">
        <v>55000</v>
      </c>
      <c r="I387" s="9">
        <v>249514</v>
      </c>
      <c r="J387" s="17">
        <v>54893</v>
      </c>
    </row>
    <row r="388" spans="1:10" x14ac:dyDescent="0.3">
      <c r="A388" s="14" t="s">
        <v>37</v>
      </c>
      <c r="B388" s="4" t="s">
        <v>25</v>
      </c>
      <c r="C388" s="4" t="s">
        <v>26</v>
      </c>
      <c r="D388" s="4" t="s">
        <v>101</v>
      </c>
      <c r="E388" s="13">
        <f t="shared" ca="1" si="6"/>
        <v>45719</v>
      </c>
      <c r="F388" s="4" t="s">
        <v>14</v>
      </c>
      <c r="G388" s="5">
        <v>7</v>
      </c>
      <c r="H388" s="6">
        <v>18500</v>
      </c>
      <c r="I388" s="6">
        <v>140252</v>
      </c>
      <c r="J388" s="16">
        <v>16830</v>
      </c>
    </row>
    <row r="389" spans="1:10" x14ac:dyDescent="0.3">
      <c r="A389" s="15" t="s">
        <v>10</v>
      </c>
      <c r="B389" s="7" t="s">
        <v>16</v>
      </c>
      <c r="C389" s="7" t="s">
        <v>12</v>
      </c>
      <c r="D389" s="7" t="s">
        <v>50</v>
      </c>
      <c r="E389" s="13">
        <f t="shared" ca="1" si="6"/>
        <v>45670</v>
      </c>
      <c r="F389" s="7" t="s">
        <v>14</v>
      </c>
      <c r="G389" s="8">
        <v>3</v>
      </c>
      <c r="H389" s="9">
        <v>18500</v>
      </c>
      <c r="I389" s="9">
        <v>60445</v>
      </c>
      <c r="J389" s="17">
        <v>7253</v>
      </c>
    </row>
    <row r="390" spans="1:10" x14ac:dyDescent="0.3">
      <c r="A390" s="14" t="s">
        <v>10</v>
      </c>
      <c r="B390" s="4" t="s">
        <v>88</v>
      </c>
      <c r="C390" s="4" t="s">
        <v>12</v>
      </c>
      <c r="D390" s="4" t="s">
        <v>218</v>
      </c>
      <c r="E390" s="13">
        <f t="shared" ca="1" si="6"/>
        <v>45779</v>
      </c>
      <c r="F390" s="4" t="s">
        <v>36</v>
      </c>
      <c r="G390" s="5">
        <v>2</v>
      </c>
      <c r="H390" s="6">
        <v>55000</v>
      </c>
      <c r="I390" s="6">
        <v>116448</v>
      </c>
      <c r="J390" s="16">
        <v>25619</v>
      </c>
    </row>
    <row r="391" spans="1:10" x14ac:dyDescent="0.3">
      <c r="A391" s="15" t="s">
        <v>18</v>
      </c>
      <c r="B391" s="7" t="s">
        <v>29</v>
      </c>
      <c r="C391" s="7" t="s">
        <v>26</v>
      </c>
      <c r="D391" s="7" t="s">
        <v>141</v>
      </c>
      <c r="E391" s="13">
        <f t="shared" ca="1" si="6"/>
        <v>45663</v>
      </c>
      <c r="F391" s="7" t="s">
        <v>40</v>
      </c>
      <c r="G391" s="8">
        <v>4</v>
      </c>
      <c r="H391" s="9">
        <v>15000</v>
      </c>
      <c r="I391" s="9">
        <v>63802</v>
      </c>
      <c r="J391" s="17">
        <v>6380</v>
      </c>
    </row>
    <row r="392" spans="1:10" x14ac:dyDescent="0.3">
      <c r="A392" s="14" t="s">
        <v>15</v>
      </c>
      <c r="B392" s="4" t="s">
        <v>56</v>
      </c>
      <c r="C392" s="4" t="s">
        <v>23</v>
      </c>
      <c r="D392" s="4" t="s">
        <v>188</v>
      </c>
      <c r="E392" s="13">
        <f t="shared" ca="1" si="6"/>
        <v>45860</v>
      </c>
      <c r="F392" s="4" t="s">
        <v>21</v>
      </c>
      <c r="G392" s="5">
        <v>6</v>
      </c>
      <c r="H392" s="6">
        <v>12500</v>
      </c>
      <c r="I392" s="6">
        <v>68749</v>
      </c>
      <c r="J392" s="16">
        <v>5500</v>
      </c>
    </row>
    <row r="393" spans="1:10" x14ac:dyDescent="0.3">
      <c r="A393" s="15" t="s">
        <v>37</v>
      </c>
      <c r="B393" s="7" t="s">
        <v>11</v>
      </c>
      <c r="C393" s="7" t="s">
        <v>12</v>
      </c>
      <c r="D393" s="7" t="s">
        <v>116</v>
      </c>
      <c r="E393" s="13">
        <f t="shared" ca="1" si="6"/>
        <v>45746</v>
      </c>
      <c r="F393" s="7" t="s">
        <v>36</v>
      </c>
      <c r="G393" s="8">
        <v>6</v>
      </c>
      <c r="H393" s="9">
        <v>55000</v>
      </c>
      <c r="I393" s="9">
        <v>309142</v>
      </c>
      <c r="J393" s="17">
        <v>68011</v>
      </c>
    </row>
    <row r="394" spans="1:10" x14ac:dyDescent="0.3">
      <c r="A394" s="14" t="s">
        <v>10</v>
      </c>
      <c r="B394" s="4" t="s">
        <v>11</v>
      </c>
      <c r="C394" s="4" t="s">
        <v>12</v>
      </c>
      <c r="D394" s="4" t="s">
        <v>205</v>
      </c>
      <c r="E394" s="13">
        <f t="shared" ca="1" si="6"/>
        <v>45733</v>
      </c>
      <c r="F394" s="4" t="s">
        <v>21</v>
      </c>
      <c r="G394" s="5">
        <v>8</v>
      </c>
      <c r="H394" s="6">
        <v>12500</v>
      </c>
      <c r="I394" s="6">
        <v>100845</v>
      </c>
      <c r="J394" s="16">
        <v>8068</v>
      </c>
    </row>
    <row r="395" spans="1:10" x14ac:dyDescent="0.3">
      <c r="A395" s="15" t="s">
        <v>10</v>
      </c>
      <c r="B395" s="7" t="s">
        <v>56</v>
      </c>
      <c r="C395" s="7" t="s">
        <v>23</v>
      </c>
      <c r="D395" s="7" t="s">
        <v>143</v>
      </c>
      <c r="E395" s="13">
        <f t="shared" ca="1" si="6"/>
        <v>45711</v>
      </c>
      <c r="F395" s="7" t="s">
        <v>21</v>
      </c>
      <c r="G395" s="8">
        <v>3</v>
      </c>
      <c r="H395" s="9">
        <v>12500</v>
      </c>
      <c r="I395" s="9">
        <v>35586</v>
      </c>
      <c r="J395" s="17">
        <v>2847</v>
      </c>
    </row>
    <row r="396" spans="1:10" x14ac:dyDescent="0.3">
      <c r="A396" s="14" t="s">
        <v>41</v>
      </c>
      <c r="B396" s="4" t="s">
        <v>46</v>
      </c>
      <c r="C396" s="4" t="s">
        <v>26</v>
      </c>
      <c r="D396" s="4" t="s">
        <v>72</v>
      </c>
      <c r="E396" s="13">
        <f t="shared" ca="1" si="6"/>
        <v>45677</v>
      </c>
      <c r="F396" s="4" t="s">
        <v>21</v>
      </c>
      <c r="G396" s="5">
        <v>2</v>
      </c>
      <c r="H396" s="6">
        <v>12500</v>
      </c>
      <c r="I396" s="6">
        <v>24669</v>
      </c>
      <c r="J396" s="16">
        <v>1974</v>
      </c>
    </row>
    <row r="397" spans="1:10" x14ac:dyDescent="0.3">
      <c r="A397" s="15" t="s">
        <v>41</v>
      </c>
      <c r="B397" s="7" t="s">
        <v>29</v>
      </c>
      <c r="C397" s="7" t="s">
        <v>26</v>
      </c>
      <c r="D397" s="7" t="s">
        <v>162</v>
      </c>
      <c r="E397" s="13">
        <f t="shared" ca="1" si="6"/>
        <v>45849</v>
      </c>
      <c r="F397" s="7" t="s">
        <v>14</v>
      </c>
      <c r="G397" s="8">
        <v>5</v>
      </c>
      <c r="H397" s="9">
        <v>18500</v>
      </c>
      <c r="I397" s="9">
        <v>84215</v>
      </c>
      <c r="J397" s="17">
        <v>10106</v>
      </c>
    </row>
    <row r="398" spans="1:10" x14ac:dyDescent="0.3">
      <c r="A398" s="14" t="s">
        <v>18</v>
      </c>
      <c r="B398" s="4" t="s">
        <v>38</v>
      </c>
      <c r="C398" s="4" t="s">
        <v>23</v>
      </c>
      <c r="D398" s="4" t="s">
        <v>219</v>
      </c>
      <c r="E398" s="13">
        <f t="shared" ca="1" si="6"/>
        <v>45913</v>
      </c>
      <c r="F398" s="4" t="s">
        <v>36</v>
      </c>
      <c r="G398" s="5">
        <v>9</v>
      </c>
      <c r="H398" s="6">
        <v>55000</v>
      </c>
      <c r="I398" s="6">
        <v>482410</v>
      </c>
      <c r="J398" s="16">
        <v>106130</v>
      </c>
    </row>
    <row r="399" spans="1:10" x14ac:dyDescent="0.3">
      <c r="A399" s="15" t="s">
        <v>18</v>
      </c>
      <c r="B399" s="7" t="s">
        <v>77</v>
      </c>
      <c r="C399" s="7" t="s">
        <v>12</v>
      </c>
      <c r="D399" s="7" t="s">
        <v>220</v>
      </c>
      <c r="E399" s="13">
        <f t="shared" ca="1" si="6"/>
        <v>45987</v>
      </c>
      <c r="F399" s="7" t="s">
        <v>33</v>
      </c>
      <c r="G399" s="8">
        <v>9</v>
      </c>
      <c r="H399" s="9">
        <v>45000</v>
      </c>
      <c r="I399" s="9">
        <v>435945</v>
      </c>
      <c r="J399" s="17">
        <v>78470</v>
      </c>
    </row>
    <row r="400" spans="1:10" x14ac:dyDescent="0.3">
      <c r="A400" s="14" t="s">
        <v>18</v>
      </c>
      <c r="B400" s="4" t="s">
        <v>84</v>
      </c>
      <c r="C400" s="4" t="s">
        <v>12</v>
      </c>
      <c r="D400" s="4" t="s">
        <v>163</v>
      </c>
      <c r="E400" s="13">
        <f t="shared" ca="1" si="6"/>
        <v>45746</v>
      </c>
      <c r="F400" s="4" t="s">
        <v>36</v>
      </c>
      <c r="G400" s="5">
        <v>4</v>
      </c>
      <c r="H400" s="6">
        <v>55000</v>
      </c>
      <c r="I400" s="6">
        <v>228901</v>
      </c>
      <c r="J400" s="16">
        <v>50358</v>
      </c>
    </row>
    <row r="401" spans="1:10" x14ac:dyDescent="0.3">
      <c r="A401" s="15" t="s">
        <v>10</v>
      </c>
      <c r="B401" s="7" t="s">
        <v>29</v>
      </c>
      <c r="C401" s="7" t="s">
        <v>26</v>
      </c>
      <c r="D401" s="7" t="s">
        <v>186</v>
      </c>
      <c r="E401" s="13">
        <f t="shared" ca="1" si="6"/>
        <v>45989</v>
      </c>
      <c r="F401" s="7" t="s">
        <v>40</v>
      </c>
      <c r="G401" s="8">
        <v>4</v>
      </c>
      <c r="H401" s="9">
        <v>15000</v>
      </c>
      <c r="I401" s="9">
        <v>61003</v>
      </c>
      <c r="J401" s="17">
        <v>6100</v>
      </c>
    </row>
    <row r="402" spans="1:10" x14ac:dyDescent="0.3">
      <c r="A402" s="14" t="s">
        <v>15</v>
      </c>
      <c r="B402" s="4" t="s">
        <v>81</v>
      </c>
      <c r="C402" s="4" t="s">
        <v>26</v>
      </c>
      <c r="D402" s="4" t="s">
        <v>190</v>
      </c>
      <c r="E402" s="13">
        <f t="shared" ca="1" si="6"/>
        <v>45800</v>
      </c>
      <c r="F402" s="4" t="s">
        <v>40</v>
      </c>
      <c r="G402" s="5">
        <v>2</v>
      </c>
      <c r="H402" s="6">
        <v>15000</v>
      </c>
      <c r="I402" s="6">
        <v>28005</v>
      </c>
      <c r="J402" s="16">
        <v>2800</v>
      </c>
    </row>
    <row r="403" spans="1:10" x14ac:dyDescent="0.3">
      <c r="A403" s="15" t="s">
        <v>10</v>
      </c>
      <c r="B403" s="7" t="s">
        <v>46</v>
      </c>
      <c r="C403" s="7" t="s">
        <v>26</v>
      </c>
      <c r="D403" s="7" t="s">
        <v>221</v>
      </c>
      <c r="E403" s="13">
        <f t="shared" ca="1" si="6"/>
        <v>45854</v>
      </c>
      <c r="F403" s="7" t="s">
        <v>36</v>
      </c>
      <c r="G403" s="8">
        <v>9</v>
      </c>
      <c r="H403" s="9">
        <v>55000</v>
      </c>
      <c r="I403" s="9">
        <v>482806</v>
      </c>
      <c r="J403" s="17">
        <v>106217</v>
      </c>
    </row>
    <row r="404" spans="1:10" x14ac:dyDescent="0.3">
      <c r="A404" s="14" t="s">
        <v>10</v>
      </c>
      <c r="B404" s="4" t="s">
        <v>31</v>
      </c>
      <c r="C404" s="4" t="s">
        <v>12</v>
      </c>
      <c r="D404" s="4" t="s">
        <v>160</v>
      </c>
      <c r="E404" s="13">
        <f t="shared" ca="1" si="6"/>
        <v>45970</v>
      </c>
      <c r="F404" s="4" t="s">
        <v>33</v>
      </c>
      <c r="G404" s="5">
        <v>4</v>
      </c>
      <c r="H404" s="6">
        <v>45000</v>
      </c>
      <c r="I404" s="6">
        <v>171107</v>
      </c>
      <c r="J404" s="16">
        <v>30799</v>
      </c>
    </row>
    <row r="405" spans="1:10" x14ac:dyDescent="0.3">
      <c r="A405" s="15" t="s">
        <v>41</v>
      </c>
      <c r="B405" s="7" t="s">
        <v>51</v>
      </c>
      <c r="C405" s="7" t="s">
        <v>12</v>
      </c>
      <c r="D405" s="7" t="s">
        <v>20</v>
      </c>
      <c r="E405" s="13">
        <f t="shared" ca="1" si="6"/>
        <v>45771</v>
      </c>
      <c r="F405" s="7" t="s">
        <v>14</v>
      </c>
      <c r="G405" s="8">
        <v>1</v>
      </c>
      <c r="H405" s="9">
        <v>18500</v>
      </c>
      <c r="I405" s="9">
        <v>18930</v>
      </c>
      <c r="J405" s="17">
        <v>2272</v>
      </c>
    </row>
    <row r="406" spans="1:10" x14ac:dyDescent="0.3">
      <c r="A406" s="14" t="s">
        <v>15</v>
      </c>
      <c r="B406" s="4" t="s">
        <v>31</v>
      </c>
      <c r="C406" s="4" t="s">
        <v>12</v>
      </c>
      <c r="D406" s="4" t="s">
        <v>110</v>
      </c>
      <c r="E406" s="13">
        <f t="shared" ca="1" si="6"/>
        <v>45850</v>
      </c>
      <c r="F406" s="4" t="s">
        <v>14</v>
      </c>
      <c r="G406" s="5">
        <v>8</v>
      </c>
      <c r="H406" s="6">
        <v>18500</v>
      </c>
      <c r="I406" s="6">
        <v>146821</v>
      </c>
      <c r="J406" s="16">
        <v>17619</v>
      </c>
    </row>
    <row r="407" spans="1:10" x14ac:dyDescent="0.3">
      <c r="A407" s="15" t="s">
        <v>37</v>
      </c>
      <c r="B407" s="7" t="s">
        <v>81</v>
      </c>
      <c r="C407" s="7" t="s">
        <v>26</v>
      </c>
      <c r="D407" s="7" t="s">
        <v>198</v>
      </c>
      <c r="E407" s="13">
        <f t="shared" ca="1" si="6"/>
        <v>45865</v>
      </c>
      <c r="F407" s="7" t="s">
        <v>21</v>
      </c>
      <c r="G407" s="8">
        <v>2</v>
      </c>
      <c r="H407" s="9">
        <v>12500</v>
      </c>
      <c r="I407" s="9">
        <v>23279</v>
      </c>
      <c r="J407" s="17">
        <v>1862</v>
      </c>
    </row>
    <row r="408" spans="1:10" x14ac:dyDescent="0.3">
      <c r="A408" s="14" t="s">
        <v>10</v>
      </c>
      <c r="B408" s="4" t="s">
        <v>77</v>
      </c>
      <c r="C408" s="4" t="s">
        <v>12</v>
      </c>
      <c r="D408" s="4" t="s">
        <v>133</v>
      </c>
      <c r="E408" s="13">
        <f t="shared" ca="1" si="6"/>
        <v>45778</v>
      </c>
      <c r="F408" s="4" t="s">
        <v>40</v>
      </c>
      <c r="G408" s="5">
        <v>10</v>
      </c>
      <c r="H408" s="6">
        <v>15000</v>
      </c>
      <c r="I408" s="6">
        <v>150677</v>
      </c>
      <c r="J408" s="16">
        <v>15068</v>
      </c>
    </row>
    <row r="409" spans="1:10" x14ac:dyDescent="0.3">
      <c r="A409" s="15" t="s">
        <v>15</v>
      </c>
      <c r="B409" s="7" t="s">
        <v>77</v>
      </c>
      <c r="C409" s="7" t="s">
        <v>12</v>
      </c>
      <c r="D409" s="7" t="s">
        <v>222</v>
      </c>
      <c r="E409" s="13">
        <f t="shared" ca="1" si="6"/>
        <v>45926</v>
      </c>
      <c r="F409" s="7" t="s">
        <v>14</v>
      </c>
      <c r="G409" s="8">
        <v>8</v>
      </c>
      <c r="H409" s="9">
        <v>18500</v>
      </c>
      <c r="I409" s="9">
        <v>157428</v>
      </c>
      <c r="J409" s="17">
        <v>18891</v>
      </c>
    </row>
    <row r="410" spans="1:10" x14ac:dyDescent="0.3">
      <c r="A410" s="14" t="s">
        <v>10</v>
      </c>
      <c r="B410" s="4" t="s">
        <v>25</v>
      </c>
      <c r="C410" s="4" t="s">
        <v>26</v>
      </c>
      <c r="D410" s="4" t="s">
        <v>223</v>
      </c>
      <c r="E410" s="13">
        <f t="shared" ca="1" si="6"/>
        <v>46012</v>
      </c>
      <c r="F410" s="4" t="s">
        <v>40</v>
      </c>
      <c r="G410" s="5">
        <v>4</v>
      </c>
      <c r="H410" s="6">
        <v>15000</v>
      </c>
      <c r="I410" s="6">
        <v>62897</v>
      </c>
      <c r="J410" s="16">
        <v>6290</v>
      </c>
    </row>
    <row r="411" spans="1:10" x14ac:dyDescent="0.3">
      <c r="A411" s="15" t="s">
        <v>37</v>
      </c>
      <c r="B411" s="7" t="s">
        <v>31</v>
      </c>
      <c r="C411" s="7" t="s">
        <v>12</v>
      </c>
      <c r="D411" s="7" t="s">
        <v>193</v>
      </c>
      <c r="E411" s="13">
        <f t="shared" ca="1" si="6"/>
        <v>45997</v>
      </c>
      <c r="F411" s="7" t="s">
        <v>33</v>
      </c>
      <c r="G411" s="8">
        <v>3</v>
      </c>
      <c r="H411" s="9">
        <v>45000</v>
      </c>
      <c r="I411" s="9">
        <v>128205</v>
      </c>
      <c r="J411" s="17">
        <v>23077</v>
      </c>
    </row>
    <row r="412" spans="1:10" x14ac:dyDescent="0.3">
      <c r="A412" s="14" t="s">
        <v>37</v>
      </c>
      <c r="B412" s="4" t="s">
        <v>16</v>
      </c>
      <c r="C412" s="4" t="s">
        <v>12</v>
      </c>
      <c r="D412" s="4" t="s">
        <v>57</v>
      </c>
      <c r="E412" s="13">
        <f t="shared" ca="1" si="6"/>
        <v>45983</v>
      </c>
      <c r="F412" s="4" t="s">
        <v>33</v>
      </c>
      <c r="G412" s="5">
        <v>2</v>
      </c>
      <c r="H412" s="6">
        <v>45000</v>
      </c>
      <c r="I412" s="6">
        <v>96034</v>
      </c>
      <c r="J412" s="16">
        <v>17286</v>
      </c>
    </row>
    <row r="413" spans="1:10" x14ac:dyDescent="0.3">
      <c r="A413" s="15" t="s">
        <v>37</v>
      </c>
      <c r="B413" s="7" t="s">
        <v>16</v>
      </c>
      <c r="C413" s="7" t="s">
        <v>12</v>
      </c>
      <c r="D413" s="7" t="s">
        <v>172</v>
      </c>
      <c r="E413" s="13">
        <f t="shared" ca="1" si="6"/>
        <v>45977</v>
      </c>
      <c r="F413" s="7" t="s">
        <v>21</v>
      </c>
      <c r="G413" s="8">
        <v>6</v>
      </c>
      <c r="H413" s="9">
        <v>12500</v>
      </c>
      <c r="I413" s="9">
        <v>72770</v>
      </c>
      <c r="J413" s="17">
        <v>5822</v>
      </c>
    </row>
    <row r="414" spans="1:10" x14ac:dyDescent="0.3">
      <c r="A414" s="14" t="s">
        <v>10</v>
      </c>
      <c r="B414" s="4" t="s">
        <v>88</v>
      </c>
      <c r="C414" s="4" t="s">
        <v>12</v>
      </c>
      <c r="D414" s="4" t="s">
        <v>108</v>
      </c>
      <c r="E414" s="13">
        <f t="shared" ca="1" si="6"/>
        <v>45828</v>
      </c>
      <c r="F414" s="4" t="s">
        <v>33</v>
      </c>
      <c r="G414" s="5">
        <v>5</v>
      </c>
      <c r="H414" s="6">
        <v>45000</v>
      </c>
      <c r="I414" s="6">
        <v>209440</v>
      </c>
      <c r="J414" s="16">
        <v>37699</v>
      </c>
    </row>
    <row r="415" spans="1:10" x14ac:dyDescent="0.3">
      <c r="A415" s="15" t="s">
        <v>37</v>
      </c>
      <c r="B415" s="7" t="s">
        <v>22</v>
      </c>
      <c r="C415" s="7" t="s">
        <v>23</v>
      </c>
      <c r="D415" s="7" t="s">
        <v>170</v>
      </c>
      <c r="E415" s="13">
        <f t="shared" ca="1" si="6"/>
        <v>45809</v>
      </c>
      <c r="F415" s="7" t="s">
        <v>36</v>
      </c>
      <c r="G415" s="8">
        <v>7</v>
      </c>
      <c r="H415" s="9">
        <v>55000</v>
      </c>
      <c r="I415" s="9">
        <v>414733</v>
      </c>
      <c r="J415" s="17">
        <v>91241</v>
      </c>
    </row>
    <row r="416" spans="1:10" x14ac:dyDescent="0.3">
      <c r="A416" s="14" t="s">
        <v>18</v>
      </c>
      <c r="B416" s="4" t="s">
        <v>29</v>
      </c>
      <c r="C416" s="4" t="s">
        <v>26</v>
      </c>
      <c r="D416" s="4" t="s">
        <v>137</v>
      </c>
      <c r="E416" s="13">
        <f t="shared" ca="1" si="6"/>
        <v>45758</v>
      </c>
      <c r="F416" s="4" t="s">
        <v>40</v>
      </c>
      <c r="G416" s="5">
        <v>7</v>
      </c>
      <c r="H416" s="6">
        <v>15000</v>
      </c>
      <c r="I416" s="6">
        <v>94923</v>
      </c>
      <c r="J416" s="16">
        <v>9492</v>
      </c>
    </row>
    <row r="417" spans="1:10" x14ac:dyDescent="0.3">
      <c r="A417" s="15" t="s">
        <v>10</v>
      </c>
      <c r="B417" s="7" t="s">
        <v>84</v>
      </c>
      <c r="C417" s="7" t="s">
        <v>12</v>
      </c>
      <c r="D417" s="7" t="s">
        <v>119</v>
      </c>
      <c r="E417" s="13">
        <f t="shared" ca="1" si="6"/>
        <v>46022</v>
      </c>
      <c r="F417" s="7" t="s">
        <v>21</v>
      </c>
      <c r="G417" s="8">
        <v>8</v>
      </c>
      <c r="H417" s="9">
        <v>12500</v>
      </c>
      <c r="I417" s="9">
        <v>108213</v>
      </c>
      <c r="J417" s="17">
        <v>8657</v>
      </c>
    </row>
    <row r="418" spans="1:10" x14ac:dyDescent="0.3">
      <c r="A418" s="14" t="s">
        <v>10</v>
      </c>
      <c r="B418" s="4" t="s">
        <v>51</v>
      </c>
      <c r="C418" s="4" t="s">
        <v>12</v>
      </c>
      <c r="D418" s="4" t="s">
        <v>39</v>
      </c>
      <c r="E418" s="13">
        <f t="shared" ca="1" si="6"/>
        <v>45677</v>
      </c>
      <c r="F418" s="4" t="s">
        <v>33</v>
      </c>
      <c r="G418" s="5">
        <v>5</v>
      </c>
      <c r="H418" s="6">
        <v>45000</v>
      </c>
      <c r="I418" s="6">
        <v>218909</v>
      </c>
      <c r="J418" s="16">
        <v>39404</v>
      </c>
    </row>
    <row r="419" spans="1:10" x14ac:dyDescent="0.3">
      <c r="A419" s="15" t="s">
        <v>37</v>
      </c>
      <c r="B419" s="7" t="s">
        <v>31</v>
      </c>
      <c r="C419" s="7" t="s">
        <v>12</v>
      </c>
      <c r="D419" s="7" t="s">
        <v>57</v>
      </c>
      <c r="E419" s="13">
        <f t="shared" ca="1" si="6"/>
        <v>45732</v>
      </c>
      <c r="F419" s="7" t="s">
        <v>40</v>
      </c>
      <c r="G419" s="8">
        <v>10</v>
      </c>
      <c r="H419" s="9">
        <v>15000</v>
      </c>
      <c r="I419" s="9">
        <v>139834</v>
      </c>
      <c r="J419" s="17">
        <v>13983</v>
      </c>
    </row>
    <row r="420" spans="1:10" x14ac:dyDescent="0.3">
      <c r="A420" s="14" t="s">
        <v>10</v>
      </c>
      <c r="B420" s="4" t="s">
        <v>11</v>
      </c>
      <c r="C420" s="4" t="s">
        <v>12</v>
      </c>
      <c r="D420" s="4" t="s">
        <v>114</v>
      </c>
      <c r="E420" s="13">
        <f t="shared" ca="1" si="6"/>
        <v>45782</v>
      </c>
      <c r="F420" s="4" t="s">
        <v>21</v>
      </c>
      <c r="G420" s="5">
        <v>10</v>
      </c>
      <c r="H420" s="6">
        <v>12500</v>
      </c>
      <c r="I420" s="6">
        <v>133887</v>
      </c>
      <c r="J420" s="16">
        <v>10711</v>
      </c>
    </row>
    <row r="421" spans="1:10" x14ac:dyDescent="0.3">
      <c r="A421" s="15" t="s">
        <v>41</v>
      </c>
      <c r="B421" s="7" t="s">
        <v>38</v>
      </c>
      <c r="C421" s="7" t="s">
        <v>23</v>
      </c>
      <c r="D421" s="7" t="s">
        <v>224</v>
      </c>
      <c r="E421" s="13">
        <f t="shared" ca="1" si="6"/>
        <v>45871</v>
      </c>
      <c r="F421" s="7" t="s">
        <v>33</v>
      </c>
      <c r="G421" s="8">
        <v>7</v>
      </c>
      <c r="H421" s="9">
        <v>45000</v>
      </c>
      <c r="I421" s="9">
        <v>324924</v>
      </c>
      <c r="J421" s="17">
        <v>58486</v>
      </c>
    </row>
    <row r="422" spans="1:10" x14ac:dyDescent="0.3">
      <c r="A422" s="14" t="s">
        <v>18</v>
      </c>
      <c r="B422" s="4" t="s">
        <v>84</v>
      </c>
      <c r="C422" s="4" t="s">
        <v>12</v>
      </c>
      <c r="D422" s="4" t="s">
        <v>199</v>
      </c>
      <c r="E422" s="13">
        <f t="shared" ca="1" si="6"/>
        <v>45751</v>
      </c>
      <c r="F422" s="4" t="s">
        <v>36</v>
      </c>
      <c r="G422" s="5">
        <v>5</v>
      </c>
      <c r="H422" s="6">
        <v>55000</v>
      </c>
      <c r="I422" s="6">
        <v>288630</v>
      </c>
      <c r="J422" s="16">
        <v>63499</v>
      </c>
    </row>
    <row r="423" spans="1:10" x14ac:dyDescent="0.3">
      <c r="A423" s="15" t="s">
        <v>41</v>
      </c>
      <c r="B423" s="7" t="s">
        <v>51</v>
      </c>
      <c r="C423" s="7" t="s">
        <v>12</v>
      </c>
      <c r="D423" s="7" t="s">
        <v>225</v>
      </c>
      <c r="E423" s="13">
        <f t="shared" ca="1" si="6"/>
        <v>45782</v>
      </c>
      <c r="F423" s="7" t="s">
        <v>40</v>
      </c>
      <c r="G423" s="8">
        <v>10</v>
      </c>
      <c r="H423" s="9">
        <v>15000</v>
      </c>
      <c r="I423" s="9">
        <v>155690</v>
      </c>
      <c r="J423" s="17">
        <v>15569</v>
      </c>
    </row>
    <row r="424" spans="1:10" x14ac:dyDescent="0.3">
      <c r="A424" s="14" t="s">
        <v>15</v>
      </c>
      <c r="B424" s="4" t="s">
        <v>16</v>
      </c>
      <c r="C424" s="4" t="s">
        <v>12</v>
      </c>
      <c r="D424" s="4" t="s">
        <v>96</v>
      </c>
      <c r="E424" s="13">
        <f t="shared" ca="1" si="6"/>
        <v>45725</v>
      </c>
      <c r="F424" s="4" t="s">
        <v>33</v>
      </c>
      <c r="G424" s="5">
        <v>10</v>
      </c>
      <c r="H424" s="6">
        <v>45000</v>
      </c>
      <c r="I424" s="6">
        <v>438096</v>
      </c>
      <c r="J424" s="16">
        <v>78857</v>
      </c>
    </row>
    <row r="425" spans="1:10" x14ac:dyDescent="0.3">
      <c r="A425" s="15" t="s">
        <v>10</v>
      </c>
      <c r="B425" s="7" t="s">
        <v>77</v>
      </c>
      <c r="C425" s="7" t="s">
        <v>12</v>
      </c>
      <c r="D425" s="7" t="s">
        <v>49</v>
      </c>
      <c r="E425" s="13">
        <f t="shared" ca="1" si="6"/>
        <v>45714</v>
      </c>
      <c r="F425" s="7" t="s">
        <v>40</v>
      </c>
      <c r="G425" s="8">
        <v>6</v>
      </c>
      <c r="H425" s="9">
        <v>15000</v>
      </c>
      <c r="I425" s="9">
        <v>92207</v>
      </c>
      <c r="J425" s="17">
        <v>9221</v>
      </c>
    </row>
    <row r="426" spans="1:10" x14ac:dyDescent="0.3">
      <c r="A426" s="14" t="s">
        <v>10</v>
      </c>
      <c r="B426" s="4" t="s">
        <v>16</v>
      </c>
      <c r="C426" s="4" t="s">
        <v>12</v>
      </c>
      <c r="D426" s="4" t="s">
        <v>67</v>
      </c>
      <c r="E426" s="13">
        <f t="shared" ca="1" si="6"/>
        <v>45812</v>
      </c>
      <c r="F426" s="4" t="s">
        <v>21</v>
      </c>
      <c r="G426" s="5">
        <v>4</v>
      </c>
      <c r="H426" s="6">
        <v>12500</v>
      </c>
      <c r="I426" s="6">
        <v>46771</v>
      </c>
      <c r="J426" s="16">
        <v>3742</v>
      </c>
    </row>
    <row r="427" spans="1:10" x14ac:dyDescent="0.3">
      <c r="A427" s="15" t="s">
        <v>37</v>
      </c>
      <c r="B427" s="7" t="s">
        <v>51</v>
      </c>
      <c r="C427" s="7" t="s">
        <v>12</v>
      </c>
      <c r="D427" s="7" t="s">
        <v>13</v>
      </c>
      <c r="E427" s="13">
        <f t="shared" ca="1" si="6"/>
        <v>45995</v>
      </c>
      <c r="F427" s="7" t="s">
        <v>33</v>
      </c>
      <c r="G427" s="8">
        <v>6</v>
      </c>
      <c r="H427" s="9">
        <v>45000</v>
      </c>
      <c r="I427" s="9">
        <v>243898</v>
      </c>
      <c r="J427" s="17">
        <v>43902</v>
      </c>
    </row>
    <row r="428" spans="1:10" x14ac:dyDescent="0.3">
      <c r="A428" s="14" t="s">
        <v>10</v>
      </c>
      <c r="B428" s="4" t="s">
        <v>81</v>
      </c>
      <c r="C428" s="4" t="s">
        <v>26</v>
      </c>
      <c r="D428" s="4" t="s">
        <v>104</v>
      </c>
      <c r="E428" s="13">
        <f t="shared" ca="1" si="6"/>
        <v>46020</v>
      </c>
      <c r="F428" s="4" t="s">
        <v>33</v>
      </c>
      <c r="G428" s="5">
        <v>3</v>
      </c>
      <c r="H428" s="6">
        <v>45000</v>
      </c>
      <c r="I428" s="6">
        <v>125189</v>
      </c>
      <c r="J428" s="16">
        <v>22534</v>
      </c>
    </row>
    <row r="429" spans="1:10" x14ac:dyDescent="0.3">
      <c r="A429" s="15" t="s">
        <v>41</v>
      </c>
      <c r="B429" s="7" t="s">
        <v>29</v>
      </c>
      <c r="C429" s="7" t="s">
        <v>26</v>
      </c>
      <c r="D429" s="7" t="s">
        <v>226</v>
      </c>
      <c r="E429" s="13">
        <f t="shared" ca="1" si="6"/>
        <v>45861</v>
      </c>
      <c r="F429" s="7" t="s">
        <v>40</v>
      </c>
      <c r="G429" s="8">
        <v>8</v>
      </c>
      <c r="H429" s="9">
        <v>15000</v>
      </c>
      <c r="I429" s="9">
        <v>130641</v>
      </c>
      <c r="J429" s="17">
        <v>13064</v>
      </c>
    </row>
    <row r="430" spans="1:10" x14ac:dyDescent="0.3">
      <c r="A430" s="14" t="s">
        <v>37</v>
      </c>
      <c r="B430" s="4" t="s">
        <v>84</v>
      </c>
      <c r="C430" s="4" t="s">
        <v>12</v>
      </c>
      <c r="D430" s="4" t="s">
        <v>139</v>
      </c>
      <c r="E430" s="13">
        <f t="shared" ca="1" si="6"/>
        <v>45831</v>
      </c>
      <c r="F430" s="4" t="s">
        <v>21</v>
      </c>
      <c r="G430" s="5">
        <v>4</v>
      </c>
      <c r="H430" s="6">
        <v>12500</v>
      </c>
      <c r="I430" s="6">
        <v>52474</v>
      </c>
      <c r="J430" s="16">
        <v>4198</v>
      </c>
    </row>
    <row r="431" spans="1:10" x14ac:dyDescent="0.3">
      <c r="A431" s="15" t="s">
        <v>37</v>
      </c>
      <c r="B431" s="7" t="s">
        <v>56</v>
      </c>
      <c r="C431" s="7" t="s">
        <v>23</v>
      </c>
      <c r="D431" s="7" t="s">
        <v>130</v>
      </c>
      <c r="E431" s="13">
        <f t="shared" ca="1" si="6"/>
        <v>45669</v>
      </c>
      <c r="F431" s="7" t="s">
        <v>40</v>
      </c>
      <c r="G431" s="8">
        <v>10</v>
      </c>
      <c r="H431" s="9">
        <v>15000</v>
      </c>
      <c r="I431" s="9">
        <v>163553</v>
      </c>
      <c r="J431" s="17">
        <v>16355</v>
      </c>
    </row>
    <row r="432" spans="1:10" x14ac:dyDescent="0.3">
      <c r="A432" s="14" t="s">
        <v>18</v>
      </c>
      <c r="B432" s="4" t="s">
        <v>19</v>
      </c>
      <c r="C432" s="4" t="s">
        <v>12</v>
      </c>
      <c r="D432" s="4" t="s">
        <v>64</v>
      </c>
      <c r="E432" s="13">
        <f t="shared" ca="1" si="6"/>
        <v>45756</v>
      </c>
      <c r="F432" s="4" t="s">
        <v>36</v>
      </c>
      <c r="G432" s="5">
        <v>2</v>
      </c>
      <c r="H432" s="6">
        <v>55000</v>
      </c>
      <c r="I432" s="6">
        <v>102876</v>
      </c>
      <c r="J432" s="16">
        <v>22633</v>
      </c>
    </row>
    <row r="433" spans="1:10" x14ac:dyDescent="0.3">
      <c r="A433" s="15" t="s">
        <v>18</v>
      </c>
      <c r="B433" s="7" t="s">
        <v>22</v>
      </c>
      <c r="C433" s="7" t="s">
        <v>23</v>
      </c>
      <c r="D433" s="7" t="s">
        <v>179</v>
      </c>
      <c r="E433" s="13">
        <f t="shared" ca="1" si="6"/>
        <v>45951</v>
      </c>
      <c r="F433" s="7" t="s">
        <v>21</v>
      </c>
      <c r="G433" s="8">
        <v>9</v>
      </c>
      <c r="H433" s="9">
        <v>12500</v>
      </c>
      <c r="I433" s="9">
        <v>107966</v>
      </c>
      <c r="J433" s="17">
        <v>8637</v>
      </c>
    </row>
    <row r="434" spans="1:10" x14ac:dyDescent="0.3">
      <c r="A434" s="14" t="s">
        <v>37</v>
      </c>
      <c r="B434" s="4" t="s">
        <v>38</v>
      </c>
      <c r="C434" s="4" t="s">
        <v>23</v>
      </c>
      <c r="D434" s="4" t="s">
        <v>124</v>
      </c>
      <c r="E434" s="13">
        <f t="shared" ca="1" si="6"/>
        <v>45728</v>
      </c>
      <c r="F434" s="4" t="s">
        <v>21</v>
      </c>
      <c r="G434" s="5">
        <v>7</v>
      </c>
      <c r="H434" s="6">
        <v>12500</v>
      </c>
      <c r="I434" s="6">
        <v>88891</v>
      </c>
      <c r="J434" s="16">
        <v>7111</v>
      </c>
    </row>
    <row r="435" spans="1:10" x14ac:dyDescent="0.3">
      <c r="A435" s="15" t="s">
        <v>37</v>
      </c>
      <c r="B435" s="7" t="s">
        <v>77</v>
      </c>
      <c r="C435" s="7" t="s">
        <v>12</v>
      </c>
      <c r="D435" s="7" t="s">
        <v>140</v>
      </c>
      <c r="E435" s="13">
        <f t="shared" ca="1" si="6"/>
        <v>45798</v>
      </c>
      <c r="F435" s="7" t="s">
        <v>21</v>
      </c>
      <c r="G435" s="8">
        <v>9</v>
      </c>
      <c r="H435" s="9">
        <v>12500</v>
      </c>
      <c r="I435" s="9">
        <v>112153</v>
      </c>
      <c r="J435" s="17">
        <v>8972</v>
      </c>
    </row>
    <row r="436" spans="1:10" x14ac:dyDescent="0.3">
      <c r="A436" s="14" t="s">
        <v>41</v>
      </c>
      <c r="B436" s="4" t="s">
        <v>22</v>
      </c>
      <c r="C436" s="4" t="s">
        <v>23</v>
      </c>
      <c r="D436" s="4" t="s">
        <v>193</v>
      </c>
      <c r="E436" s="13">
        <f t="shared" ca="1" si="6"/>
        <v>46004</v>
      </c>
      <c r="F436" s="4" t="s">
        <v>21</v>
      </c>
      <c r="G436" s="5">
        <v>1</v>
      </c>
      <c r="H436" s="6">
        <v>12500</v>
      </c>
      <c r="I436" s="6">
        <v>11929</v>
      </c>
      <c r="J436" s="16">
        <v>954</v>
      </c>
    </row>
    <row r="437" spans="1:10" x14ac:dyDescent="0.3">
      <c r="A437" s="15" t="s">
        <v>18</v>
      </c>
      <c r="B437" s="7" t="s">
        <v>25</v>
      </c>
      <c r="C437" s="7" t="s">
        <v>26</v>
      </c>
      <c r="D437" s="7" t="s">
        <v>170</v>
      </c>
      <c r="E437" s="13">
        <f t="shared" ca="1" si="6"/>
        <v>45722</v>
      </c>
      <c r="F437" s="7" t="s">
        <v>14</v>
      </c>
      <c r="G437" s="8">
        <v>1</v>
      </c>
      <c r="H437" s="9">
        <v>18500</v>
      </c>
      <c r="I437" s="9">
        <v>17541</v>
      </c>
      <c r="J437" s="17">
        <v>2105</v>
      </c>
    </row>
    <row r="438" spans="1:10" x14ac:dyDescent="0.3">
      <c r="A438" s="14" t="s">
        <v>18</v>
      </c>
      <c r="B438" s="4" t="s">
        <v>81</v>
      </c>
      <c r="C438" s="4" t="s">
        <v>26</v>
      </c>
      <c r="D438" s="4" t="s">
        <v>138</v>
      </c>
      <c r="E438" s="13">
        <f t="shared" ca="1" si="6"/>
        <v>45840</v>
      </c>
      <c r="F438" s="4" t="s">
        <v>36</v>
      </c>
      <c r="G438" s="5">
        <v>3</v>
      </c>
      <c r="H438" s="6">
        <v>55000</v>
      </c>
      <c r="I438" s="6">
        <v>150444</v>
      </c>
      <c r="J438" s="16">
        <v>33098</v>
      </c>
    </row>
    <row r="439" spans="1:10" x14ac:dyDescent="0.3">
      <c r="A439" s="15" t="s">
        <v>37</v>
      </c>
      <c r="B439" s="7" t="s">
        <v>51</v>
      </c>
      <c r="C439" s="7" t="s">
        <v>12</v>
      </c>
      <c r="D439" s="7" t="s">
        <v>207</v>
      </c>
      <c r="E439" s="13">
        <f t="shared" ca="1" si="6"/>
        <v>45880</v>
      </c>
      <c r="F439" s="7" t="s">
        <v>36</v>
      </c>
      <c r="G439" s="8">
        <v>1</v>
      </c>
      <c r="H439" s="9">
        <v>55000</v>
      </c>
      <c r="I439" s="9">
        <v>50491</v>
      </c>
      <c r="J439" s="17">
        <v>11108</v>
      </c>
    </row>
    <row r="440" spans="1:10" x14ac:dyDescent="0.3">
      <c r="A440" s="14" t="s">
        <v>18</v>
      </c>
      <c r="B440" s="4" t="s">
        <v>31</v>
      </c>
      <c r="C440" s="4" t="s">
        <v>12</v>
      </c>
      <c r="D440" s="4" t="s">
        <v>168</v>
      </c>
      <c r="E440" s="13">
        <f t="shared" ca="1" si="6"/>
        <v>45997</v>
      </c>
      <c r="F440" s="4" t="s">
        <v>40</v>
      </c>
      <c r="G440" s="5">
        <v>2</v>
      </c>
      <c r="H440" s="6">
        <v>15000</v>
      </c>
      <c r="I440" s="6">
        <v>31196</v>
      </c>
      <c r="J440" s="16">
        <v>3120</v>
      </c>
    </row>
    <row r="441" spans="1:10" x14ac:dyDescent="0.3">
      <c r="A441" s="15" t="s">
        <v>15</v>
      </c>
      <c r="B441" s="7" t="s">
        <v>22</v>
      </c>
      <c r="C441" s="7" t="s">
        <v>23</v>
      </c>
      <c r="D441" s="7" t="s">
        <v>155</v>
      </c>
      <c r="E441" s="13">
        <f t="shared" ca="1" si="6"/>
        <v>45776</v>
      </c>
      <c r="F441" s="7" t="s">
        <v>21</v>
      </c>
      <c r="G441" s="8">
        <v>10</v>
      </c>
      <c r="H441" s="9">
        <v>12500</v>
      </c>
      <c r="I441" s="9">
        <v>113172</v>
      </c>
      <c r="J441" s="17">
        <v>9054</v>
      </c>
    </row>
    <row r="442" spans="1:10" x14ac:dyDescent="0.3">
      <c r="A442" s="14" t="s">
        <v>10</v>
      </c>
      <c r="B442" s="4" t="s">
        <v>25</v>
      </c>
      <c r="C442" s="4" t="s">
        <v>26</v>
      </c>
      <c r="D442" s="4" t="s">
        <v>147</v>
      </c>
      <c r="E442" s="13">
        <f t="shared" ca="1" si="6"/>
        <v>45665</v>
      </c>
      <c r="F442" s="4" t="s">
        <v>33</v>
      </c>
      <c r="G442" s="5">
        <v>6</v>
      </c>
      <c r="H442" s="6">
        <v>45000</v>
      </c>
      <c r="I442" s="6">
        <v>266358</v>
      </c>
      <c r="J442" s="16">
        <v>47944</v>
      </c>
    </row>
    <row r="443" spans="1:10" x14ac:dyDescent="0.3">
      <c r="A443" s="15" t="s">
        <v>18</v>
      </c>
      <c r="B443" s="7" t="s">
        <v>51</v>
      </c>
      <c r="C443" s="7" t="s">
        <v>12</v>
      </c>
      <c r="D443" s="7" t="s">
        <v>125</v>
      </c>
      <c r="E443" s="13">
        <f t="shared" ca="1" si="6"/>
        <v>45936</v>
      </c>
      <c r="F443" s="7" t="s">
        <v>21</v>
      </c>
      <c r="G443" s="8">
        <v>10</v>
      </c>
      <c r="H443" s="9">
        <v>12500</v>
      </c>
      <c r="I443" s="9">
        <v>126061</v>
      </c>
      <c r="J443" s="17">
        <v>10085</v>
      </c>
    </row>
    <row r="444" spans="1:10" x14ac:dyDescent="0.3">
      <c r="A444" s="14" t="s">
        <v>10</v>
      </c>
      <c r="B444" s="4" t="s">
        <v>11</v>
      </c>
      <c r="C444" s="4" t="s">
        <v>12</v>
      </c>
      <c r="D444" s="4" t="s">
        <v>13</v>
      </c>
      <c r="E444" s="13">
        <f t="shared" ca="1" si="6"/>
        <v>45972</v>
      </c>
      <c r="F444" s="4" t="s">
        <v>33</v>
      </c>
      <c r="G444" s="5">
        <v>1</v>
      </c>
      <c r="H444" s="6">
        <v>45000</v>
      </c>
      <c r="I444" s="6">
        <v>45120</v>
      </c>
      <c r="J444" s="16">
        <v>8122</v>
      </c>
    </row>
    <row r="445" spans="1:10" x14ac:dyDescent="0.3">
      <c r="A445" s="15" t="s">
        <v>41</v>
      </c>
      <c r="B445" s="7" t="s">
        <v>38</v>
      </c>
      <c r="C445" s="7" t="s">
        <v>23</v>
      </c>
      <c r="D445" s="7" t="s">
        <v>195</v>
      </c>
      <c r="E445" s="13">
        <f t="shared" ca="1" si="6"/>
        <v>45892</v>
      </c>
      <c r="F445" s="7" t="s">
        <v>14</v>
      </c>
      <c r="G445" s="8">
        <v>9</v>
      </c>
      <c r="H445" s="9">
        <v>18500</v>
      </c>
      <c r="I445" s="9">
        <v>181434</v>
      </c>
      <c r="J445" s="17">
        <v>21772</v>
      </c>
    </row>
    <row r="446" spans="1:10" x14ac:dyDescent="0.3">
      <c r="A446" s="14" t="s">
        <v>10</v>
      </c>
      <c r="B446" s="4" t="s">
        <v>19</v>
      </c>
      <c r="C446" s="4" t="s">
        <v>12</v>
      </c>
      <c r="D446" s="4" t="s">
        <v>188</v>
      </c>
      <c r="E446" s="13">
        <f t="shared" ca="1" si="6"/>
        <v>45988</v>
      </c>
      <c r="F446" s="4" t="s">
        <v>40</v>
      </c>
      <c r="G446" s="5">
        <v>1</v>
      </c>
      <c r="H446" s="6">
        <v>15000</v>
      </c>
      <c r="I446" s="6">
        <v>15352</v>
      </c>
      <c r="J446" s="16">
        <v>1535</v>
      </c>
    </row>
    <row r="447" spans="1:10" x14ac:dyDescent="0.3">
      <c r="A447" s="15" t="s">
        <v>18</v>
      </c>
      <c r="B447" s="7" t="s">
        <v>56</v>
      </c>
      <c r="C447" s="7" t="s">
        <v>23</v>
      </c>
      <c r="D447" s="7" t="s">
        <v>43</v>
      </c>
      <c r="E447" s="13">
        <f t="shared" ca="1" si="6"/>
        <v>45789</v>
      </c>
      <c r="F447" s="7" t="s">
        <v>40</v>
      </c>
      <c r="G447" s="8">
        <v>5</v>
      </c>
      <c r="H447" s="9">
        <v>15000</v>
      </c>
      <c r="I447" s="9">
        <v>68181</v>
      </c>
      <c r="J447" s="17">
        <v>6818</v>
      </c>
    </row>
    <row r="448" spans="1:10" x14ac:dyDescent="0.3">
      <c r="A448" s="14" t="s">
        <v>18</v>
      </c>
      <c r="B448" s="4" t="s">
        <v>88</v>
      </c>
      <c r="C448" s="4" t="s">
        <v>12</v>
      </c>
      <c r="D448" s="4" t="s">
        <v>173</v>
      </c>
      <c r="E448" s="13">
        <f t="shared" ca="1" si="6"/>
        <v>45836</v>
      </c>
      <c r="F448" s="4" t="s">
        <v>14</v>
      </c>
      <c r="G448" s="5">
        <v>1</v>
      </c>
      <c r="H448" s="6">
        <v>18500</v>
      </c>
      <c r="I448" s="6">
        <v>18274</v>
      </c>
      <c r="J448" s="16">
        <v>2193</v>
      </c>
    </row>
    <row r="449" spans="1:10" x14ac:dyDescent="0.3">
      <c r="A449" s="15" t="s">
        <v>41</v>
      </c>
      <c r="B449" s="7" t="s">
        <v>11</v>
      </c>
      <c r="C449" s="7" t="s">
        <v>12</v>
      </c>
      <c r="D449" s="7" t="s">
        <v>48</v>
      </c>
      <c r="E449" s="13">
        <f t="shared" ca="1" si="6"/>
        <v>45681</v>
      </c>
      <c r="F449" s="7" t="s">
        <v>21</v>
      </c>
      <c r="G449" s="8">
        <v>3</v>
      </c>
      <c r="H449" s="9">
        <v>12500</v>
      </c>
      <c r="I449" s="9">
        <v>35985</v>
      </c>
      <c r="J449" s="17">
        <v>2879</v>
      </c>
    </row>
    <row r="450" spans="1:10" x14ac:dyDescent="0.3">
      <c r="A450" s="14" t="s">
        <v>18</v>
      </c>
      <c r="B450" s="4" t="s">
        <v>11</v>
      </c>
      <c r="C450" s="4" t="s">
        <v>12</v>
      </c>
      <c r="D450" s="4" t="s">
        <v>122</v>
      </c>
      <c r="E450" s="13">
        <f t="shared" ca="1" si="6"/>
        <v>45902</v>
      </c>
      <c r="F450" s="4" t="s">
        <v>36</v>
      </c>
      <c r="G450" s="5">
        <v>3</v>
      </c>
      <c r="H450" s="6">
        <v>55000</v>
      </c>
      <c r="I450" s="6">
        <v>178758</v>
      </c>
      <c r="J450" s="16">
        <v>39327</v>
      </c>
    </row>
    <row r="451" spans="1:10" x14ac:dyDescent="0.3">
      <c r="A451" s="15" t="s">
        <v>18</v>
      </c>
      <c r="B451" s="7" t="s">
        <v>77</v>
      </c>
      <c r="C451" s="7" t="s">
        <v>12</v>
      </c>
      <c r="D451" s="7" t="s">
        <v>52</v>
      </c>
      <c r="E451" s="13">
        <f t="shared" ref="E451:E514" ca="1" si="7">DATE(2025,1,1)+RANDBETWEEN(0,364)</f>
        <v>45683</v>
      </c>
      <c r="F451" s="7" t="s">
        <v>33</v>
      </c>
      <c r="G451" s="8">
        <v>3</v>
      </c>
      <c r="H451" s="9">
        <v>45000</v>
      </c>
      <c r="I451" s="9">
        <v>135587</v>
      </c>
      <c r="J451" s="17">
        <v>24406</v>
      </c>
    </row>
    <row r="452" spans="1:10" x14ac:dyDescent="0.3">
      <c r="A452" s="14" t="s">
        <v>18</v>
      </c>
      <c r="B452" s="4" t="s">
        <v>81</v>
      </c>
      <c r="C452" s="4" t="s">
        <v>26</v>
      </c>
      <c r="D452" s="4" t="s">
        <v>87</v>
      </c>
      <c r="E452" s="13">
        <f t="shared" ca="1" si="7"/>
        <v>45888</v>
      </c>
      <c r="F452" s="4" t="s">
        <v>33</v>
      </c>
      <c r="G452" s="5">
        <v>6</v>
      </c>
      <c r="H452" s="6">
        <v>45000</v>
      </c>
      <c r="I452" s="6">
        <v>253006</v>
      </c>
      <c r="J452" s="16">
        <v>45541</v>
      </c>
    </row>
    <row r="453" spans="1:10" x14ac:dyDescent="0.3">
      <c r="A453" s="15" t="s">
        <v>37</v>
      </c>
      <c r="B453" s="7" t="s">
        <v>25</v>
      </c>
      <c r="C453" s="7" t="s">
        <v>26</v>
      </c>
      <c r="D453" s="7" t="s">
        <v>151</v>
      </c>
      <c r="E453" s="13">
        <f t="shared" ca="1" si="7"/>
        <v>45965</v>
      </c>
      <c r="F453" s="7" t="s">
        <v>14</v>
      </c>
      <c r="G453" s="8">
        <v>2</v>
      </c>
      <c r="H453" s="9">
        <v>18500</v>
      </c>
      <c r="I453" s="9">
        <v>36569</v>
      </c>
      <c r="J453" s="17">
        <v>4388</v>
      </c>
    </row>
    <row r="454" spans="1:10" x14ac:dyDescent="0.3">
      <c r="A454" s="14" t="s">
        <v>18</v>
      </c>
      <c r="B454" s="4" t="s">
        <v>11</v>
      </c>
      <c r="C454" s="4" t="s">
        <v>12</v>
      </c>
      <c r="D454" s="4" t="s">
        <v>227</v>
      </c>
      <c r="E454" s="13">
        <f t="shared" ca="1" si="7"/>
        <v>45754</v>
      </c>
      <c r="F454" s="4" t="s">
        <v>21</v>
      </c>
      <c r="G454" s="5">
        <v>3</v>
      </c>
      <c r="H454" s="6">
        <v>12500</v>
      </c>
      <c r="I454" s="6">
        <v>39978</v>
      </c>
      <c r="J454" s="16">
        <v>3198</v>
      </c>
    </row>
    <row r="455" spans="1:10" x14ac:dyDescent="0.3">
      <c r="A455" s="15" t="s">
        <v>41</v>
      </c>
      <c r="B455" s="7" t="s">
        <v>56</v>
      </c>
      <c r="C455" s="7" t="s">
        <v>23</v>
      </c>
      <c r="D455" s="7" t="s">
        <v>27</v>
      </c>
      <c r="E455" s="13">
        <f t="shared" ca="1" si="7"/>
        <v>45834</v>
      </c>
      <c r="F455" s="7" t="s">
        <v>33</v>
      </c>
      <c r="G455" s="8">
        <v>2</v>
      </c>
      <c r="H455" s="9">
        <v>45000</v>
      </c>
      <c r="I455" s="9">
        <v>98566</v>
      </c>
      <c r="J455" s="17">
        <v>17742</v>
      </c>
    </row>
    <row r="456" spans="1:10" x14ac:dyDescent="0.3">
      <c r="A456" s="14" t="s">
        <v>41</v>
      </c>
      <c r="B456" s="4" t="s">
        <v>88</v>
      </c>
      <c r="C456" s="4" t="s">
        <v>12</v>
      </c>
      <c r="D456" s="4" t="s">
        <v>217</v>
      </c>
      <c r="E456" s="13">
        <f t="shared" ca="1" si="7"/>
        <v>45918</v>
      </c>
      <c r="F456" s="4" t="s">
        <v>33</v>
      </c>
      <c r="G456" s="5">
        <v>4</v>
      </c>
      <c r="H456" s="6">
        <v>45000</v>
      </c>
      <c r="I456" s="6">
        <v>185992</v>
      </c>
      <c r="J456" s="16">
        <v>33479</v>
      </c>
    </row>
    <row r="457" spans="1:10" x14ac:dyDescent="0.3">
      <c r="A457" s="15" t="s">
        <v>18</v>
      </c>
      <c r="B457" s="7" t="s">
        <v>25</v>
      </c>
      <c r="C457" s="7" t="s">
        <v>26</v>
      </c>
      <c r="D457" s="7" t="s">
        <v>197</v>
      </c>
      <c r="E457" s="13">
        <f t="shared" ca="1" si="7"/>
        <v>45918</v>
      </c>
      <c r="F457" s="7" t="s">
        <v>33</v>
      </c>
      <c r="G457" s="8">
        <v>9</v>
      </c>
      <c r="H457" s="9">
        <v>45000</v>
      </c>
      <c r="I457" s="9">
        <v>366366</v>
      </c>
      <c r="J457" s="17">
        <v>65946</v>
      </c>
    </row>
    <row r="458" spans="1:10" x14ac:dyDescent="0.3">
      <c r="A458" s="14" t="s">
        <v>15</v>
      </c>
      <c r="B458" s="4" t="s">
        <v>51</v>
      </c>
      <c r="C458" s="4" t="s">
        <v>12</v>
      </c>
      <c r="D458" s="4" t="s">
        <v>127</v>
      </c>
      <c r="E458" s="13">
        <f t="shared" ca="1" si="7"/>
        <v>45683</v>
      </c>
      <c r="F458" s="4" t="s">
        <v>40</v>
      </c>
      <c r="G458" s="5">
        <v>10</v>
      </c>
      <c r="H458" s="6">
        <v>15000</v>
      </c>
      <c r="I458" s="6">
        <v>141771</v>
      </c>
      <c r="J458" s="16">
        <v>14177</v>
      </c>
    </row>
    <row r="459" spans="1:10" x14ac:dyDescent="0.3">
      <c r="A459" s="15" t="s">
        <v>37</v>
      </c>
      <c r="B459" s="7" t="s">
        <v>77</v>
      </c>
      <c r="C459" s="7" t="s">
        <v>12</v>
      </c>
      <c r="D459" s="7" t="s">
        <v>148</v>
      </c>
      <c r="E459" s="13">
        <f t="shared" ca="1" si="7"/>
        <v>45893</v>
      </c>
      <c r="F459" s="7" t="s">
        <v>14</v>
      </c>
      <c r="G459" s="8">
        <v>6</v>
      </c>
      <c r="H459" s="9">
        <v>18500</v>
      </c>
      <c r="I459" s="9">
        <v>119025</v>
      </c>
      <c r="J459" s="17">
        <v>14283</v>
      </c>
    </row>
    <row r="460" spans="1:10" x14ac:dyDescent="0.3">
      <c r="A460" s="14" t="s">
        <v>15</v>
      </c>
      <c r="B460" s="4" t="s">
        <v>81</v>
      </c>
      <c r="C460" s="4" t="s">
        <v>26</v>
      </c>
      <c r="D460" s="4" t="s">
        <v>209</v>
      </c>
      <c r="E460" s="13">
        <f t="shared" ca="1" si="7"/>
        <v>45677</v>
      </c>
      <c r="F460" s="4" t="s">
        <v>14</v>
      </c>
      <c r="G460" s="5">
        <v>3</v>
      </c>
      <c r="H460" s="6">
        <v>18500</v>
      </c>
      <c r="I460" s="6">
        <v>50439</v>
      </c>
      <c r="J460" s="16">
        <v>6053</v>
      </c>
    </row>
    <row r="461" spans="1:10" x14ac:dyDescent="0.3">
      <c r="A461" s="15" t="s">
        <v>18</v>
      </c>
      <c r="B461" s="7" t="s">
        <v>46</v>
      </c>
      <c r="C461" s="7" t="s">
        <v>26</v>
      </c>
      <c r="D461" s="7" t="s">
        <v>97</v>
      </c>
      <c r="E461" s="13">
        <f t="shared" ca="1" si="7"/>
        <v>45779</v>
      </c>
      <c r="F461" s="7" t="s">
        <v>36</v>
      </c>
      <c r="G461" s="8">
        <v>2</v>
      </c>
      <c r="H461" s="9">
        <v>55000</v>
      </c>
      <c r="I461" s="9">
        <v>113640</v>
      </c>
      <c r="J461" s="17">
        <v>25001</v>
      </c>
    </row>
    <row r="462" spans="1:10" x14ac:dyDescent="0.3">
      <c r="A462" s="14" t="s">
        <v>37</v>
      </c>
      <c r="B462" s="4" t="s">
        <v>11</v>
      </c>
      <c r="C462" s="4" t="s">
        <v>12</v>
      </c>
      <c r="D462" s="4" t="s">
        <v>228</v>
      </c>
      <c r="E462" s="13">
        <f t="shared" ca="1" si="7"/>
        <v>45878</v>
      </c>
      <c r="F462" s="4" t="s">
        <v>21</v>
      </c>
      <c r="G462" s="5">
        <v>6</v>
      </c>
      <c r="H462" s="6">
        <v>12500</v>
      </c>
      <c r="I462" s="6">
        <v>74299</v>
      </c>
      <c r="J462" s="16">
        <v>5944</v>
      </c>
    </row>
    <row r="463" spans="1:10" x14ac:dyDescent="0.3">
      <c r="A463" s="15" t="s">
        <v>15</v>
      </c>
      <c r="B463" s="7" t="s">
        <v>19</v>
      </c>
      <c r="C463" s="7" t="s">
        <v>12</v>
      </c>
      <c r="D463" s="7" t="s">
        <v>70</v>
      </c>
      <c r="E463" s="13">
        <f t="shared" ca="1" si="7"/>
        <v>45748</v>
      </c>
      <c r="F463" s="7" t="s">
        <v>36</v>
      </c>
      <c r="G463" s="8">
        <v>1</v>
      </c>
      <c r="H463" s="9">
        <v>55000</v>
      </c>
      <c r="I463" s="9">
        <v>60152</v>
      </c>
      <c r="J463" s="17">
        <v>13233</v>
      </c>
    </row>
    <row r="464" spans="1:10" x14ac:dyDescent="0.3">
      <c r="A464" s="14" t="s">
        <v>18</v>
      </c>
      <c r="B464" s="4" t="s">
        <v>84</v>
      </c>
      <c r="C464" s="4" t="s">
        <v>12</v>
      </c>
      <c r="D464" s="4" t="s">
        <v>134</v>
      </c>
      <c r="E464" s="13">
        <f t="shared" ca="1" si="7"/>
        <v>45828</v>
      </c>
      <c r="F464" s="4" t="s">
        <v>40</v>
      </c>
      <c r="G464" s="5">
        <v>7</v>
      </c>
      <c r="H464" s="6">
        <v>15000</v>
      </c>
      <c r="I464" s="6">
        <v>102632</v>
      </c>
      <c r="J464" s="16">
        <v>10263</v>
      </c>
    </row>
    <row r="465" spans="1:10" x14ac:dyDescent="0.3">
      <c r="A465" s="15" t="s">
        <v>18</v>
      </c>
      <c r="B465" s="7" t="s">
        <v>88</v>
      </c>
      <c r="C465" s="7" t="s">
        <v>12</v>
      </c>
      <c r="D465" s="7" t="s">
        <v>175</v>
      </c>
      <c r="E465" s="13">
        <f t="shared" ca="1" si="7"/>
        <v>45967</v>
      </c>
      <c r="F465" s="7" t="s">
        <v>33</v>
      </c>
      <c r="G465" s="8">
        <v>10</v>
      </c>
      <c r="H465" s="9">
        <v>45000</v>
      </c>
      <c r="I465" s="9">
        <v>420715</v>
      </c>
      <c r="J465" s="17">
        <v>75729</v>
      </c>
    </row>
    <row r="466" spans="1:10" x14ac:dyDescent="0.3">
      <c r="A466" s="14" t="s">
        <v>18</v>
      </c>
      <c r="B466" s="4" t="s">
        <v>11</v>
      </c>
      <c r="C466" s="4" t="s">
        <v>12</v>
      </c>
      <c r="D466" s="4" t="s">
        <v>229</v>
      </c>
      <c r="E466" s="13">
        <f t="shared" ca="1" si="7"/>
        <v>45986</v>
      </c>
      <c r="F466" s="4" t="s">
        <v>40</v>
      </c>
      <c r="G466" s="5">
        <v>7</v>
      </c>
      <c r="H466" s="6">
        <v>15000</v>
      </c>
      <c r="I466" s="6">
        <v>110741</v>
      </c>
      <c r="J466" s="16">
        <v>11074</v>
      </c>
    </row>
    <row r="467" spans="1:10" x14ac:dyDescent="0.3">
      <c r="A467" s="15" t="s">
        <v>37</v>
      </c>
      <c r="B467" s="7" t="s">
        <v>46</v>
      </c>
      <c r="C467" s="7" t="s">
        <v>26</v>
      </c>
      <c r="D467" s="7" t="s">
        <v>164</v>
      </c>
      <c r="E467" s="13">
        <f t="shared" ca="1" si="7"/>
        <v>45724</v>
      </c>
      <c r="F467" s="7" t="s">
        <v>40</v>
      </c>
      <c r="G467" s="8">
        <v>4</v>
      </c>
      <c r="H467" s="9">
        <v>15000</v>
      </c>
      <c r="I467" s="9">
        <v>57448</v>
      </c>
      <c r="J467" s="17">
        <v>5745</v>
      </c>
    </row>
    <row r="468" spans="1:10" x14ac:dyDescent="0.3">
      <c r="A468" s="14" t="s">
        <v>15</v>
      </c>
      <c r="B468" s="4" t="s">
        <v>38</v>
      </c>
      <c r="C468" s="4" t="s">
        <v>23</v>
      </c>
      <c r="D468" s="4" t="s">
        <v>108</v>
      </c>
      <c r="E468" s="13">
        <f t="shared" ca="1" si="7"/>
        <v>45897</v>
      </c>
      <c r="F468" s="4" t="s">
        <v>21</v>
      </c>
      <c r="G468" s="5">
        <v>3</v>
      </c>
      <c r="H468" s="6">
        <v>12500</v>
      </c>
      <c r="I468" s="6">
        <v>37553</v>
      </c>
      <c r="J468" s="16">
        <v>3004</v>
      </c>
    </row>
    <row r="469" spans="1:10" x14ac:dyDescent="0.3">
      <c r="A469" s="15" t="s">
        <v>18</v>
      </c>
      <c r="B469" s="7" t="s">
        <v>16</v>
      </c>
      <c r="C469" s="7" t="s">
        <v>12</v>
      </c>
      <c r="D469" s="7" t="s">
        <v>230</v>
      </c>
      <c r="E469" s="13">
        <f t="shared" ca="1" si="7"/>
        <v>45989</v>
      </c>
      <c r="F469" s="7" t="s">
        <v>40</v>
      </c>
      <c r="G469" s="8">
        <v>8</v>
      </c>
      <c r="H469" s="9">
        <v>15000</v>
      </c>
      <c r="I469" s="9">
        <v>126919</v>
      </c>
      <c r="J469" s="17">
        <v>12692</v>
      </c>
    </row>
    <row r="470" spans="1:10" x14ac:dyDescent="0.3">
      <c r="A470" s="14" t="s">
        <v>15</v>
      </c>
      <c r="B470" s="4" t="s">
        <v>22</v>
      </c>
      <c r="C470" s="4" t="s">
        <v>23</v>
      </c>
      <c r="D470" s="4" t="s">
        <v>106</v>
      </c>
      <c r="E470" s="13">
        <f t="shared" ca="1" si="7"/>
        <v>45830</v>
      </c>
      <c r="F470" s="4" t="s">
        <v>40</v>
      </c>
      <c r="G470" s="5">
        <v>9</v>
      </c>
      <c r="H470" s="6">
        <v>15000</v>
      </c>
      <c r="I470" s="6">
        <v>122038</v>
      </c>
      <c r="J470" s="16">
        <v>12204</v>
      </c>
    </row>
    <row r="471" spans="1:10" x14ac:dyDescent="0.3">
      <c r="A471" s="15" t="s">
        <v>37</v>
      </c>
      <c r="B471" s="7" t="s">
        <v>19</v>
      </c>
      <c r="C471" s="7" t="s">
        <v>12</v>
      </c>
      <c r="D471" s="7" t="s">
        <v>72</v>
      </c>
      <c r="E471" s="13">
        <f t="shared" ca="1" si="7"/>
        <v>45835</v>
      </c>
      <c r="F471" s="7" t="s">
        <v>40</v>
      </c>
      <c r="G471" s="8">
        <v>7</v>
      </c>
      <c r="H471" s="9">
        <v>15000</v>
      </c>
      <c r="I471" s="9">
        <v>104543</v>
      </c>
      <c r="J471" s="17">
        <v>10454</v>
      </c>
    </row>
    <row r="472" spans="1:10" x14ac:dyDescent="0.3">
      <c r="A472" s="14" t="s">
        <v>41</v>
      </c>
      <c r="B472" s="4" t="s">
        <v>77</v>
      </c>
      <c r="C472" s="4" t="s">
        <v>12</v>
      </c>
      <c r="D472" s="4" t="s">
        <v>231</v>
      </c>
      <c r="E472" s="13">
        <f t="shared" ca="1" si="7"/>
        <v>46020</v>
      </c>
      <c r="F472" s="4" t="s">
        <v>40</v>
      </c>
      <c r="G472" s="5">
        <v>9</v>
      </c>
      <c r="H472" s="6">
        <v>15000</v>
      </c>
      <c r="I472" s="6">
        <v>124688</v>
      </c>
      <c r="J472" s="16">
        <v>12469</v>
      </c>
    </row>
    <row r="473" spans="1:10" x14ac:dyDescent="0.3">
      <c r="A473" s="15" t="s">
        <v>15</v>
      </c>
      <c r="B473" s="7" t="s">
        <v>84</v>
      </c>
      <c r="C473" s="7" t="s">
        <v>12</v>
      </c>
      <c r="D473" s="7" t="s">
        <v>126</v>
      </c>
      <c r="E473" s="13">
        <f t="shared" ca="1" si="7"/>
        <v>45691</v>
      </c>
      <c r="F473" s="7" t="s">
        <v>36</v>
      </c>
      <c r="G473" s="8">
        <v>10</v>
      </c>
      <c r="H473" s="9">
        <v>55000</v>
      </c>
      <c r="I473" s="9">
        <v>583352</v>
      </c>
      <c r="J473" s="17">
        <v>128337</v>
      </c>
    </row>
    <row r="474" spans="1:10" x14ac:dyDescent="0.3">
      <c r="A474" s="14" t="s">
        <v>18</v>
      </c>
      <c r="B474" s="4" t="s">
        <v>81</v>
      </c>
      <c r="C474" s="4" t="s">
        <v>26</v>
      </c>
      <c r="D474" s="4" t="s">
        <v>182</v>
      </c>
      <c r="E474" s="13">
        <f t="shared" ca="1" si="7"/>
        <v>45731</v>
      </c>
      <c r="F474" s="4" t="s">
        <v>33</v>
      </c>
      <c r="G474" s="5">
        <v>1</v>
      </c>
      <c r="H474" s="6">
        <v>45000</v>
      </c>
      <c r="I474" s="6">
        <v>46140</v>
      </c>
      <c r="J474" s="16">
        <v>8305</v>
      </c>
    </row>
    <row r="475" spans="1:10" x14ac:dyDescent="0.3">
      <c r="A475" s="15" t="s">
        <v>10</v>
      </c>
      <c r="B475" s="7" t="s">
        <v>31</v>
      </c>
      <c r="C475" s="7" t="s">
        <v>12</v>
      </c>
      <c r="D475" s="7" t="s">
        <v>212</v>
      </c>
      <c r="E475" s="13">
        <f t="shared" ca="1" si="7"/>
        <v>46003</v>
      </c>
      <c r="F475" s="7" t="s">
        <v>36</v>
      </c>
      <c r="G475" s="8">
        <v>8</v>
      </c>
      <c r="H475" s="9">
        <v>55000</v>
      </c>
      <c r="I475" s="9">
        <v>456253</v>
      </c>
      <c r="J475" s="17">
        <v>100376</v>
      </c>
    </row>
    <row r="476" spans="1:10" x14ac:dyDescent="0.3">
      <c r="A476" s="14" t="s">
        <v>15</v>
      </c>
      <c r="B476" s="4" t="s">
        <v>22</v>
      </c>
      <c r="C476" s="4" t="s">
        <v>23</v>
      </c>
      <c r="D476" s="4" t="s">
        <v>96</v>
      </c>
      <c r="E476" s="13">
        <f t="shared" ca="1" si="7"/>
        <v>45668</v>
      </c>
      <c r="F476" s="4" t="s">
        <v>21</v>
      </c>
      <c r="G476" s="5">
        <v>4</v>
      </c>
      <c r="H476" s="6">
        <v>12500</v>
      </c>
      <c r="I476" s="6">
        <v>51863</v>
      </c>
      <c r="J476" s="16">
        <v>4149</v>
      </c>
    </row>
    <row r="477" spans="1:10" x14ac:dyDescent="0.3">
      <c r="A477" s="15" t="s">
        <v>18</v>
      </c>
      <c r="B477" s="7" t="s">
        <v>51</v>
      </c>
      <c r="C477" s="7" t="s">
        <v>12</v>
      </c>
      <c r="D477" s="7" t="s">
        <v>109</v>
      </c>
      <c r="E477" s="13">
        <f t="shared" ca="1" si="7"/>
        <v>45953</v>
      </c>
      <c r="F477" s="7" t="s">
        <v>33</v>
      </c>
      <c r="G477" s="8">
        <v>4</v>
      </c>
      <c r="H477" s="9">
        <v>45000</v>
      </c>
      <c r="I477" s="9">
        <v>187923</v>
      </c>
      <c r="J477" s="17">
        <v>33826</v>
      </c>
    </row>
    <row r="478" spans="1:10" x14ac:dyDescent="0.3">
      <c r="A478" s="14" t="s">
        <v>41</v>
      </c>
      <c r="B478" s="4" t="s">
        <v>38</v>
      </c>
      <c r="C478" s="4" t="s">
        <v>23</v>
      </c>
      <c r="D478" s="4" t="s">
        <v>110</v>
      </c>
      <c r="E478" s="13">
        <f t="shared" ca="1" si="7"/>
        <v>45877</v>
      </c>
      <c r="F478" s="4" t="s">
        <v>14</v>
      </c>
      <c r="G478" s="5">
        <v>3</v>
      </c>
      <c r="H478" s="6">
        <v>18500</v>
      </c>
      <c r="I478" s="6">
        <v>53604</v>
      </c>
      <c r="J478" s="16">
        <v>6432</v>
      </c>
    </row>
    <row r="479" spans="1:10" x14ac:dyDescent="0.3">
      <c r="A479" s="15" t="s">
        <v>15</v>
      </c>
      <c r="B479" s="7" t="s">
        <v>25</v>
      </c>
      <c r="C479" s="7" t="s">
        <v>26</v>
      </c>
      <c r="D479" s="7" t="s">
        <v>171</v>
      </c>
      <c r="E479" s="13">
        <f t="shared" ca="1" si="7"/>
        <v>45844</v>
      </c>
      <c r="F479" s="7" t="s">
        <v>14</v>
      </c>
      <c r="G479" s="8">
        <v>10</v>
      </c>
      <c r="H479" s="9">
        <v>18500</v>
      </c>
      <c r="I479" s="9">
        <v>198790</v>
      </c>
      <c r="J479" s="17">
        <v>23855</v>
      </c>
    </row>
    <row r="480" spans="1:10" x14ac:dyDescent="0.3">
      <c r="A480" s="14" t="s">
        <v>15</v>
      </c>
      <c r="B480" s="4" t="s">
        <v>84</v>
      </c>
      <c r="C480" s="4" t="s">
        <v>12</v>
      </c>
      <c r="D480" s="4" t="s">
        <v>212</v>
      </c>
      <c r="E480" s="13">
        <f t="shared" ca="1" si="7"/>
        <v>45796</v>
      </c>
      <c r="F480" s="4" t="s">
        <v>36</v>
      </c>
      <c r="G480" s="5">
        <v>8</v>
      </c>
      <c r="H480" s="6">
        <v>55000</v>
      </c>
      <c r="I480" s="6">
        <v>417750</v>
      </c>
      <c r="J480" s="16">
        <v>91905</v>
      </c>
    </row>
    <row r="481" spans="1:10" x14ac:dyDescent="0.3">
      <c r="A481" s="15" t="s">
        <v>18</v>
      </c>
      <c r="B481" s="7" t="s">
        <v>11</v>
      </c>
      <c r="C481" s="7" t="s">
        <v>12</v>
      </c>
      <c r="D481" s="7" t="s">
        <v>189</v>
      </c>
      <c r="E481" s="13">
        <f t="shared" ca="1" si="7"/>
        <v>45680</v>
      </c>
      <c r="F481" s="7" t="s">
        <v>21</v>
      </c>
      <c r="G481" s="8">
        <v>7</v>
      </c>
      <c r="H481" s="9">
        <v>12500</v>
      </c>
      <c r="I481" s="9">
        <v>87736</v>
      </c>
      <c r="J481" s="17">
        <v>7019</v>
      </c>
    </row>
    <row r="482" spans="1:10" x14ac:dyDescent="0.3">
      <c r="A482" s="14" t="s">
        <v>41</v>
      </c>
      <c r="B482" s="4" t="s">
        <v>56</v>
      </c>
      <c r="C482" s="4" t="s">
        <v>23</v>
      </c>
      <c r="D482" s="4" t="s">
        <v>217</v>
      </c>
      <c r="E482" s="13">
        <f t="shared" ca="1" si="7"/>
        <v>45721</v>
      </c>
      <c r="F482" s="4" t="s">
        <v>40</v>
      </c>
      <c r="G482" s="5">
        <v>7</v>
      </c>
      <c r="H482" s="6">
        <v>15000</v>
      </c>
      <c r="I482" s="6">
        <v>100705</v>
      </c>
      <c r="J482" s="16">
        <v>10070</v>
      </c>
    </row>
    <row r="483" spans="1:10" x14ac:dyDescent="0.3">
      <c r="A483" s="15" t="s">
        <v>15</v>
      </c>
      <c r="B483" s="7" t="s">
        <v>38</v>
      </c>
      <c r="C483" s="7" t="s">
        <v>23</v>
      </c>
      <c r="D483" s="7" t="s">
        <v>175</v>
      </c>
      <c r="E483" s="13">
        <f t="shared" ca="1" si="7"/>
        <v>45926</v>
      </c>
      <c r="F483" s="7" t="s">
        <v>21</v>
      </c>
      <c r="G483" s="8">
        <v>2</v>
      </c>
      <c r="H483" s="9">
        <v>12500</v>
      </c>
      <c r="I483" s="9">
        <v>24495</v>
      </c>
      <c r="J483" s="17">
        <v>1960</v>
      </c>
    </row>
    <row r="484" spans="1:10" x14ac:dyDescent="0.3">
      <c r="A484" s="14" t="s">
        <v>10</v>
      </c>
      <c r="B484" s="4" t="s">
        <v>77</v>
      </c>
      <c r="C484" s="4" t="s">
        <v>12</v>
      </c>
      <c r="D484" s="4" t="s">
        <v>109</v>
      </c>
      <c r="E484" s="13">
        <f t="shared" ca="1" si="7"/>
        <v>45965</v>
      </c>
      <c r="F484" s="4" t="s">
        <v>33</v>
      </c>
      <c r="G484" s="5">
        <v>8</v>
      </c>
      <c r="H484" s="6">
        <v>45000</v>
      </c>
      <c r="I484" s="6">
        <v>333600</v>
      </c>
      <c r="J484" s="16">
        <v>60048</v>
      </c>
    </row>
    <row r="485" spans="1:10" x14ac:dyDescent="0.3">
      <c r="A485" s="15" t="s">
        <v>18</v>
      </c>
      <c r="B485" s="7" t="s">
        <v>81</v>
      </c>
      <c r="C485" s="7" t="s">
        <v>26</v>
      </c>
      <c r="D485" s="7" t="s">
        <v>62</v>
      </c>
      <c r="E485" s="13">
        <f t="shared" ca="1" si="7"/>
        <v>45706</v>
      </c>
      <c r="F485" s="7" t="s">
        <v>14</v>
      </c>
      <c r="G485" s="8">
        <v>4</v>
      </c>
      <c r="H485" s="9">
        <v>18500</v>
      </c>
      <c r="I485" s="9">
        <v>74537</v>
      </c>
      <c r="J485" s="17">
        <v>8944</v>
      </c>
    </row>
    <row r="486" spans="1:10" x14ac:dyDescent="0.3">
      <c r="A486" s="14" t="s">
        <v>15</v>
      </c>
      <c r="B486" s="4" t="s">
        <v>77</v>
      </c>
      <c r="C486" s="4" t="s">
        <v>12</v>
      </c>
      <c r="D486" s="4" t="s">
        <v>85</v>
      </c>
      <c r="E486" s="13">
        <f t="shared" ca="1" si="7"/>
        <v>45840</v>
      </c>
      <c r="F486" s="4" t="s">
        <v>36</v>
      </c>
      <c r="G486" s="5">
        <v>7</v>
      </c>
      <c r="H486" s="6">
        <v>55000</v>
      </c>
      <c r="I486" s="6">
        <v>377232</v>
      </c>
      <c r="J486" s="16">
        <v>82991</v>
      </c>
    </row>
    <row r="487" spans="1:10" x14ac:dyDescent="0.3">
      <c r="A487" s="15" t="s">
        <v>41</v>
      </c>
      <c r="B487" s="7" t="s">
        <v>38</v>
      </c>
      <c r="C487" s="7" t="s">
        <v>23</v>
      </c>
      <c r="D487" s="7" t="s">
        <v>232</v>
      </c>
      <c r="E487" s="13">
        <f t="shared" ca="1" si="7"/>
        <v>45751</v>
      </c>
      <c r="F487" s="7" t="s">
        <v>21</v>
      </c>
      <c r="G487" s="8">
        <v>2</v>
      </c>
      <c r="H487" s="9">
        <v>12500</v>
      </c>
      <c r="I487" s="9">
        <v>26821</v>
      </c>
      <c r="J487" s="17">
        <v>2146</v>
      </c>
    </row>
    <row r="488" spans="1:10" x14ac:dyDescent="0.3">
      <c r="A488" s="14" t="s">
        <v>18</v>
      </c>
      <c r="B488" s="4" t="s">
        <v>19</v>
      </c>
      <c r="C488" s="4" t="s">
        <v>12</v>
      </c>
      <c r="D488" s="4" t="s">
        <v>201</v>
      </c>
      <c r="E488" s="13">
        <f t="shared" ca="1" si="7"/>
        <v>45850</v>
      </c>
      <c r="F488" s="4" t="s">
        <v>33</v>
      </c>
      <c r="G488" s="5">
        <v>1</v>
      </c>
      <c r="H488" s="6">
        <v>45000</v>
      </c>
      <c r="I488" s="6">
        <v>48109</v>
      </c>
      <c r="J488" s="16">
        <v>8660</v>
      </c>
    </row>
    <row r="489" spans="1:10" x14ac:dyDescent="0.3">
      <c r="A489" s="15" t="s">
        <v>15</v>
      </c>
      <c r="B489" s="7" t="s">
        <v>16</v>
      </c>
      <c r="C489" s="7" t="s">
        <v>12</v>
      </c>
      <c r="D489" s="7" t="s">
        <v>171</v>
      </c>
      <c r="E489" s="13">
        <f t="shared" ca="1" si="7"/>
        <v>45678</v>
      </c>
      <c r="F489" s="7" t="s">
        <v>40</v>
      </c>
      <c r="G489" s="8">
        <v>2</v>
      </c>
      <c r="H489" s="9">
        <v>15000</v>
      </c>
      <c r="I489" s="9">
        <v>28740</v>
      </c>
      <c r="J489" s="17">
        <v>2874</v>
      </c>
    </row>
    <row r="490" spans="1:10" x14ac:dyDescent="0.3">
      <c r="A490" s="14" t="s">
        <v>15</v>
      </c>
      <c r="B490" s="4" t="s">
        <v>46</v>
      </c>
      <c r="C490" s="4" t="s">
        <v>26</v>
      </c>
      <c r="D490" s="4" t="s">
        <v>161</v>
      </c>
      <c r="E490" s="13">
        <f t="shared" ca="1" si="7"/>
        <v>45916</v>
      </c>
      <c r="F490" s="4" t="s">
        <v>36</v>
      </c>
      <c r="G490" s="5">
        <v>8</v>
      </c>
      <c r="H490" s="6">
        <v>55000</v>
      </c>
      <c r="I490" s="6">
        <v>445265</v>
      </c>
      <c r="J490" s="16">
        <v>97958</v>
      </c>
    </row>
    <row r="491" spans="1:10" x14ac:dyDescent="0.3">
      <c r="A491" s="15" t="s">
        <v>37</v>
      </c>
      <c r="B491" s="7" t="s">
        <v>38</v>
      </c>
      <c r="C491" s="7" t="s">
        <v>23</v>
      </c>
      <c r="D491" s="7" t="s">
        <v>117</v>
      </c>
      <c r="E491" s="13">
        <f t="shared" ca="1" si="7"/>
        <v>45865</v>
      </c>
      <c r="F491" s="7" t="s">
        <v>40</v>
      </c>
      <c r="G491" s="8">
        <v>3</v>
      </c>
      <c r="H491" s="9">
        <v>15000</v>
      </c>
      <c r="I491" s="9">
        <v>43731</v>
      </c>
      <c r="J491" s="17">
        <v>4373</v>
      </c>
    </row>
    <row r="492" spans="1:10" x14ac:dyDescent="0.3">
      <c r="A492" s="14" t="s">
        <v>41</v>
      </c>
      <c r="B492" s="4" t="s">
        <v>56</v>
      </c>
      <c r="C492" s="4" t="s">
        <v>23</v>
      </c>
      <c r="D492" s="4" t="s">
        <v>61</v>
      </c>
      <c r="E492" s="13">
        <f t="shared" ca="1" si="7"/>
        <v>45893</v>
      </c>
      <c r="F492" s="4" t="s">
        <v>14</v>
      </c>
      <c r="G492" s="5">
        <v>3</v>
      </c>
      <c r="H492" s="6">
        <v>18500</v>
      </c>
      <c r="I492" s="6">
        <v>59024</v>
      </c>
      <c r="J492" s="16">
        <v>7083</v>
      </c>
    </row>
    <row r="493" spans="1:10" x14ac:dyDescent="0.3">
      <c r="A493" s="15" t="s">
        <v>37</v>
      </c>
      <c r="B493" s="7" t="s">
        <v>11</v>
      </c>
      <c r="C493" s="7" t="s">
        <v>12</v>
      </c>
      <c r="D493" s="7" t="s">
        <v>52</v>
      </c>
      <c r="E493" s="13">
        <f t="shared" ca="1" si="7"/>
        <v>45923</v>
      </c>
      <c r="F493" s="7" t="s">
        <v>40</v>
      </c>
      <c r="G493" s="8">
        <v>4</v>
      </c>
      <c r="H493" s="9">
        <v>15000</v>
      </c>
      <c r="I493" s="9">
        <v>60030</v>
      </c>
      <c r="J493" s="17">
        <v>6003</v>
      </c>
    </row>
    <row r="494" spans="1:10" x14ac:dyDescent="0.3">
      <c r="A494" s="14" t="s">
        <v>37</v>
      </c>
      <c r="B494" s="4" t="s">
        <v>46</v>
      </c>
      <c r="C494" s="4" t="s">
        <v>26</v>
      </c>
      <c r="D494" s="4" t="s">
        <v>233</v>
      </c>
      <c r="E494" s="13">
        <f t="shared" ca="1" si="7"/>
        <v>45869</v>
      </c>
      <c r="F494" s="4" t="s">
        <v>36</v>
      </c>
      <c r="G494" s="5">
        <v>4</v>
      </c>
      <c r="H494" s="6">
        <v>55000</v>
      </c>
      <c r="I494" s="6">
        <v>214185</v>
      </c>
      <c r="J494" s="16">
        <v>47121</v>
      </c>
    </row>
    <row r="495" spans="1:10" x14ac:dyDescent="0.3">
      <c r="A495" s="15" t="s">
        <v>37</v>
      </c>
      <c r="B495" s="7" t="s">
        <v>38</v>
      </c>
      <c r="C495" s="7" t="s">
        <v>23</v>
      </c>
      <c r="D495" s="7" t="s">
        <v>182</v>
      </c>
      <c r="E495" s="13">
        <f t="shared" ca="1" si="7"/>
        <v>45892</v>
      </c>
      <c r="F495" s="7" t="s">
        <v>21</v>
      </c>
      <c r="G495" s="8">
        <v>3</v>
      </c>
      <c r="H495" s="9">
        <v>12500</v>
      </c>
      <c r="I495" s="9">
        <v>39521</v>
      </c>
      <c r="J495" s="17">
        <v>3162</v>
      </c>
    </row>
    <row r="496" spans="1:10" x14ac:dyDescent="0.3">
      <c r="A496" s="14" t="s">
        <v>41</v>
      </c>
      <c r="B496" s="4" t="s">
        <v>16</v>
      </c>
      <c r="C496" s="4" t="s">
        <v>12</v>
      </c>
      <c r="D496" s="4" t="s">
        <v>71</v>
      </c>
      <c r="E496" s="13">
        <f t="shared" ca="1" si="7"/>
        <v>45802</v>
      </c>
      <c r="F496" s="4" t="s">
        <v>21</v>
      </c>
      <c r="G496" s="5">
        <v>1</v>
      </c>
      <c r="H496" s="6">
        <v>12500</v>
      </c>
      <c r="I496" s="6">
        <v>12863</v>
      </c>
      <c r="J496" s="16">
        <v>1029</v>
      </c>
    </row>
    <row r="497" spans="1:10" x14ac:dyDescent="0.3">
      <c r="A497" s="15" t="s">
        <v>18</v>
      </c>
      <c r="B497" s="7" t="s">
        <v>38</v>
      </c>
      <c r="C497" s="7" t="s">
        <v>23</v>
      </c>
      <c r="D497" s="7" t="s">
        <v>95</v>
      </c>
      <c r="E497" s="13">
        <f t="shared" ca="1" si="7"/>
        <v>45999</v>
      </c>
      <c r="F497" s="7" t="s">
        <v>36</v>
      </c>
      <c r="G497" s="8">
        <v>8</v>
      </c>
      <c r="H497" s="9">
        <v>55000</v>
      </c>
      <c r="I497" s="9">
        <v>424801</v>
      </c>
      <c r="J497" s="17">
        <v>93456</v>
      </c>
    </row>
    <row r="498" spans="1:10" x14ac:dyDescent="0.3">
      <c r="A498" s="14" t="s">
        <v>41</v>
      </c>
      <c r="B498" s="4" t="s">
        <v>38</v>
      </c>
      <c r="C498" s="4" t="s">
        <v>23</v>
      </c>
      <c r="D498" s="4" t="s">
        <v>234</v>
      </c>
      <c r="E498" s="13">
        <f t="shared" ca="1" si="7"/>
        <v>45892</v>
      </c>
      <c r="F498" s="4" t="s">
        <v>40</v>
      </c>
      <c r="G498" s="5">
        <v>1</v>
      </c>
      <c r="H498" s="6">
        <v>15000</v>
      </c>
      <c r="I498" s="6">
        <v>16302</v>
      </c>
      <c r="J498" s="16">
        <v>1630</v>
      </c>
    </row>
    <row r="499" spans="1:10" x14ac:dyDescent="0.3">
      <c r="A499" s="15" t="s">
        <v>18</v>
      </c>
      <c r="B499" s="7" t="s">
        <v>22</v>
      </c>
      <c r="C499" s="7" t="s">
        <v>23</v>
      </c>
      <c r="D499" s="7" t="s">
        <v>155</v>
      </c>
      <c r="E499" s="13">
        <f t="shared" ca="1" si="7"/>
        <v>45694</v>
      </c>
      <c r="F499" s="7" t="s">
        <v>33</v>
      </c>
      <c r="G499" s="8">
        <v>5</v>
      </c>
      <c r="H499" s="9">
        <v>45000</v>
      </c>
      <c r="I499" s="9">
        <v>244364</v>
      </c>
      <c r="J499" s="17">
        <v>43986</v>
      </c>
    </row>
    <row r="500" spans="1:10" x14ac:dyDescent="0.3">
      <c r="A500" s="14" t="s">
        <v>37</v>
      </c>
      <c r="B500" s="4" t="s">
        <v>22</v>
      </c>
      <c r="C500" s="4" t="s">
        <v>23</v>
      </c>
      <c r="D500" s="4" t="s">
        <v>97</v>
      </c>
      <c r="E500" s="13">
        <f t="shared" ca="1" si="7"/>
        <v>45686</v>
      </c>
      <c r="F500" s="4" t="s">
        <v>40</v>
      </c>
      <c r="G500" s="5">
        <v>7</v>
      </c>
      <c r="H500" s="6">
        <v>15000</v>
      </c>
      <c r="I500" s="6">
        <v>114120</v>
      </c>
      <c r="J500" s="16">
        <v>11412</v>
      </c>
    </row>
    <row r="501" spans="1:10" x14ac:dyDescent="0.3">
      <c r="A501" s="15" t="s">
        <v>10</v>
      </c>
      <c r="B501" s="7" t="s">
        <v>84</v>
      </c>
      <c r="C501" s="7" t="s">
        <v>12</v>
      </c>
      <c r="D501" s="7" t="s">
        <v>58</v>
      </c>
      <c r="E501" s="13">
        <f t="shared" ca="1" si="7"/>
        <v>45741</v>
      </c>
      <c r="F501" s="7" t="s">
        <v>14</v>
      </c>
      <c r="G501" s="8">
        <v>10</v>
      </c>
      <c r="H501" s="9">
        <v>18500</v>
      </c>
      <c r="I501" s="9">
        <v>179558</v>
      </c>
      <c r="J501" s="17">
        <v>21547</v>
      </c>
    </row>
    <row r="502" spans="1:10" x14ac:dyDescent="0.3">
      <c r="A502" s="14" t="s">
        <v>15</v>
      </c>
      <c r="B502" s="4" t="s">
        <v>81</v>
      </c>
      <c r="C502" s="4" t="s">
        <v>26</v>
      </c>
      <c r="D502" s="4" t="s">
        <v>128</v>
      </c>
      <c r="E502" s="13">
        <f t="shared" ca="1" si="7"/>
        <v>45802</v>
      </c>
      <c r="F502" s="4" t="s">
        <v>14</v>
      </c>
      <c r="G502" s="5">
        <v>7</v>
      </c>
      <c r="H502" s="6">
        <v>18500</v>
      </c>
      <c r="I502" s="6">
        <v>141864</v>
      </c>
      <c r="J502" s="16">
        <v>17024</v>
      </c>
    </row>
    <row r="503" spans="1:10" x14ac:dyDescent="0.3">
      <c r="A503" s="15" t="s">
        <v>15</v>
      </c>
      <c r="B503" s="7" t="s">
        <v>88</v>
      </c>
      <c r="C503" s="7" t="s">
        <v>12</v>
      </c>
      <c r="D503" s="7" t="s">
        <v>101</v>
      </c>
      <c r="E503" s="13">
        <f t="shared" ca="1" si="7"/>
        <v>45738</v>
      </c>
      <c r="F503" s="7" t="s">
        <v>14</v>
      </c>
      <c r="G503" s="8">
        <v>10</v>
      </c>
      <c r="H503" s="9">
        <v>18500</v>
      </c>
      <c r="I503" s="9">
        <v>169437</v>
      </c>
      <c r="J503" s="17">
        <v>20332</v>
      </c>
    </row>
    <row r="504" spans="1:10" x14ac:dyDescent="0.3">
      <c r="A504" s="14" t="s">
        <v>15</v>
      </c>
      <c r="B504" s="4" t="s">
        <v>11</v>
      </c>
      <c r="C504" s="4" t="s">
        <v>12</v>
      </c>
      <c r="D504" s="4" t="s">
        <v>216</v>
      </c>
      <c r="E504" s="13">
        <f t="shared" ca="1" si="7"/>
        <v>45826</v>
      </c>
      <c r="F504" s="4" t="s">
        <v>14</v>
      </c>
      <c r="G504" s="5">
        <v>6</v>
      </c>
      <c r="H504" s="6">
        <v>18500</v>
      </c>
      <c r="I504" s="6">
        <v>105346</v>
      </c>
      <c r="J504" s="16">
        <v>12642</v>
      </c>
    </row>
    <row r="505" spans="1:10" x14ac:dyDescent="0.3">
      <c r="A505" s="15" t="s">
        <v>41</v>
      </c>
      <c r="B505" s="7" t="s">
        <v>77</v>
      </c>
      <c r="C505" s="7" t="s">
        <v>12</v>
      </c>
      <c r="D505" s="7" t="s">
        <v>147</v>
      </c>
      <c r="E505" s="13">
        <f t="shared" ca="1" si="7"/>
        <v>45994</v>
      </c>
      <c r="F505" s="7" t="s">
        <v>14</v>
      </c>
      <c r="G505" s="8">
        <v>3</v>
      </c>
      <c r="H505" s="9">
        <v>18500</v>
      </c>
      <c r="I505" s="9">
        <v>59742</v>
      </c>
      <c r="J505" s="17">
        <v>7169</v>
      </c>
    </row>
    <row r="506" spans="1:10" x14ac:dyDescent="0.3">
      <c r="A506" s="14" t="s">
        <v>41</v>
      </c>
      <c r="B506" s="4" t="s">
        <v>31</v>
      </c>
      <c r="C506" s="4" t="s">
        <v>12</v>
      </c>
      <c r="D506" s="4" t="s">
        <v>87</v>
      </c>
      <c r="E506" s="13">
        <f t="shared" ca="1" si="7"/>
        <v>45694</v>
      </c>
      <c r="F506" s="4" t="s">
        <v>40</v>
      </c>
      <c r="G506" s="5">
        <v>5</v>
      </c>
      <c r="H506" s="6">
        <v>15000</v>
      </c>
      <c r="I506" s="6">
        <v>69739</v>
      </c>
      <c r="J506" s="16">
        <v>6974</v>
      </c>
    </row>
    <row r="507" spans="1:10" x14ac:dyDescent="0.3">
      <c r="A507" s="15" t="s">
        <v>10</v>
      </c>
      <c r="B507" s="7" t="s">
        <v>56</v>
      </c>
      <c r="C507" s="7" t="s">
        <v>23</v>
      </c>
      <c r="D507" s="7" t="s">
        <v>74</v>
      </c>
      <c r="E507" s="13">
        <f t="shared" ca="1" si="7"/>
        <v>45707</v>
      </c>
      <c r="F507" s="7" t="s">
        <v>33</v>
      </c>
      <c r="G507" s="8">
        <v>2</v>
      </c>
      <c r="H507" s="9">
        <v>45000</v>
      </c>
      <c r="I507" s="9">
        <v>83628</v>
      </c>
      <c r="J507" s="17">
        <v>15053</v>
      </c>
    </row>
    <row r="508" spans="1:10" x14ac:dyDescent="0.3">
      <c r="A508" s="14" t="s">
        <v>18</v>
      </c>
      <c r="B508" s="4" t="s">
        <v>22</v>
      </c>
      <c r="C508" s="4" t="s">
        <v>23</v>
      </c>
      <c r="D508" s="4" t="s">
        <v>162</v>
      </c>
      <c r="E508" s="13">
        <f t="shared" ca="1" si="7"/>
        <v>45661</v>
      </c>
      <c r="F508" s="4" t="s">
        <v>40</v>
      </c>
      <c r="G508" s="5">
        <v>10</v>
      </c>
      <c r="H508" s="6">
        <v>15000</v>
      </c>
      <c r="I508" s="6">
        <v>153407</v>
      </c>
      <c r="J508" s="16">
        <v>15341</v>
      </c>
    </row>
    <row r="509" spans="1:10" x14ac:dyDescent="0.3">
      <c r="A509" s="15" t="s">
        <v>18</v>
      </c>
      <c r="B509" s="7" t="s">
        <v>31</v>
      </c>
      <c r="C509" s="7" t="s">
        <v>12</v>
      </c>
      <c r="D509" s="7" t="s">
        <v>235</v>
      </c>
      <c r="E509" s="13">
        <f t="shared" ca="1" si="7"/>
        <v>45818</v>
      </c>
      <c r="F509" s="7" t="s">
        <v>33</v>
      </c>
      <c r="G509" s="8">
        <v>7</v>
      </c>
      <c r="H509" s="9">
        <v>45000</v>
      </c>
      <c r="I509" s="9">
        <v>344030</v>
      </c>
      <c r="J509" s="17">
        <v>61925</v>
      </c>
    </row>
    <row r="510" spans="1:10" x14ac:dyDescent="0.3">
      <c r="A510" s="14" t="s">
        <v>37</v>
      </c>
      <c r="B510" s="4" t="s">
        <v>29</v>
      </c>
      <c r="C510" s="4" t="s">
        <v>26</v>
      </c>
      <c r="D510" s="4" t="s">
        <v>161</v>
      </c>
      <c r="E510" s="13">
        <f t="shared" ca="1" si="7"/>
        <v>46000</v>
      </c>
      <c r="F510" s="4" t="s">
        <v>40</v>
      </c>
      <c r="G510" s="5">
        <v>7</v>
      </c>
      <c r="H510" s="6">
        <v>15000</v>
      </c>
      <c r="I510" s="6">
        <v>108932</v>
      </c>
      <c r="J510" s="16">
        <v>10893</v>
      </c>
    </row>
    <row r="511" spans="1:10" x14ac:dyDescent="0.3">
      <c r="A511" s="15" t="s">
        <v>41</v>
      </c>
      <c r="B511" s="7" t="s">
        <v>81</v>
      </c>
      <c r="C511" s="7" t="s">
        <v>26</v>
      </c>
      <c r="D511" s="7" t="s">
        <v>184</v>
      </c>
      <c r="E511" s="13">
        <f t="shared" ca="1" si="7"/>
        <v>45873</v>
      </c>
      <c r="F511" s="7" t="s">
        <v>40</v>
      </c>
      <c r="G511" s="8">
        <v>8</v>
      </c>
      <c r="H511" s="9">
        <v>15000</v>
      </c>
      <c r="I511" s="9">
        <v>115512</v>
      </c>
      <c r="J511" s="17">
        <v>11551</v>
      </c>
    </row>
    <row r="512" spans="1:10" x14ac:dyDescent="0.3">
      <c r="A512" s="14" t="s">
        <v>18</v>
      </c>
      <c r="B512" s="4" t="s">
        <v>22</v>
      </c>
      <c r="C512" s="4" t="s">
        <v>23</v>
      </c>
      <c r="D512" s="4" t="s">
        <v>170</v>
      </c>
      <c r="E512" s="13">
        <f t="shared" ca="1" si="7"/>
        <v>45887</v>
      </c>
      <c r="F512" s="4" t="s">
        <v>33</v>
      </c>
      <c r="G512" s="5">
        <v>9</v>
      </c>
      <c r="H512" s="6">
        <v>45000</v>
      </c>
      <c r="I512" s="6">
        <v>392761</v>
      </c>
      <c r="J512" s="16">
        <v>70697</v>
      </c>
    </row>
    <row r="513" spans="1:10" x14ac:dyDescent="0.3">
      <c r="A513" s="15" t="s">
        <v>18</v>
      </c>
      <c r="B513" s="7" t="s">
        <v>81</v>
      </c>
      <c r="C513" s="7" t="s">
        <v>26</v>
      </c>
      <c r="D513" s="7" t="s">
        <v>149</v>
      </c>
      <c r="E513" s="13">
        <f t="shared" ca="1" si="7"/>
        <v>45701</v>
      </c>
      <c r="F513" s="7" t="s">
        <v>21</v>
      </c>
      <c r="G513" s="8">
        <v>2</v>
      </c>
      <c r="H513" s="9">
        <v>12500</v>
      </c>
      <c r="I513" s="9">
        <v>25709</v>
      </c>
      <c r="J513" s="17">
        <v>2057</v>
      </c>
    </row>
    <row r="514" spans="1:10" x14ac:dyDescent="0.3">
      <c r="A514" s="14" t="s">
        <v>10</v>
      </c>
      <c r="B514" s="4" t="s">
        <v>88</v>
      </c>
      <c r="C514" s="4" t="s">
        <v>12</v>
      </c>
      <c r="D514" s="4" t="s">
        <v>142</v>
      </c>
      <c r="E514" s="13">
        <f t="shared" ca="1" si="7"/>
        <v>45988</v>
      </c>
      <c r="F514" s="4" t="s">
        <v>14</v>
      </c>
      <c r="G514" s="5">
        <v>10</v>
      </c>
      <c r="H514" s="6">
        <v>18500</v>
      </c>
      <c r="I514" s="6">
        <v>173405</v>
      </c>
      <c r="J514" s="16">
        <v>20809</v>
      </c>
    </row>
    <row r="515" spans="1:10" x14ac:dyDescent="0.3">
      <c r="A515" s="15" t="s">
        <v>37</v>
      </c>
      <c r="B515" s="7" t="s">
        <v>77</v>
      </c>
      <c r="C515" s="7" t="s">
        <v>12</v>
      </c>
      <c r="D515" s="7" t="s">
        <v>228</v>
      </c>
      <c r="E515" s="13">
        <f t="shared" ref="E515:E578" ca="1" si="8">DATE(2025,1,1)+RANDBETWEEN(0,364)</f>
        <v>45775</v>
      </c>
      <c r="F515" s="7" t="s">
        <v>36</v>
      </c>
      <c r="G515" s="8">
        <v>3</v>
      </c>
      <c r="H515" s="9">
        <v>55000</v>
      </c>
      <c r="I515" s="9">
        <v>153263</v>
      </c>
      <c r="J515" s="17">
        <v>33718</v>
      </c>
    </row>
    <row r="516" spans="1:10" x14ac:dyDescent="0.3">
      <c r="A516" s="14" t="s">
        <v>37</v>
      </c>
      <c r="B516" s="4" t="s">
        <v>16</v>
      </c>
      <c r="C516" s="4" t="s">
        <v>12</v>
      </c>
      <c r="D516" s="4" t="s">
        <v>229</v>
      </c>
      <c r="E516" s="13">
        <f t="shared" ca="1" si="8"/>
        <v>45829</v>
      </c>
      <c r="F516" s="4" t="s">
        <v>33</v>
      </c>
      <c r="G516" s="5">
        <v>4</v>
      </c>
      <c r="H516" s="6">
        <v>45000</v>
      </c>
      <c r="I516" s="6">
        <v>174095</v>
      </c>
      <c r="J516" s="16">
        <v>31337</v>
      </c>
    </row>
    <row r="517" spans="1:10" x14ac:dyDescent="0.3">
      <c r="A517" s="15" t="s">
        <v>18</v>
      </c>
      <c r="B517" s="7" t="s">
        <v>31</v>
      </c>
      <c r="C517" s="7" t="s">
        <v>12</v>
      </c>
      <c r="D517" s="7" t="s">
        <v>193</v>
      </c>
      <c r="E517" s="13">
        <f t="shared" ca="1" si="8"/>
        <v>45905</v>
      </c>
      <c r="F517" s="7" t="s">
        <v>36</v>
      </c>
      <c r="G517" s="8">
        <v>6</v>
      </c>
      <c r="H517" s="9">
        <v>55000</v>
      </c>
      <c r="I517" s="9">
        <v>300305</v>
      </c>
      <c r="J517" s="17">
        <v>66067</v>
      </c>
    </row>
    <row r="518" spans="1:10" x14ac:dyDescent="0.3">
      <c r="A518" s="14" t="s">
        <v>10</v>
      </c>
      <c r="B518" s="4" t="s">
        <v>22</v>
      </c>
      <c r="C518" s="4" t="s">
        <v>23</v>
      </c>
      <c r="D518" s="4" t="s">
        <v>208</v>
      </c>
      <c r="E518" s="13">
        <f t="shared" ca="1" si="8"/>
        <v>45890</v>
      </c>
      <c r="F518" s="4" t="s">
        <v>33</v>
      </c>
      <c r="G518" s="5">
        <v>5</v>
      </c>
      <c r="H518" s="6">
        <v>45000</v>
      </c>
      <c r="I518" s="6">
        <v>211952</v>
      </c>
      <c r="J518" s="16">
        <v>38151</v>
      </c>
    </row>
    <row r="519" spans="1:10" x14ac:dyDescent="0.3">
      <c r="A519" s="15" t="s">
        <v>37</v>
      </c>
      <c r="B519" s="7" t="s">
        <v>88</v>
      </c>
      <c r="C519" s="7" t="s">
        <v>12</v>
      </c>
      <c r="D519" s="7" t="s">
        <v>69</v>
      </c>
      <c r="E519" s="13">
        <f t="shared" ca="1" si="8"/>
        <v>45821</v>
      </c>
      <c r="F519" s="7" t="s">
        <v>36</v>
      </c>
      <c r="G519" s="8">
        <v>4</v>
      </c>
      <c r="H519" s="9">
        <v>55000</v>
      </c>
      <c r="I519" s="9">
        <v>228281</v>
      </c>
      <c r="J519" s="17">
        <v>50222</v>
      </c>
    </row>
    <row r="520" spans="1:10" x14ac:dyDescent="0.3">
      <c r="A520" s="14" t="s">
        <v>10</v>
      </c>
      <c r="B520" s="4" t="s">
        <v>19</v>
      </c>
      <c r="C520" s="4" t="s">
        <v>12</v>
      </c>
      <c r="D520" s="4" t="s">
        <v>94</v>
      </c>
      <c r="E520" s="13">
        <f t="shared" ca="1" si="8"/>
        <v>45949</v>
      </c>
      <c r="F520" s="4" t="s">
        <v>36</v>
      </c>
      <c r="G520" s="5">
        <v>3</v>
      </c>
      <c r="H520" s="6">
        <v>55000</v>
      </c>
      <c r="I520" s="6">
        <v>173041</v>
      </c>
      <c r="J520" s="16">
        <v>38069</v>
      </c>
    </row>
    <row r="521" spans="1:10" x14ac:dyDescent="0.3">
      <c r="A521" s="15" t="s">
        <v>15</v>
      </c>
      <c r="B521" s="7" t="s">
        <v>88</v>
      </c>
      <c r="C521" s="7" t="s">
        <v>12</v>
      </c>
      <c r="D521" s="7" t="s">
        <v>80</v>
      </c>
      <c r="E521" s="13">
        <f t="shared" ca="1" si="8"/>
        <v>45822</v>
      </c>
      <c r="F521" s="7" t="s">
        <v>36</v>
      </c>
      <c r="G521" s="8">
        <v>3</v>
      </c>
      <c r="H521" s="9">
        <v>55000</v>
      </c>
      <c r="I521" s="9">
        <v>178081</v>
      </c>
      <c r="J521" s="17">
        <v>39178</v>
      </c>
    </row>
    <row r="522" spans="1:10" x14ac:dyDescent="0.3">
      <c r="A522" s="14" t="s">
        <v>41</v>
      </c>
      <c r="B522" s="4" t="s">
        <v>81</v>
      </c>
      <c r="C522" s="4" t="s">
        <v>26</v>
      </c>
      <c r="D522" s="4" t="s">
        <v>175</v>
      </c>
      <c r="E522" s="13">
        <f t="shared" ca="1" si="8"/>
        <v>46014</v>
      </c>
      <c r="F522" s="4" t="s">
        <v>33</v>
      </c>
      <c r="G522" s="5">
        <v>8</v>
      </c>
      <c r="H522" s="6">
        <v>45000</v>
      </c>
      <c r="I522" s="6">
        <v>330776</v>
      </c>
      <c r="J522" s="16">
        <v>59540</v>
      </c>
    </row>
    <row r="523" spans="1:10" x14ac:dyDescent="0.3">
      <c r="A523" s="15" t="s">
        <v>18</v>
      </c>
      <c r="B523" s="7" t="s">
        <v>22</v>
      </c>
      <c r="C523" s="7" t="s">
        <v>23</v>
      </c>
      <c r="D523" s="7" t="s">
        <v>43</v>
      </c>
      <c r="E523" s="13">
        <f t="shared" ca="1" si="8"/>
        <v>45983</v>
      </c>
      <c r="F523" s="7" t="s">
        <v>21</v>
      </c>
      <c r="G523" s="8">
        <v>7</v>
      </c>
      <c r="H523" s="9">
        <v>12500</v>
      </c>
      <c r="I523" s="9">
        <v>96156</v>
      </c>
      <c r="J523" s="17">
        <v>7692</v>
      </c>
    </row>
    <row r="524" spans="1:10" x14ac:dyDescent="0.3">
      <c r="A524" s="14" t="s">
        <v>10</v>
      </c>
      <c r="B524" s="4" t="s">
        <v>77</v>
      </c>
      <c r="C524" s="4" t="s">
        <v>12</v>
      </c>
      <c r="D524" s="4" t="s">
        <v>214</v>
      </c>
      <c r="E524" s="13">
        <f t="shared" ca="1" si="8"/>
        <v>45729</v>
      </c>
      <c r="F524" s="4" t="s">
        <v>14</v>
      </c>
      <c r="G524" s="5">
        <v>1</v>
      </c>
      <c r="H524" s="6">
        <v>18500</v>
      </c>
      <c r="I524" s="6">
        <v>18973</v>
      </c>
      <c r="J524" s="16">
        <v>2277</v>
      </c>
    </row>
    <row r="525" spans="1:10" x14ac:dyDescent="0.3">
      <c r="A525" s="15" t="s">
        <v>18</v>
      </c>
      <c r="B525" s="7" t="s">
        <v>19</v>
      </c>
      <c r="C525" s="7" t="s">
        <v>12</v>
      </c>
      <c r="D525" s="7" t="s">
        <v>20</v>
      </c>
      <c r="E525" s="13">
        <f t="shared" ca="1" si="8"/>
        <v>45738</v>
      </c>
      <c r="F525" s="7" t="s">
        <v>21</v>
      </c>
      <c r="G525" s="8">
        <v>8</v>
      </c>
      <c r="H525" s="9">
        <v>12500</v>
      </c>
      <c r="I525" s="9">
        <v>103904</v>
      </c>
      <c r="J525" s="17">
        <v>8312</v>
      </c>
    </row>
    <row r="526" spans="1:10" x14ac:dyDescent="0.3">
      <c r="A526" s="14" t="s">
        <v>41</v>
      </c>
      <c r="B526" s="4" t="s">
        <v>56</v>
      </c>
      <c r="C526" s="4" t="s">
        <v>23</v>
      </c>
      <c r="D526" s="4" t="s">
        <v>102</v>
      </c>
      <c r="E526" s="13">
        <f t="shared" ca="1" si="8"/>
        <v>45938</v>
      </c>
      <c r="F526" s="4" t="s">
        <v>36</v>
      </c>
      <c r="G526" s="5">
        <v>1</v>
      </c>
      <c r="H526" s="6">
        <v>55000</v>
      </c>
      <c r="I526" s="6">
        <v>59416</v>
      </c>
      <c r="J526" s="16">
        <v>13072</v>
      </c>
    </row>
    <row r="527" spans="1:10" x14ac:dyDescent="0.3">
      <c r="A527" s="15" t="s">
        <v>41</v>
      </c>
      <c r="B527" s="7" t="s">
        <v>22</v>
      </c>
      <c r="C527" s="7" t="s">
        <v>23</v>
      </c>
      <c r="D527" s="7" t="s">
        <v>187</v>
      </c>
      <c r="E527" s="13">
        <f t="shared" ca="1" si="8"/>
        <v>45958</v>
      </c>
      <c r="F527" s="7" t="s">
        <v>36</v>
      </c>
      <c r="G527" s="8">
        <v>9</v>
      </c>
      <c r="H527" s="9">
        <v>55000</v>
      </c>
      <c r="I527" s="9">
        <v>488423</v>
      </c>
      <c r="J527" s="17">
        <v>107453</v>
      </c>
    </row>
    <row r="528" spans="1:10" x14ac:dyDescent="0.3">
      <c r="A528" s="14" t="s">
        <v>10</v>
      </c>
      <c r="B528" s="4" t="s">
        <v>31</v>
      </c>
      <c r="C528" s="4" t="s">
        <v>12</v>
      </c>
      <c r="D528" s="4" t="s">
        <v>236</v>
      </c>
      <c r="E528" s="13">
        <f t="shared" ca="1" si="8"/>
        <v>45929</v>
      </c>
      <c r="F528" s="4" t="s">
        <v>14</v>
      </c>
      <c r="G528" s="5">
        <v>4</v>
      </c>
      <c r="H528" s="6">
        <v>18500</v>
      </c>
      <c r="I528" s="6">
        <v>72063</v>
      </c>
      <c r="J528" s="16">
        <v>8648</v>
      </c>
    </row>
    <row r="529" spans="1:10" x14ac:dyDescent="0.3">
      <c r="A529" s="15" t="s">
        <v>18</v>
      </c>
      <c r="B529" s="7" t="s">
        <v>16</v>
      </c>
      <c r="C529" s="7" t="s">
        <v>12</v>
      </c>
      <c r="D529" s="7" t="s">
        <v>155</v>
      </c>
      <c r="E529" s="13">
        <f t="shared" ca="1" si="8"/>
        <v>45863</v>
      </c>
      <c r="F529" s="7" t="s">
        <v>33</v>
      </c>
      <c r="G529" s="8">
        <v>7</v>
      </c>
      <c r="H529" s="9">
        <v>45000</v>
      </c>
      <c r="I529" s="9">
        <v>315796</v>
      </c>
      <c r="J529" s="17">
        <v>56843</v>
      </c>
    </row>
    <row r="530" spans="1:10" x14ac:dyDescent="0.3">
      <c r="A530" s="14" t="s">
        <v>41</v>
      </c>
      <c r="B530" s="4" t="s">
        <v>31</v>
      </c>
      <c r="C530" s="4" t="s">
        <v>12</v>
      </c>
      <c r="D530" s="4" t="s">
        <v>237</v>
      </c>
      <c r="E530" s="13">
        <f t="shared" ca="1" si="8"/>
        <v>45929</v>
      </c>
      <c r="F530" s="4" t="s">
        <v>36</v>
      </c>
      <c r="G530" s="5">
        <v>1</v>
      </c>
      <c r="H530" s="6">
        <v>55000</v>
      </c>
      <c r="I530" s="6">
        <v>50889</v>
      </c>
      <c r="J530" s="16">
        <v>11196</v>
      </c>
    </row>
    <row r="531" spans="1:10" x14ac:dyDescent="0.3">
      <c r="A531" s="15" t="s">
        <v>37</v>
      </c>
      <c r="B531" s="7" t="s">
        <v>19</v>
      </c>
      <c r="C531" s="7" t="s">
        <v>12</v>
      </c>
      <c r="D531" s="7" t="s">
        <v>238</v>
      </c>
      <c r="E531" s="13">
        <f t="shared" ca="1" si="8"/>
        <v>45894</v>
      </c>
      <c r="F531" s="7" t="s">
        <v>36</v>
      </c>
      <c r="G531" s="8">
        <v>6</v>
      </c>
      <c r="H531" s="9">
        <v>55000</v>
      </c>
      <c r="I531" s="9">
        <v>323014</v>
      </c>
      <c r="J531" s="17">
        <v>71063</v>
      </c>
    </row>
    <row r="532" spans="1:10" x14ac:dyDescent="0.3">
      <c r="A532" s="14" t="s">
        <v>37</v>
      </c>
      <c r="B532" s="4" t="s">
        <v>84</v>
      </c>
      <c r="C532" s="4" t="s">
        <v>12</v>
      </c>
      <c r="D532" s="4" t="s">
        <v>174</v>
      </c>
      <c r="E532" s="13">
        <f t="shared" ca="1" si="8"/>
        <v>45928</v>
      </c>
      <c r="F532" s="4" t="s">
        <v>33</v>
      </c>
      <c r="G532" s="5">
        <v>5</v>
      </c>
      <c r="H532" s="6">
        <v>45000</v>
      </c>
      <c r="I532" s="6">
        <v>232474</v>
      </c>
      <c r="J532" s="16">
        <v>41845</v>
      </c>
    </row>
    <row r="533" spans="1:10" x14ac:dyDescent="0.3">
      <c r="A533" s="15" t="s">
        <v>41</v>
      </c>
      <c r="B533" s="7" t="s">
        <v>16</v>
      </c>
      <c r="C533" s="7" t="s">
        <v>12</v>
      </c>
      <c r="D533" s="7" t="s">
        <v>42</v>
      </c>
      <c r="E533" s="13">
        <f t="shared" ca="1" si="8"/>
        <v>45913</v>
      </c>
      <c r="F533" s="7" t="s">
        <v>40</v>
      </c>
      <c r="G533" s="8">
        <v>3</v>
      </c>
      <c r="H533" s="9">
        <v>15000</v>
      </c>
      <c r="I533" s="9">
        <v>46929</v>
      </c>
      <c r="J533" s="17">
        <v>4693</v>
      </c>
    </row>
    <row r="534" spans="1:10" x14ac:dyDescent="0.3">
      <c r="A534" s="14" t="s">
        <v>41</v>
      </c>
      <c r="B534" s="4" t="s">
        <v>29</v>
      </c>
      <c r="C534" s="4" t="s">
        <v>26</v>
      </c>
      <c r="D534" s="4" t="s">
        <v>203</v>
      </c>
      <c r="E534" s="13">
        <f t="shared" ca="1" si="8"/>
        <v>45802</v>
      </c>
      <c r="F534" s="4" t="s">
        <v>14</v>
      </c>
      <c r="G534" s="5">
        <v>3</v>
      </c>
      <c r="H534" s="6">
        <v>18500</v>
      </c>
      <c r="I534" s="6">
        <v>52591</v>
      </c>
      <c r="J534" s="16">
        <v>6311</v>
      </c>
    </row>
    <row r="535" spans="1:10" x14ac:dyDescent="0.3">
      <c r="A535" s="15" t="s">
        <v>10</v>
      </c>
      <c r="B535" s="7" t="s">
        <v>22</v>
      </c>
      <c r="C535" s="7" t="s">
        <v>23</v>
      </c>
      <c r="D535" s="7" t="s">
        <v>239</v>
      </c>
      <c r="E535" s="13">
        <f t="shared" ca="1" si="8"/>
        <v>45843</v>
      </c>
      <c r="F535" s="7" t="s">
        <v>21</v>
      </c>
      <c r="G535" s="8">
        <v>7</v>
      </c>
      <c r="H535" s="9">
        <v>12500</v>
      </c>
      <c r="I535" s="9">
        <v>81339</v>
      </c>
      <c r="J535" s="17">
        <v>6507</v>
      </c>
    </row>
    <row r="536" spans="1:10" x14ac:dyDescent="0.3">
      <c r="A536" s="14" t="s">
        <v>15</v>
      </c>
      <c r="B536" s="4" t="s">
        <v>84</v>
      </c>
      <c r="C536" s="4" t="s">
        <v>12</v>
      </c>
      <c r="D536" s="4" t="s">
        <v>226</v>
      </c>
      <c r="E536" s="13">
        <f t="shared" ca="1" si="8"/>
        <v>45870</v>
      </c>
      <c r="F536" s="4" t="s">
        <v>36</v>
      </c>
      <c r="G536" s="5">
        <v>6</v>
      </c>
      <c r="H536" s="6">
        <v>55000</v>
      </c>
      <c r="I536" s="6">
        <v>317564</v>
      </c>
      <c r="J536" s="16">
        <v>69864</v>
      </c>
    </row>
    <row r="537" spans="1:10" x14ac:dyDescent="0.3">
      <c r="A537" s="15" t="s">
        <v>37</v>
      </c>
      <c r="B537" s="7" t="s">
        <v>22</v>
      </c>
      <c r="C537" s="7" t="s">
        <v>23</v>
      </c>
      <c r="D537" s="7" t="s">
        <v>117</v>
      </c>
      <c r="E537" s="13">
        <f t="shared" ca="1" si="8"/>
        <v>46001</v>
      </c>
      <c r="F537" s="7" t="s">
        <v>14</v>
      </c>
      <c r="G537" s="8">
        <v>4</v>
      </c>
      <c r="H537" s="9">
        <v>18500</v>
      </c>
      <c r="I537" s="9">
        <v>67596</v>
      </c>
      <c r="J537" s="17">
        <v>8112</v>
      </c>
    </row>
    <row r="538" spans="1:10" x14ac:dyDescent="0.3">
      <c r="A538" s="14" t="s">
        <v>41</v>
      </c>
      <c r="B538" s="4" t="s">
        <v>31</v>
      </c>
      <c r="C538" s="4" t="s">
        <v>12</v>
      </c>
      <c r="D538" s="4" t="s">
        <v>240</v>
      </c>
      <c r="E538" s="13">
        <f t="shared" ca="1" si="8"/>
        <v>45905</v>
      </c>
      <c r="F538" s="4" t="s">
        <v>14</v>
      </c>
      <c r="G538" s="5">
        <v>1</v>
      </c>
      <c r="H538" s="6">
        <v>18500</v>
      </c>
      <c r="I538" s="6">
        <v>17424</v>
      </c>
      <c r="J538" s="16">
        <v>2091</v>
      </c>
    </row>
    <row r="539" spans="1:10" x14ac:dyDescent="0.3">
      <c r="A539" s="15" t="s">
        <v>10</v>
      </c>
      <c r="B539" s="7" t="s">
        <v>51</v>
      </c>
      <c r="C539" s="7" t="s">
        <v>12</v>
      </c>
      <c r="D539" s="7" t="s">
        <v>241</v>
      </c>
      <c r="E539" s="13">
        <f t="shared" ca="1" si="8"/>
        <v>45675</v>
      </c>
      <c r="F539" s="7" t="s">
        <v>36</v>
      </c>
      <c r="G539" s="8">
        <v>7</v>
      </c>
      <c r="H539" s="9">
        <v>55000</v>
      </c>
      <c r="I539" s="9">
        <v>419762</v>
      </c>
      <c r="J539" s="17">
        <v>92348</v>
      </c>
    </row>
    <row r="540" spans="1:10" x14ac:dyDescent="0.3">
      <c r="A540" s="14" t="s">
        <v>37</v>
      </c>
      <c r="B540" s="4" t="s">
        <v>84</v>
      </c>
      <c r="C540" s="4" t="s">
        <v>12</v>
      </c>
      <c r="D540" s="4" t="s">
        <v>144</v>
      </c>
      <c r="E540" s="13">
        <f t="shared" ca="1" si="8"/>
        <v>46020</v>
      </c>
      <c r="F540" s="4" t="s">
        <v>40</v>
      </c>
      <c r="G540" s="5">
        <v>5</v>
      </c>
      <c r="H540" s="6">
        <v>15000</v>
      </c>
      <c r="I540" s="6">
        <v>80030</v>
      </c>
      <c r="J540" s="16">
        <v>8003</v>
      </c>
    </row>
    <row r="541" spans="1:10" x14ac:dyDescent="0.3">
      <c r="A541" s="15" t="s">
        <v>37</v>
      </c>
      <c r="B541" s="7" t="s">
        <v>84</v>
      </c>
      <c r="C541" s="7" t="s">
        <v>12</v>
      </c>
      <c r="D541" s="7" t="s">
        <v>242</v>
      </c>
      <c r="E541" s="13">
        <f t="shared" ca="1" si="8"/>
        <v>45871</v>
      </c>
      <c r="F541" s="7" t="s">
        <v>21</v>
      </c>
      <c r="G541" s="8">
        <v>5</v>
      </c>
      <c r="H541" s="9">
        <v>12500</v>
      </c>
      <c r="I541" s="9">
        <v>57907</v>
      </c>
      <c r="J541" s="17">
        <v>4633</v>
      </c>
    </row>
    <row r="542" spans="1:10" x14ac:dyDescent="0.3">
      <c r="A542" s="14" t="s">
        <v>37</v>
      </c>
      <c r="B542" s="4" t="s">
        <v>19</v>
      </c>
      <c r="C542" s="4" t="s">
        <v>12</v>
      </c>
      <c r="D542" s="4" t="s">
        <v>148</v>
      </c>
      <c r="E542" s="13">
        <f t="shared" ca="1" si="8"/>
        <v>45873</v>
      </c>
      <c r="F542" s="4" t="s">
        <v>21</v>
      </c>
      <c r="G542" s="5">
        <v>9</v>
      </c>
      <c r="H542" s="6">
        <v>12500</v>
      </c>
      <c r="I542" s="6">
        <v>119343</v>
      </c>
      <c r="J542" s="16">
        <v>9547</v>
      </c>
    </row>
    <row r="543" spans="1:10" x14ac:dyDescent="0.3">
      <c r="A543" s="15" t="s">
        <v>15</v>
      </c>
      <c r="B543" s="7" t="s">
        <v>19</v>
      </c>
      <c r="C543" s="7" t="s">
        <v>12</v>
      </c>
      <c r="D543" s="7" t="s">
        <v>30</v>
      </c>
      <c r="E543" s="13">
        <f t="shared" ca="1" si="8"/>
        <v>45976</v>
      </c>
      <c r="F543" s="7" t="s">
        <v>21</v>
      </c>
      <c r="G543" s="8">
        <v>10</v>
      </c>
      <c r="H543" s="9">
        <v>12500</v>
      </c>
      <c r="I543" s="9">
        <v>123232</v>
      </c>
      <c r="J543" s="17">
        <v>9859</v>
      </c>
    </row>
    <row r="544" spans="1:10" x14ac:dyDescent="0.3">
      <c r="A544" s="14" t="s">
        <v>15</v>
      </c>
      <c r="B544" s="4" t="s">
        <v>29</v>
      </c>
      <c r="C544" s="4" t="s">
        <v>26</v>
      </c>
      <c r="D544" s="4" t="s">
        <v>192</v>
      </c>
      <c r="E544" s="13">
        <f t="shared" ca="1" si="8"/>
        <v>45762</v>
      </c>
      <c r="F544" s="4" t="s">
        <v>14</v>
      </c>
      <c r="G544" s="5">
        <v>1</v>
      </c>
      <c r="H544" s="6">
        <v>18500</v>
      </c>
      <c r="I544" s="6">
        <v>18350</v>
      </c>
      <c r="J544" s="16">
        <v>2202</v>
      </c>
    </row>
    <row r="545" spans="1:10" x14ac:dyDescent="0.3">
      <c r="A545" s="15" t="s">
        <v>15</v>
      </c>
      <c r="B545" s="7" t="s">
        <v>16</v>
      </c>
      <c r="C545" s="7" t="s">
        <v>12</v>
      </c>
      <c r="D545" s="7" t="s">
        <v>85</v>
      </c>
      <c r="E545" s="13">
        <f t="shared" ca="1" si="8"/>
        <v>45797</v>
      </c>
      <c r="F545" s="7" t="s">
        <v>36</v>
      </c>
      <c r="G545" s="8">
        <v>10</v>
      </c>
      <c r="H545" s="9">
        <v>55000</v>
      </c>
      <c r="I545" s="9">
        <v>541295</v>
      </c>
      <c r="J545" s="17">
        <v>119085</v>
      </c>
    </row>
    <row r="546" spans="1:10" x14ac:dyDescent="0.3">
      <c r="A546" s="14" t="s">
        <v>37</v>
      </c>
      <c r="B546" s="4" t="s">
        <v>38</v>
      </c>
      <c r="C546" s="4" t="s">
        <v>23</v>
      </c>
      <c r="D546" s="4" t="s">
        <v>65</v>
      </c>
      <c r="E546" s="13">
        <f t="shared" ca="1" si="8"/>
        <v>45750</v>
      </c>
      <c r="F546" s="4" t="s">
        <v>33</v>
      </c>
      <c r="G546" s="5">
        <v>5</v>
      </c>
      <c r="H546" s="6">
        <v>45000</v>
      </c>
      <c r="I546" s="6">
        <v>238482</v>
      </c>
      <c r="J546" s="16">
        <v>42927</v>
      </c>
    </row>
    <row r="547" spans="1:10" x14ac:dyDescent="0.3">
      <c r="A547" s="15" t="s">
        <v>37</v>
      </c>
      <c r="B547" s="7" t="s">
        <v>31</v>
      </c>
      <c r="C547" s="7" t="s">
        <v>12</v>
      </c>
      <c r="D547" s="7" t="s">
        <v>243</v>
      </c>
      <c r="E547" s="13">
        <f t="shared" ca="1" si="8"/>
        <v>45687</v>
      </c>
      <c r="F547" s="7" t="s">
        <v>14</v>
      </c>
      <c r="G547" s="8">
        <v>1</v>
      </c>
      <c r="H547" s="9">
        <v>18500</v>
      </c>
      <c r="I547" s="9">
        <v>18832</v>
      </c>
      <c r="J547" s="17">
        <v>2260</v>
      </c>
    </row>
    <row r="548" spans="1:10" x14ac:dyDescent="0.3">
      <c r="A548" s="14" t="s">
        <v>10</v>
      </c>
      <c r="B548" s="4" t="s">
        <v>81</v>
      </c>
      <c r="C548" s="4" t="s">
        <v>26</v>
      </c>
      <c r="D548" s="4" t="s">
        <v>244</v>
      </c>
      <c r="E548" s="13">
        <f t="shared" ca="1" si="8"/>
        <v>45874</v>
      </c>
      <c r="F548" s="4" t="s">
        <v>14</v>
      </c>
      <c r="G548" s="5">
        <v>8</v>
      </c>
      <c r="H548" s="6">
        <v>18500</v>
      </c>
      <c r="I548" s="6">
        <v>141384</v>
      </c>
      <c r="J548" s="16">
        <v>16966</v>
      </c>
    </row>
    <row r="549" spans="1:10" x14ac:dyDescent="0.3">
      <c r="A549" s="15" t="s">
        <v>10</v>
      </c>
      <c r="B549" s="7" t="s">
        <v>38</v>
      </c>
      <c r="C549" s="7" t="s">
        <v>23</v>
      </c>
      <c r="D549" s="7" t="s">
        <v>54</v>
      </c>
      <c r="E549" s="13">
        <f t="shared" ca="1" si="8"/>
        <v>45714</v>
      </c>
      <c r="F549" s="7" t="s">
        <v>33</v>
      </c>
      <c r="G549" s="8">
        <v>9</v>
      </c>
      <c r="H549" s="9">
        <v>45000</v>
      </c>
      <c r="I549" s="9">
        <v>414271</v>
      </c>
      <c r="J549" s="17">
        <v>74569</v>
      </c>
    </row>
    <row r="550" spans="1:10" x14ac:dyDescent="0.3">
      <c r="A550" s="14" t="s">
        <v>15</v>
      </c>
      <c r="B550" s="4" t="s">
        <v>51</v>
      </c>
      <c r="C550" s="4" t="s">
        <v>12</v>
      </c>
      <c r="D550" s="4" t="s">
        <v>195</v>
      </c>
      <c r="E550" s="13">
        <f t="shared" ca="1" si="8"/>
        <v>45800</v>
      </c>
      <c r="F550" s="4" t="s">
        <v>40</v>
      </c>
      <c r="G550" s="5">
        <v>9</v>
      </c>
      <c r="H550" s="6">
        <v>15000</v>
      </c>
      <c r="I550" s="6">
        <v>128315</v>
      </c>
      <c r="J550" s="16">
        <v>12832</v>
      </c>
    </row>
    <row r="551" spans="1:10" x14ac:dyDescent="0.3">
      <c r="A551" s="15" t="s">
        <v>37</v>
      </c>
      <c r="B551" s="7" t="s">
        <v>11</v>
      </c>
      <c r="C551" s="7" t="s">
        <v>12</v>
      </c>
      <c r="D551" s="7" t="s">
        <v>195</v>
      </c>
      <c r="E551" s="13">
        <f t="shared" ca="1" si="8"/>
        <v>45818</v>
      </c>
      <c r="F551" s="7" t="s">
        <v>14</v>
      </c>
      <c r="G551" s="8">
        <v>1</v>
      </c>
      <c r="H551" s="9">
        <v>18500</v>
      </c>
      <c r="I551" s="9">
        <v>18216</v>
      </c>
      <c r="J551" s="17">
        <v>2186</v>
      </c>
    </row>
    <row r="552" spans="1:10" x14ac:dyDescent="0.3">
      <c r="A552" s="14" t="s">
        <v>41</v>
      </c>
      <c r="B552" s="4" t="s">
        <v>46</v>
      </c>
      <c r="C552" s="4" t="s">
        <v>26</v>
      </c>
      <c r="D552" s="4" t="s">
        <v>112</v>
      </c>
      <c r="E552" s="13">
        <f t="shared" ca="1" si="8"/>
        <v>45832</v>
      </c>
      <c r="F552" s="4" t="s">
        <v>36</v>
      </c>
      <c r="G552" s="5">
        <v>6</v>
      </c>
      <c r="H552" s="6">
        <v>55000</v>
      </c>
      <c r="I552" s="6">
        <v>315388</v>
      </c>
      <c r="J552" s="16">
        <v>69385</v>
      </c>
    </row>
    <row r="553" spans="1:10" x14ac:dyDescent="0.3">
      <c r="A553" s="15" t="s">
        <v>37</v>
      </c>
      <c r="B553" s="7" t="s">
        <v>19</v>
      </c>
      <c r="C553" s="7" t="s">
        <v>12</v>
      </c>
      <c r="D553" s="7" t="s">
        <v>63</v>
      </c>
      <c r="E553" s="13">
        <f t="shared" ca="1" si="8"/>
        <v>45984</v>
      </c>
      <c r="F553" s="7" t="s">
        <v>21</v>
      </c>
      <c r="G553" s="8">
        <v>3</v>
      </c>
      <c r="H553" s="9">
        <v>12500</v>
      </c>
      <c r="I553" s="9">
        <v>35234</v>
      </c>
      <c r="J553" s="17">
        <v>2819</v>
      </c>
    </row>
    <row r="554" spans="1:10" x14ac:dyDescent="0.3">
      <c r="A554" s="14" t="s">
        <v>10</v>
      </c>
      <c r="B554" s="4" t="s">
        <v>81</v>
      </c>
      <c r="C554" s="4" t="s">
        <v>26</v>
      </c>
      <c r="D554" s="4" t="s">
        <v>245</v>
      </c>
      <c r="E554" s="13">
        <f t="shared" ca="1" si="8"/>
        <v>45790</v>
      </c>
      <c r="F554" s="4" t="s">
        <v>36</v>
      </c>
      <c r="G554" s="5">
        <v>2</v>
      </c>
      <c r="H554" s="6">
        <v>55000</v>
      </c>
      <c r="I554" s="6">
        <v>104238</v>
      </c>
      <c r="J554" s="16">
        <v>22932</v>
      </c>
    </row>
    <row r="555" spans="1:10" x14ac:dyDescent="0.3">
      <c r="A555" s="15" t="s">
        <v>37</v>
      </c>
      <c r="B555" s="7" t="s">
        <v>16</v>
      </c>
      <c r="C555" s="7" t="s">
        <v>12</v>
      </c>
      <c r="D555" s="7" t="s">
        <v>244</v>
      </c>
      <c r="E555" s="13">
        <f t="shared" ca="1" si="8"/>
        <v>45744</v>
      </c>
      <c r="F555" s="7" t="s">
        <v>33</v>
      </c>
      <c r="G555" s="8">
        <v>8</v>
      </c>
      <c r="H555" s="9">
        <v>45000</v>
      </c>
      <c r="I555" s="9">
        <v>374877</v>
      </c>
      <c r="J555" s="17">
        <v>67478</v>
      </c>
    </row>
    <row r="556" spans="1:10" x14ac:dyDescent="0.3">
      <c r="A556" s="14" t="s">
        <v>15</v>
      </c>
      <c r="B556" s="4" t="s">
        <v>84</v>
      </c>
      <c r="C556" s="4" t="s">
        <v>12</v>
      </c>
      <c r="D556" s="4" t="s">
        <v>20</v>
      </c>
      <c r="E556" s="13">
        <f t="shared" ca="1" si="8"/>
        <v>45721</v>
      </c>
      <c r="F556" s="4" t="s">
        <v>36</v>
      </c>
      <c r="G556" s="5">
        <v>1</v>
      </c>
      <c r="H556" s="6">
        <v>55000</v>
      </c>
      <c r="I556" s="6">
        <v>59362</v>
      </c>
      <c r="J556" s="16">
        <v>13060</v>
      </c>
    </row>
    <row r="557" spans="1:10" x14ac:dyDescent="0.3">
      <c r="A557" s="15" t="s">
        <v>41</v>
      </c>
      <c r="B557" s="7" t="s">
        <v>46</v>
      </c>
      <c r="C557" s="7" t="s">
        <v>26</v>
      </c>
      <c r="D557" s="7" t="s">
        <v>17</v>
      </c>
      <c r="E557" s="13">
        <f t="shared" ca="1" si="8"/>
        <v>45866</v>
      </c>
      <c r="F557" s="7" t="s">
        <v>40</v>
      </c>
      <c r="G557" s="8">
        <v>2</v>
      </c>
      <c r="H557" s="9">
        <v>15000</v>
      </c>
      <c r="I557" s="9">
        <v>32462</v>
      </c>
      <c r="J557" s="17">
        <v>3246</v>
      </c>
    </row>
    <row r="558" spans="1:10" x14ac:dyDescent="0.3">
      <c r="A558" s="14" t="s">
        <v>15</v>
      </c>
      <c r="B558" s="4" t="s">
        <v>25</v>
      </c>
      <c r="C558" s="4" t="s">
        <v>26</v>
      </c>
      <c r="D558" s="4" t="s">
        <v>246</v>
      </c>
      <c r="E558" s="13">
        <f t="shared" ca="1" si="8"/>
        <v>45773</v>
      </c>
      <c r="F558" s="4" t="s">
        <v>33</v>
      </c>
      <c r="G558" s="5">
        <v>9</v>
      </c>
      <c r="H558" s="6">
        <v>45000</v>
      </c>
      <c r="I558" s="6">
        <v>423191</v>
      </c>
      <c r="J558" s="16">
        <v>76174</v>
      </c>
    </row>
    <row r="559" spans="1:10" x14ac:dyDescent="0.3">
      <c r="A559" s="15" t="s">
        <v>37</v>
      </c>
      <c r="B559" s="7" t="s">
        <v>46</v>
      </c>
      <c r="C559" s="7" t="s">
        <v>26</v>
      </c>
      <c r="D559" s="7" t="s">
        <v>111</v>
      </c>
      <c r="E559" s="13">
        <f t="shared" ca="1" si="8"/>
        <v>45982</v>
      </c>
      <c r="F559" s="7" t="s">
        <v>14</v>
      </c>
      <c r="G559" s="8">
        <v>1</v>
      </c>
      <c r="H559" s="9">
        <v>18500</v>
      </c>
      <c r="I559" s="9">
        <v>19124</v>
      </c>
      <c r="J559" s="17">
        <v>2295</v>
      </c>
    </row>
    <row r="560" spans="1:10" x14ac:dyDescent="0.3">
      <c r="A560" s="14" t="s">
        <v>15</v>
      </c>
      <c r="B560" s="4" t="s">
        <v>25</v>
      </c>
      <c r="C560" s="4" t="s">
        <v>26</v>
      </c>
      <c r="D560" s="4" t="s">
        <v>216</v>
      </c>
      <c r="E560" s="13">
        <f t="shared" ca="1" si="8"/>
        <v>45923</v>
      </c>
      <c r="F560" s="4" t="s">
        <v>36</v>
      </c>
      <c r="G560" s="5">
        <v>4</v>
      </c>
      <c r="H560" s="6">
        <v>55000</v>
      </c>
      <c r="I560" s="6">
        <v>200379</v>
      </c>
      <c r="J560" s="16">
        <v>44083</v>
      </c>
    </row>
    <row r="561" spans="1:10" x14ac:dyDescent="0.3">
      <c r="A561" s="15" t="s">
        <v>37</v>
      </c>
      <c r="B561" s="7" t="s">
        <v>29</v>
      </c>
      <c r="C561" s="7" t="s">
        <v>26</v>
      </c>
      <c r="D561" s="7" t="s">
        <v>72</v>
      </c>
      <c r="E561" s="13">
        <f t="shared" ca="1" si="8"/>
        <v>45708</v>
      </c>
      <c r="F561" s="7" t="s">
        <v>21</v>
      </c>
      <c r="G561" s="8">
        <v>4</v>
      </c>
      <c r="H561" s="9">
        <v>12500</v>
      </c>
      <c r="I561" s="9">
        <v>48309</v>
      </c>
      <c r="J561" s="17">
        <v>3865</v>
      </c>
    </row>
    <row r="562" spans="1:10" x14ac:dyDescent="0.3">
      <c r="A562" s="14" t="s">
        <v>18</v>
      </c>
      <c r="B562" s="4" t="s">
        <v>25</v>
      </c>
      <c r="C562" s="4" t="s">
        <v>26</v>
      </c>
      <c r="D562" s="4" t="s">
        <v>244</v>
      </c>
      <c r="E562" s="13">
        <f t="shared" ca="1" si="8"/>
        <v>45947</v>
      </c>
      <c r="F562" s="4" t="s">
        <v>36</v>
      </c>
      <c r="G562" s="5">
        <v>3</v>
      </c>
      <c r="H562" s="6">
        <v>55000</v>
      </c>
      <c r="I562" s="6">
        <v>158811</v>
      </c>
      <c r="J562" s="16">
        <v>34938</v>
      </c>
    </row>
    <row r="563" spans="1:10" x14ac:dyDescent="0.3">
      <c r="A563" s="15" t="s">
        <v>18</v>
      </c>
      <c r="B563" s="7" t="s">
        <v>88</v>
      </c>
      <c r="C563" s="7" t="s">
        <v>12</v>
      </c>
      <c r="D563" s="7" t="s">
        <v>247</v>
      </c>
      <c r="E563" s="13">
        <f t="shared" ca="1" si="8"/>
        <v>45761</v>
      </c>
      <c r="F563" s="7" t="s">
        <v>33</v>
      </c>
      <c r="G563" s="8">
        <v>4</v>
      </c>
      <c r="H563" s="9">
        <v>45000</v>
      </c>
      <c r="I563" s="9">
        <v>166838</v>
      </c>
      <c r="J563" s="17">
        <v>30031</v>
      </c>
    </row>
    <row r="564" spans="1:10" x14ac:dyDescent="0.3">
      <c r="A564" s="14" t="s">
        <v>37</v>
      </c>
      <c r="B564" s="4" t="s">
        <v>25</v>
      </c>
      <c r="C564" s="4" t="s">
        <v>26</v>
      </c>
      <c r="D564" s="4" t="s">
        <v>47</v>
      </c>
      <c r="E564" s="13">
        <f t="shared" ca="1" si="8"/>
        <v>45941</v>
      </c>
      <c r="F564" s="4" t="s">
        <v>14</v>
      </c>
      <c r="G564" s="5">
        <v>9</v>
      </c>
      <c r="H564" s="6">
        <v>18500</v>
      </c>
      <c r="I564" s="6">
        <v>178256</v>
      </c>
      <c r="J564" s="16">
        <v>21391</v>
      </c>
    </row>
    <row r="565" spans="1:10" x14ac:dyDescent="0.3">
      <c r="A565" s="15" t="s">
        <v>37</v>
      </c>
      <c r="B565" s="7" t="s">
        <v>38</v>
      </c>
      <c r="C565" s="7" t="s">
        <v>23</v>
      </c>
      <c r="D565" s="7" t="s">
        <v>198</v>
      </c>
      <c r="E565" s="13">
        <f t="shared" ca="1" si="8"/>
        <v>45750</v>
      </c>
      <c r="F565" s="7" t="s">
        <v>36</v>
      </c>
      <c r="G565" s="8">
        <v>3</v>
      </c>
      <c r="H565" s="9">
        <v>55000</v>
      </c>
      <c r="I565" s="9">
        <v>172681</v>
      </c>
      <c r="J565" s="17">
        <v>37990</v>
      </c>
    </row>
    <row r="566" spans="1:10" x14ac:dyDescent="0.3">
      <c r="A566" s="14" t="s">
        <v>15</v>
      </c>
      <c r="B566" s="4" t="s">
        <v>77</v>
      </c>
      <c r="C566" s="4" t="s">
        <v>12</v>
      </c>
      <c r="D566" s="4" t="s">
        <v>139</v>
      </c>
      <c r="E566" s="13">
        <f t="shared" ca="1" si="8"/>
        <v>45935</v>
      </c>
      <c r="F566" s="4" t="s">
        <v>14</v>
      </c>
      <c r="G566" s="5">
        <v>5</v>
      </c>
      <c r="H566" s="6">
        <v>18500</v>
      </c>
      <c r="I566" s="6">
        <v>89585</v>
      </c>
      <c r="J566" s="16">
        <v>10750</v>
      </c>
    </row>
    <row r="567" spans="1:10" x14ac:dyDescent="0.3">
      <c r="A567" s="15" t="s">
        <v>10</v>
      </c>
      <c r="B567" s="7" t="s">
        <v>29</v>
      </c>
      <c r="C567" s="7" t="s">
        <v>26</v>
      </c>
      <c r="D567" s="7" t="s">
        <v>34</v>
      </c>
      <c r="E567" s="13">
        <f t="shared" ca="1" si="8"/>
        <v>45839</v>
      </c>
      <c r="F567" s="7" t="s">
        <v>40</v>
      </c>
      <c r="G567" s="8">
        <v>9</v>
      </c>
      <c r="H567" s="9">
        <v>15000</v>
      </c>
      <c r="I567" s="9">
        <v>131168</v>
      </c>
      <c r="J567" s="17">
        <v>13117</v>
      </c>
    </row>
    <row r="568" spans="1:10" x14ac:dyDescent="0.3">
      <c r="A568" s="14" t="s">
        <v>18</v>
      </c>
      <c r="B568" s="4" t="s">
        <v>38</v>
      </c>
      <c r="C568" s="4" t="s">
        <v>23</v>
      </c>
      <c r="D568" s="4" t="s">
        <v>150</v>
      </c>
      <c r="E568" s="13">
        <f t="shared" ca="1" si="8"/>
        <v>45925</v>
      </c>
      <c r="F568" s="4" t="s">
        <v>40</v>
      </c>
      <c r="G568" s="5">
        <v>4</v>
      </c>
      <c r="H568" s="6">
        <v>15000</v>
      </c>
      <c r="I568" s="6">
        <v>57911</v>
      </c>
      <c r="J568" s="16">
        <v>5791</v>
      </c>
    </row>
    <row r="569" spans="1:10" x14ac:dyDescent="0.3">
      <c r="A569" s="15" t="s">
        <v>10</v>
      </c>
      <c r="B569" s="7" t="s">
        <v>29</v>
      </c>
      <c r="C569" s="7" t="s">
        <v>26</v>
      </c>
      <c r="D569" s="7" t="s">
        <v>144</v>
      </c>
      <c r="E569" s="13">
        <f t="shared" ca="1" si="8"/>
        <v>45826</v>
      </c>
      <c r="F569" s="7" t="s">
        <v>36</v>
      </c>
      <c r="G569" s="8">
        <v>9</v>
      </c>
      <c r="H569" s="9">
        <v>55000</v>
      </c>
      <c r="I569" s="9">
        <v>452741</v>
      </c>
      <c r="J569" s="17">
        <v>99603</v>
      </c>
    </row>
    <row r="570" spans="1:10" x14ac:dyDescent="0.3">
      <c r="A570" s="14" t="s">
        <v>37</v>
      </c>
      <c r="B570" s="4" t="s">
        <v>51</v>
      </c>
      <c r="C570" s="4" t="s">
        <v>12</v>
      </c>
      <c r="D570" s="4" t="s">
        <v>190</v>
      </c>
      <c r="E570" s="13">
        <f t="shared" ca="1" si="8"/>
        <v>45823</v>
      </c>
      <c r="F570" s="4" t="s">
        <v>21</v>
      </c>
      <c r="G570" s="5">
        <v>10</v>
      </c>
      <c r="H570" s="6">
        <v>12500</v>
      </c>
      <c r="I570" s="6">
        <v>129510</v>
      </c>
      <c r="J570" s="16">
        <v>10361</v>
      </c>
    </row>
    <row r="571" spans="1:10" x14ac:dyDescent="0.3">
      <c r="A571" s="15" t="s">
        <v>18</v>
      </c>
      <c r="B571" s="7" t="s">
        <v>31</v>
      </c>
      <c r="C571" s="7" t="s">
        <v>12</v>
      </c>
      <c r="D571" s="7" t="s">
        <v>233</v>
      </c>
      <c r="E571" s="13">
        <f t="shared" ca="1" si="8"/>
        <v>45757</v>
      </c>
      <c r="F571" s="7" t="s">
        <v>36</v>
      </c>
      <c r="G571" s="8">
        <v>7</v>
      </c>
      <c r="H571" s="9">
        <v>55000</v>
      </c>
      <c r="I571" s="9">
        <v>409417</v>
      </c>
      <c r="J571" s="17">
        <v>90072</v>
      </c>
    </row>
    <row r="572" spans="1:10" x14ac:dyDescent="0.3">
      <c r="A572" s="14" t="s">
        <v>10</v>
      </c>
      <c r="B572" s="4" t="s">
        <v>11</v>
      </c>
      <c r="C572" s="4" t="s">
        <v>12</v>
      </c>
      <c r="D572" s="4" t="s">
        <v>214</v>
      </c>
      <c r="E572" s="13">
        <f t="shared" ca="1" si="8"/>
        <v>46002</v>
      </c>
      <c r="F572" s="4" t="s">
        <v>33</v>
      </c>
      <c r="G572" s="5">
        <v>8</v>
      </c>
      <c r="H572" s="6">
        <v>45000</v>
      </c>
      <c r="I572" s="6">
        <v>391894</v>
      </c>
      <c r="J572" s="16">
        <v>70541</v>
      </c>
    </row>
    <row r="573" spans="1:10" x14ac:dyDescent="0.3">
      <c r="A573" s="15" t="s">
        <v>37</v>
      </c>
      <c r="B573" s="7" t="s">
        <v>81</v>
      </c>
      <c r="C573" s="7" t="s">
        <v>26</v>
      </c>
      <c r="D573" s="7" t="s">
        <v>248</v>
      </c>
      <c r="E573" s="13">
        <f t="shared" ca="1" si="8"/>
        <v>46000</v>
      </c>
      <c r="F573" s="7" t="s">
        <v>40</v>
      </c>
      <c r="G573" s="8">
        <v>1</v>
      </c>
      <c r="H573" s="9">
        <v>15000</v>
      </c>
      <c r="I573" s="9">
        <v>13982</v>
      </c>
      <c r="J573" s="17">
        <v>1398</v>
      </c>
    </row>
    <row r="574" spans="1:10" x14ac:dyDescent="0.3">
      <c r="A574" s="14" t="s">
        <v>37</v>
      </c>
      <c r="B574" s="4" t="s">
        <v>88</v>
      </c>
      <c r="C574" s="4" t="s">
        <v>12</v>
      </c>
      <c r="D574" s="4" t="s">
        <v>120</v>
      </c>
      <c r="E574" s="13">
        <f t="shared" ca="1" si="8"/>
        <v>45817</v>
      </c>
      <c r="F574" s="4" t="s">
        <v>33</v>
      </c>
      <c r="G574" s="5">
        <v>8</v>
      </c>
      <c r="H574" s="6">
        <v>45000</v>
      </c>
      <c r="I574" s="6">
        <v>330340</v>
      </c>
      <c r="J574" s="16">
        <v>59461</v>
      </c>
    </row>
    <row r="575" spans="1:10" x14ac:dyDescent="0.3">
      <c r="A575" s="15" t="s">
        <v>15</v>
      </c>
      <c r="B575" s="7" t="s">
        <v>31</v>
      </c>
      <c r="C575" s="7" t="s">
        <v>12</v>
      </c>
      <c r="D575" s="7" t="s">
        <v>87</v>
      </c>
      <c r="E575" s="13">
        <f t="shared" ca="1" si="8"/>
        <v>45979</v>
      </c>
      <c r="F575" s="7" t="s">
        <v>36</v>
      </c>
      <c r="G575" s="8">
        <v>3</v>
      </c>
      <c r="H575" s="9">
        <v>55000</v>
      </c>
      <c r="I575" s="9">
        <v>150299</v>
      </c>
      <c r="J575" s="17">
        <v>33066</v>
      </c>
    </row>
    <row r="576" spans="1:10" x14ac:dyDescent="0.3">
      <c r="A576" s="14" t="s">
        <v>10</v>
      </c>
      <c r="B576" s="4" t="s">
        <v>16</v>
      </c>
      <c r="C576" s="4" t="s">
        <v>12</v>
      </c>
      <c r="D576" s="4" t="s">
        <v>45</v>
      </c>
      <c r="E576" s="13">
        <f t="shared" ca="1" si="8"/>
        <v>45862</v>
      </c>
      <c r="F576" s="4" t="s">
        <v>36</v>
      </c>
      <c r="G576" s="5">
        <v>9</v>
      </c>
      <c r="H576" s="6">
        <v>55000</v>
      </c>
      <c r="I576" s="6">
        <v>524898</v>
      </c>
      <c r="J576" s="16">
        <v>115478</v>
      </c>
    </row>
    <row r="577" spans="1:10" x14ac:dyDescent="0.3">
      <c r="A577" s="15" t="s">
        <v>18</v>
      </c>
      <c r="B577" s="7" t="s">
        <v>22</v>
      </c>
      <c r="C577" s="7" t="s">
        <v>23</v>
      </c>
      <c r="D577" s="7" t="s">
        <v>157</v>
      </c>
      <c r="E577" s="13">
        <f t="shared" ca="1" si="8"/>
        <v>45701</v>
      </c>
      <c r="F577" s="7" t="s">
        <v>33</v>
      </c>
      <c r="G577" s="8">
        <v>4</v>
      </c>
      <c r="H577" s="9">
        <v>45000</v>
      </c>
      <c r="I577" s="9">
        <v>184519</v>
      </c>
      <c r="J577" s="17">
        <v>33213</v>
      </c>
    </row>
    <row r="578" spans="1:10" x14ac:dyDescent="0.3">
      <c r="A578" s="14" t="s">
        <v>37</v>
      </c>
      <c r="B578" s="4" t="s">
        <v>77</v>
      </c>
      <c r="C578" s="4" t="s">
        <v>12</v>
      </c>
      <c r="D578" s="4" t="s">
        <v>73</v>
      </c>
      <c r="E578" s="13">
        <f t="shared" ca="1" si="8"/>
        <v>45975</v>
      </c>
      <c r="F578" s="4" t="s">
        <v>14</v>
      </c>
      <c r="G578" s="5">
        <v>6</v>
      </c>
      <c r="H578" s="6">
        <v>18500</v>
      </c>
      <c r="I578" s="6">
        <v>108177</v>
      </c>
      <c r="J578" s="16">
        <v>12981</v>
      </c>
    </row>
    <row r="579" spans="1:10" x14ac:dyDescent="0.3">
      <c r="A579" s="15" t="s">
        <v>15</v>
      </c>
      <c r="B579" s="7" t="s">
        <v>22</v>
      </c>
      <c r="C579" s="7" t="s">
        <v>23</v>
      </c>
      <c r="D579" s="7" t="s">
        <v>111</v>
      </c>
      <c r="E579" s="13">
        <f t="shared" ref="E579:E642" ca="1" si="9">DATE(2025,1,1)+RANDBETWEEN(0,364)</f>
        <v>45877</v>
      </c>
      <c r="F579" s="7" t="s">
        <v>40</v>
      </c>
      <c r="G579" s="8">
        <v>6</v>
      </c>
      <c r="H579" s="9">
        <v>15000</v>
      </c>
      <c r="I579" s="9">
        <v>98159</v>
      </c>
      <c r="J579" s="17">
        <v>9816</v>
      </c>
    </row>
    <row r="580" spans="1:10" x14ac:dyDescent="0.3">
      <c r="A580" s="14" t="s">
        <v>15</v>
      </c>
      <c r="B580" s="4" t="s">
        <v>84</v>
      </c>
      <c r="C580" s="4" t="s">
        <v>12</v>
      </c>
      <c r="D580" s="4" t="s">
        <v>134</v>
      </c>
      <c r="E580" s="13">
        <f t="shared" ca="1" si="9"/>
        <v>45978</v>
      </c>
      <c r="F580" s="4" t="s">
        <v>33</v>
      </c>
      <c r="G580" s="5">
        <v>9</v>
      </c>
      <c r="H580" s="6">
        <v>45000</v>
      </c>
      <c r="I580" s="6">
        <v>367900</v>
      </c>
      <c r="J580" s="16">
        <v>66222</v>
      </c>
    </row>
    <row r="581" spans="1:10" x14ac:dyDescent="0.3">
      <c r="A581" s="15" t="s">
        <v>18</v>
      </c>
      <c r="B581" s="7" t="s">
        <v>51</v>
      </c>
      <c r="C581" s="7" t="s">
        <v>12</v>
      </c>
      <c r="D581" s="7" t="s">
        <v>105</v>
      </c>
      <c r="E581" s="13">
        <f t="shared" ca="1" si="9"/>
        <v>45960</v>
      </c>
      <c r="F581" s="7" t="s">
        <v>40</v>
      </c>
      <c r="G581" s="8">
        <v>7</v>
      </c>
      <c r="H581" s="9">
        <v>15000</v>
      </c>
      <c r="I581" s="9">
        <v>113706</v>
      </c>
      <c r="J581" s="17">
        <v>11371</v>
      </c>
    </row>
    <row r="582" spans="1:10" x14ac:dyDescent="0.3">
      <c r="A582" s="14" t="s">
        <v>18</v>
      </c>
      <c r="B582" s="4" t="s">
        <v>25</v>
      </c>
      <c r="C582" s="4" t="s">
        <v>26</v>
      </c>
      <c r="D582" s="4" t="s">
        <v>67</v>
      </c>
      <c r="E582" s="13">
        <f t="shared" ca="1" si="9"/>
        <v>45999</v>
      </c>
      <c r="F582" s="4" t="s">
        <v>40</v>
      </c>
      <c r="G582" s="5">
        <v>6</v>
      </c>
      <c r="H582" s="6">
        <v>15000</v>
      </c>
      <c r="I582" s="6">
        <v>96911</v>
      </c>
      <c r="J582" s="16">
        <v>9691</v>
      </c>
    </row>
    <row r="583" spans="1:10" x14ac:dyDescent="0.3">
      <c r="A583" s="15" t="s">
        <v>18</v>
      </c>
      <c r="B583" s="7" t="s">
        <v>56</v>
      </c>
      <c r="C583" s="7" t="s">
        <v>23</v>
      </c>
      <c r="D583" s="7" t="s">
        <v>194</v>
      </c>
      <c r="E583" s="13">
        <f t="shared" ca="1" si="9"/>
        <v>45746</v>
      </c>
      <c r="F583" s="7" t="s">
        <v>33</v>
      </c>
      <c r="G583" s="8">
        <v>6</v>
      </c>
      <c r="H583" s="9">
        <v>45000</v>
      </c>
      <c r="I583" s="9">
        <v>290146</v>
      </c>
      <c r="J583" s="17">
        <v>52226</v>
      </c>
    </row>
    <row r="584" spans="1:10" x14ac:dyDescent="0.3">
      <c r="A584" s="14" t="s">
        <v>10</v>
      </c>
      <c r="B584" s="4" t="s">
        <v>16</v>
      </c>
      <c r="C584" s="4" t="s">
        <v>12</v>
      </c>
      <c r="D584" s="4" t="s">
        <v>100</v>
      </c>
      <c r="E584" s="13">
        <f t="shared" ca="1" si="9"/>
        <v>45698</v>
      </c>
      <c r="F584" s="4" t="s">
        <v>33</v>
      </c>
      <c r="G584" s="5">
        <v>3</v>
      </c>
      <c r="H584" s="6">
        <v>45000</v>
      </c>
      <c r="I584" s="6">
        <v>148006</v>
      </c>
      <c r="J584" s="16">
        <v>26641</v>
      </c>
    </row>
    <row r="585" spans="1:10" x14ac:dyDescent="0.3">
      <c r="A585" s="15" t="s">
        <v>10</v>
      </c>
      <c r="B585" s="7" t="s">
        <v>46</v>
      </c>
      <c r="C585" s="7" t="s">
        <v>26</v>
      </c>
      <c r="D585" s="7" t="s">
        <v>57</v>
      </c>
      <c r="E585" s="13">
        <f t="shared" ca="1" si="9"/>
        <v>45873</v>
      </c>
      <c r="F585" s="7" t="s">
        <v>40</v>
      </c>
      <c r="G585" s="8">
        <v>4</v>
      </c>
      <c r="H585" s="9">
        <v>15000</v>
      </c>
      <c r="I585" s="9">
        <v>61655</v>
      </c>
      <c r="J585" s="17">
        <v>6166</v>
      </c>
    </row>
    <row r="586" spans="1:10" x14ac:dyDescent="0.3">
      <c r="A586" s="14" t="s">
        <v>15</v>
      </c>
      <c r="B586" s="4" t="s">
        <v>84</v>
      </c>
      <c r="C586" s="4" t="s">
        <v>12</v>
      </c>
      <c r="D586" s="4" t="s">
        <v>164</v>
      </c>
      <c r="E586" s="13">
        <f t="shared" ca="1" si="9"/>
        <v>45914</v>
      </c>
      <c r="F586" s="4" t="s">
        <v>40</v>
      </c>
      <c r="G586" s="5">
        <v>4</v>
      </c>
      <c r="H586" s="6">
        <v>15000</v>
      </c>
      <c r="I586" s="6">
        <v>54276</v>
      </c>
      <c r="J586" s="16">
        <v>5428</v>
      </c>
    </row>
    <row r="587" spans="1:10" x14ac:dyDescent="0.3">
      <c r="A587" s="15" t="s">
        <v>37</v>
      </c>
      <c r="B587" s="7" t="s">
        <v>19</v>
      </c>
      <c r="C587" s="7" t="s">
        <v>12</v>
      </c>
      <c r="D587" s="7" t="s">
        <v>80</v>
      </c>
      <c r="E587" s="13">
        <f t="shared" ca="1" si="9"/>
        <v>45846</v>
      </c>
      <c r="F587" s="7" t="s">
        <v>33</v>
      </c>
      <c r="G587" s="8">
        <v>2</v>
      </c>
      <c r="H587" s="9">
        <v>45000</v>
      </c>
      <c r="I587" s="9">
        <v>84473</v>
      </c>
      <c r="J587" s="17">
        <v>15205</v>
      </c>
    </row>
    <row r="588" spans="1:10" x14ac:dyDescent="0.3">
      <c r="A588" s="14" t="s">
        <v>37</v>
      </c>
      <c r="B588" s="4" t="s">
        <v>31</v>
      </c>
      <c r="C588" s="4" t="s">
        <v>12</v>
      </c>
      <c r="D588" s="4" t="s">
        <v>172</v>
      </c>
      <c r="E588" s="13">
        <f t="shared" ca="1" si="9"/>
        <v>45826</v>
      </c>
      <c r="F588" s="4" t="s">
        <v>36</v>
      </c>
      <c r="G588" s="5">
        <v>3</v>
      </c>
      <c r="H588" s="6">
        <v>55000</v>
      </c>
      <c r="I588" s="6">
        <v>176237</v>
      </c>
      <c r="J588" s="16">
        <v>38772</v>
      </c>
    </row>
    <row r="589" spans="1:10" x14ac:dyDescent="0.3">
      <c r="A589" s="15" t="s">
        <v>41</v>
      </c>
      <c r="B589" s="7" t="s">
        <v>38</v>
      </c>
      <c r="C589" s="7" t="s">
        <v>23</v>
      </c>
      <c r="D589" s="7" t="s">
        <v>150</v>
      </c>
      <c r="E589" s="13">
        <f t="shared" ca="1" si="9"/>
        <v>45994</v>
      </c>
      <c r="F589" s="7" t="s">
        <v>36</v>
      </c>
      <c r="G589" s="8">
        <v>10</v>
      </c>
      <c r="H589" s="9">
        <v>55000</v>
      </c>
      <c r="I589" s="9">
        <v>594664</v>
      </c>
      <c r="J589" s="17">
        <v>130826</v>
      </c>
    </row>
    <row r="590" spans="1:10" x14ac:dyDescent="0.3">
      <c r="A590" s="14" t="s">
        <v>18</v>
      </c>
      <c r="B590" s="4" t="s">
        <v>29</v>
      </c>
      <c r="C590" s="4" t="s">
        <v>26</v>
      </c>
      <c r="D590" s="4" t="s">
        <v>249</v>
      </c>
      <c r="E590" s="13">
        <f t="shared" ca="1" si="9"/>
        <v>46014</v>
      </c>
      <c r="F590" s="4" t="s">
        <v>40</v>
      </c>
      <c r="G590" s="5">
        <v>2</v>
      </c>
      <c r="H590" s="6">
        <v>15000</v>
      </c>
      <c r="I590" s="6">
        <v>28063</v>
      </c>
      <c r="J590" s="16">
        <v>2806</v>
      </c>
    </row>
    <row r="591" spans="1:10" x14ac:dyDescent="0.3">
      <c r="A591" s="15" t="s">
        <v>10</v>
      </c>
      <c r="B591" s="7" t="s">
        <v>19</v>
      </c>
      <c r="C591" s="7" t="s">
        <v>12</v>
      </c>
      <c r="D591" s="7" t="s">
        <v>244</v>
      </c>
      <c r="E591" s="13">
        <f t="shared" ca="1" si="9"/>
        <v>45800</v>
      </c>
      <c r="F591" s="7" t="s">
        <v>40</v>
      </c>
      <c r="G591" s="8">
        <v>6</v>
      </c>
      <c r="H591" s="9">
        <v>15000</v>
      </c>
      <c r="I591" s="9">
        <v>94968</v>
      </c>
      <c r="J591" s="17">
        <v>9497</v>
      </c>
    </row>
    <row r="592" spans="1:10" x14ac:dyDescent="0.3">
      <c r="A592" s="14" t="s">
        <v>18</v>
      </c>
      <c r="B592" s="4" t="s">
        <v>38</v>
      </c>
      <c r="C592" s="4" t="s">
        <v>23</v>
      </c>
      <c r="D592" s="4" t="s">
        <v>198</v>
      </c>
      <c r="E592" s="13">
        <f t="shared" ca="1" si="9"/>
        <v>45971</v>
      </c>
      <c r="F592" s="4" t="s">
        <v>36</v>
      </c>
      <c r="G592" s="5">
        <v>2</v>
      </c>
      <c r="H592" s="6">
        <v>55000</v>
      </c>
      <c r="I592" s="6">
        <v>116460</v>
      </c>
      <c r="J592" s="16">
        <v>25621</v>
      </c>
    </row>
    <row r="593" spans="1:10" x14ac:dyDescent="0.3">
      <c r="A593" s="15" t="s">
        <v>37</v>
      </c>
      <c r="B593" s="7" t="s">
        <v>29</v>
      </c>
      <c r="C593" s="7" t="s">
        <v>26</v>
      </c>
      <c r="D593" s="7" t="s">
        <v>154</v>
      </c>
      <c r="E593" s="13">
        <f t="shared" ca="1" si="9"/>
        <v>45781</v>
      </c>
      <c r="F593" s="7" t="s">
        <v>14</v>
      </c>
      <c r="G593" s="8">
        <v>9</v>
      </c>
      <c r="H593" s="9">
        <v>18500</v>
      </c>
      <c r="I593" s="9">
        <v>159781</v>
      </c>
      <c r="J593" s="17">
        <v>19174</v>
      </c>
    </row>
    <row r="594" spans="1:10" x14ac:dyDescent="0.3">
      <c r="A594" s="14" t="s">
        <v>15</v>
      </c>
      <c r="B594" s="4" t="s">
        <v>88</v>
      </c>
      <c r="C594" s="4" t="s">
        <v>12</v>
      </c>
      <c r="D594" s="4" t="s">
        <v>148</v>
      </c>
      <c r="E594" s="13">
        <f t="shared" ca="1" si="9"/>
        <v>45985</v>
      </c>
      <c r="F594" s="4" t="s">
        <v>40</v>
      </c>
      <c r="G594" s="5">
        <v>1</v>
      </c>
      <c r="H594" s="6">
        <v>15000</v>
      </c>
      <c r="I594" s="6">
        <v>15673</v>
      </c>
      <c r="J594" s="16">
        <v>1567</v>
      </c>
    </row>
    <row r="595" spans="1:10" x14ac:dyDescent="0.3">
      <c r="A595" s="15" t="s">
        <v>41</v>
      </c>
      <c r="B595" s="7" t="s">
        <v>81</v>
      </c>
      <c r="C595" s="7" t="s">
        <v>26</v>
      </c>
      <c r="D595" s="7" t="s">
        <v>203</v>
      </c>
      <c r="E595" s="13">
        <f t="shared" ca="1" si="9"/>
        <v>45854</v>
      </c>
      <c r="F595" s="7" t="s">
        <v>40</v>
      </c>
      <c r="G595" s="8">
        <v>6</v>
      </c>
      <c r="H595" s="9">
        <v>15000</v>
      </c>
      <c r="I595" s="9">
        <v>81967</v>
      </c>
      <c r="J595" s="17">
        <v>8197</v>
      </c>
    </row>
    <row r="596" spans="1:10" x14ac:dyDescent="0.3">
      <c r="A596" s="14" t="s">
        <v>18</v>
      </c>
      <c r="B596" s="4" t="s">
        <v>38</v>
      </c>
      <c r="C596" s="4" t="s">
        <v>23</v>
      </c>
      <c r="D596" s="4" t="s">
        <v>203</v>
      </c>
      <c r="E596" s="13">
        <f t="shared" ca="1" si="9"/>
        <v>45977</v>
      </c>
      <c r="F596" s="4" t="s">
        <v>14</v>
      </c>
      <c r="G596" s="5">
        <v>3</v>
      </c>
      <c r="H596" s="6">
        <v>18500</v>
      </c>
      <c r="I596" s="6">
        <v>54357</v>
      </c>
      <c r="J596" s="16">
        <v>6523</v>
      </c>
    </row>
    <row r="597" spans="1:10" x14ac:dyDescent="0.3">
      <c r="A597" s="15" t="s">
        <v>10</v>
      </c>
      <c r="B597" s="7" t="s">
        <v>25</v>
      </c>
      <c r="C597" s="7" t="s">
        <v>26</v>
      </c>
      <c r="D597" s="7" t="s">
        <v>247</v>
      </c>
      <c r="E597" s="13">
        <f t="shared" ca="1" si="9"/>
        <v>45923</v>
      </c>
      <c r="F597" s="7" t="s">
        <v>21</v>
      </c>
      <c r="G597" s="8">
        <v>4</v>
      </c>
      <c r="H597" s="9">
        <v>12500</v>
      </c>
      <c r="I597" s="9">
        <v>51351</v>
      </c>
      <c r="J597" s="17">
        <v>4108</v>
      </c>
    </row>
    <row r="598" spans="1:10" x14ac:dyDescent="0.3">
      <c r="A598" s="14" t="s">
        <v>18</v>
      </c>
      <c r="B598" s="4" t="s">
        <v>88</v>
      </c>
      <c r="C598" s="4" t="s">
        <v>12</v>
      </c>
      <c r="D598" s="4" t="s">
        <v>127</v>
      </c>
      <c r="E598" s="13">
        <f t="shared" ca="1" si="9"/>
        <v>45837</v>
      </c>
      <c r="F598" s="4" t="s">
        <v>21</v>
      </c>
      <c r="G598" s="5">
        <v>7</v>
      </c>
      <c r="H598" s="6">
        <v>12500</v>
      </c>
      <c r="I598" s="6">
        <v>86782</v>
      </c>
      <c r="J598" s="16">
        <v>6943</v>
      </c>
    </row>
    <row r="599" spans="1:10" x14ac:dyDescent="0.3">
      <c r="A599" s="15" t="s">
        <v>41</v>
      </c>
      <c r="B599" s="7" t="s">
        <v>56</v>
      </c>
      <c r="C599" s="7" t="s">
        <v>23</v>
      </c>
      <c r="D599" s="7" t="s">
        <v>250</v>
      </c>
      <c r="E599" s="13">
        <f t="shared" ca="1" si="9"/>
        <v>45824</v>
      </c>
      <c r="F599" s="7" t="s">
        <v>36</v>
      </c>
      <c r="G599" s="8">
        <v>1</v>
      </c>
      <c r="H599" s="9">
        <v>55000</v>
      </c>
      <c r="I599" s="9">
        <v>53470</v>
      </c>
      <c r="J599" s="17">
        <v>11763</v>
      </c>
    </row>
    <row r="600" spans="1:10" x14ac:dyDescent="0.3">
      <c r="A600" s="14" t="s">
        <v>15</v>
      </c>
      <c r="B600" s="4" t="s">
        <v>22</v>
      </c>
      <c r="C600" s="4" t="s">
        <v>23</v>
      </c>
      <c r="D600" s="4" t="s">
        <v>71</v>
      </c>
      <c r="E600" s="13">
        <f t="shared" ca="1" si="9"/>
        <v>45763</v>
      </c>
      <c r="F600" s="4" t="s">
        <v>14</v>
      </c>
      <c r="G600" s="5">
        <v>9</v>
      </c>
      <c r="H600" s="6">
        <v>18500</v>
      </c>
      <c r="I600" s="6">
        <v>182603</v>
      </c>
      <c r="J600" s="16">
        <v>21912</v>
      </c>
    </row>
    <row r="601" spans="1:10" x14ac:dyDescent="0.3">
      <c r="A601" s="15" t="s">
        <v>18</v>
      </c>
      <c r="B601" s="7" t="s">
        <v>77</v>
      </c>
      <c r="C601" s="7" t="s">
        <v>12</v>
      </c>
      <c r="D601" s="7" t="s">
        <v>246</v>
      </c>
      <c r="E601" s="13">
        <f t="shared" ca="1" si="9"/>
        <v>45820</v>
      </c>
      <c r="F601" s="7" t="s">
        <v>21</v>
      </c>
      <c r="G601" s="8">
        <v>3</v>
      </c>
      <c r="H601" s="9">
        <v>12500</v>
      </c>
      <c r="I601" s="9">
        <v>38906</v>
      </c>
      <c r="J601" s="17">
        <v>3112</v>
      </c>
    </row>
    <row r="602" spans="1:10" x14ac:dyDescent="0.3">
      <c r="A602" s="14" t="s">
        <v>41</v>
      </c>
      <c r="B602" s="4" t="s">
        <v>25</v>
      </c>
      <c r="C602" s="4" t="s">
        <v>26</v>
      </c>
      <c r="D602" s="4" t="s">
        <v>157</v>
      </c>
      <c r="E602" s="13">
        <f t="shared" ca="1" si="9"/>
        <v>45891</v>
      </c>
      <c r="F602" s="4" t="s">
        <v>33</v>
      </c>
      <c r="G602" s="5">
        <v>10</v>
      </c>
      <c r="H602" s="6">
        <v>45000</v>
      </c>
      <c r="I602" s="6">
        <v>438852</v>
      </c>
      <c r="J602" s="16">
        <v>78993</v>
      </c>
    </row>
    <row r="603" spans="1:10" x14ac:dyDescent="0.3">
      <c r="A603" s="15" t="s">
        <v>15</v>
      </c>
      <c r="B603" s="7" t="s">
        <v>22</v>
      </c>
      <c r="C603" s="7" t="s">
        <v>23</v>
      </c>
      <c r="D603" s="7" t="s">
        <v>183</v>
      </c>
      <c r="E603" s="13">
        <f t="shared" ca="1" si="9"/>
        <v>45982</v>
      </c>
      <c r="F603" s="7" t="s">
        <v>36</v>
      </c>
      <c r="G603" s="8">
        <v>2</v>
      </c>
      <c r="H603" s="9">
        <v>55000</v>
      </c>
      <c r="I603" s="9">
        <v>112022</v>
      </c>
      <c r="J603" s="17">
        <v>24645</v>
      </c>
    </row>
    <row r="604" spans="1:10" x14ac:dyDescent="0.3">
      <c r="A604" s="14" t="s">
        <v>15</v>
      </c>
      <c r="B604" s="4" t="s">
        <v>19</v>
      </c>
      <c r="C604" s="4" t="s">
        <v>12</v>
      </c>
      <c r="D604" s="4" t="s">
        <v>47</v>
      </c>
      <c r="E604" s="13">
        <f t="shared" ca="1" si="9"/>
        <v>46009</v>
      </c>
      <c r="F604" s="4" t="s">
        <v>36</v>
      </c>
      <c r="G604" s="5">
        <v>6</v>
      </c>
      <c r="H604" s="6">
        <v>55000</v>
      </c>
      <c r="I604" s="6">
        <v>356269</v>
      </c>
      <c r="J604" s="16">
        <v>78379</v>
      </c>
    </row>
    <row r="605" spans="1:10" x14ac:dyDescent="0.3">
      <c r="A605" s="15" t="s">
        <v>18</v>
      </c>
      <c r="B605" s="7" t="s">
        <v>11</v>
      </c>
      <c r="C605" s="7" t="s">
        <v>12</v>
      </c>
      <c r="D605" s="7" t="s">
        <v>251</v>
      </c>
      <c r="E605" s="13">
        <f t="shared" ca="1" si="9"/>
        <v>45998</v>
      </c>
      <c r="F605" s="7" t="s">
        <v>14</v>
      </c>
      <c r="G605" s="8">
        <v>2</v>
      </c>
      <c r="H605" s="9">
        <v>18500</v>
      </c>
      <c r="I605" s="9">
        <v>37226</v>
      </c>
      <c r="J605" s="17">
        <v>4467</v>
      </c>
    </row>
    <row r="606" spans="1:10" x14ac:dyDescent="0.3">
      <c r="A606" s="14" t="s">
        <v>15</v>
      </c>
      <c r="B606" s="4" t="s">
        <v>16</v>
      </c>
      <c r="C606" s="4" t="s">
        <v>12</v>
      </c>
      <c r="D606" s="4" t="s">
        <v>135</v>
      </c>
      <c r="E606" s="13">
        <f t="shared" ca="1" si="9"/>
        <v>45940</v>
      </c>
      <c r="F606" s="4" t="s">
        <v>33</v>
      </c>
      <c r="G606" s="5">
        <v>1</v>
      </c>
      <c r="H606" s="6">
        <v>45000</v>
      </c>
      <c r="I606" s="6">
        <v>48702</v>
      </c>
      <c r="J606" s="16">
        <v>8766</v>
      </c>
    </row>
    <row r="607" spans="1:10" x14ac:dyDescent="0.3">
      <c r="A607" s="15" t="s">
        <v>15</v>
      </c>
      <c r="B607" s="7" t="s">
        <v>25</v>
      </c>
      <c r="C607" s="7" t="s">
        <v>26</v>
      </c>
      <c r="D607" s="7" t="s">
        <v>73</v>
      </c>
      <c r="E607" s="13">
        <f t="shared" ca="1" si="9"/>
        <v>46016</v>
      </c>
      <c r="F607" s="7" t="s">
        <v>33</v>
      </c>
      <c r="G607" s="8">
        <v>8</v>
      </c>
      <c r="H607" s="9">
        <v>45000</v>
      </c>
      <c r="I607" s="9">
        <v>383940</v>
      </c>
      <c r="J607" s="17">
        <v>69109</v>
      </c>
    </row>
    <row r="608" spans="1:10" x14ac:dyDescent="0.3">
      <c r="A608" s="14" t="s">
        <v>37</v>
      </c>
      <c r="B608" s="4" t="s">
        <v>31</v>
      </c>
      <c r="C608" s="4" t="s">
        <v>12</v>
      </c>
      <c r="D608" s="4" t="s">
        <v>146</v>
      </c>
      <c r="E608" s="13">
        <f t="shared" ca="1" si="9"/>
        <v>45818</v>
      </c>
      <c r="F608" s="4" t="s">
        <v>21</v>
      </c>
      <c r="G608" s="5">
        <v>9</v>
      </c>
      <c r="H608" s="6">
        <v>12500</v>
      </c>
      <c r="I608" s="6">
        <v>107744</v>
      </c>
      <c r="J608" s="16">
        <v>8620</v>
      </c>
    </row>
    <row r="609" spans="1:10" x14ac:dyDescent="0.3">
      <c r="A609" s="15" t="s">
        <v>10</v>
      </c>
      <c r="B609" s="7" t="s">
        <v>77</v>
      </c>
      <c r="C609" s="7" t="s">
        <v>12</v>
      </c>
      <c r="D609" s="7" t="s">
        <v>213</v>
      </c>
      <c r="E609" s="13">
        <f t="shared" ca="1" si="9"/>
        <v>45697</v>
      </c>
      <c r="F609" s="7" t="s">
        <v>40</v>
      </c>
      <c r="G609" s="8">
        <v>5</v>
      </c>
      <c r="H609" s="9">
        <v>15000</v>
      </c>
      <c r="I609" s="9">
        <v>81166</v>
      </c>
      <c r="J609" s="17">
        <v>8117</v>
      </c>
    </row>
    <row r="610" spans="1:10" x14ac:dyDescent="0.3">
      <c r="A610" s="14" t="s">
        <v>10</v>
      </c>
      <c r="B610" s="4" t="s">
        <v>38</v>
      </c>
      <c r="C610" s="4" t="s">
        <v>23</v>
      </c>
      <c r="D610" s="4" t="s">
        <v>154</v>
      </c>
      <c r="E610" s="13">
        <f t="shared" ca="1" si="9"/>
        <v>46001</v>
      </c>
      <c r="F610" s="4" t="s">
        <v>40</v>
      </c>
      <c r="G610" s="5">
        <v>3</v>
      </c>
      <c r="H610" s="6">
        <v>15000</v>
      </c>
      <c r="I610" s="6">
        <v>46236</v>
      </c>
      <c r="J610" s="16">
        <v>4624</v>
      </c>
    </row>
    <row r="611" spans="1:10" x14ac:dyDescent="0.3">
      <c r="A611" s="15" t="s">
        <v>10</v>
      </c>
      <c r="B611" s="7" t="s">
        <v>84</v>
      </c>
      <c r="C611" s="7" t="s">
        <v>12</v>
      </c>
      <c r="D611" s="7" t="s">
        <v>250</v>
      </c>
      <c r="E611" s="13">
        <f t="shared" ca="1" si="9"/>
        <v>45737</v>
      </c>
      <c r="F611" s="7" t="s">
        <v>40</v>
      </c>
      <c r="G611" s="8">
        <v>2</v>
      </c>
      <c r="H611" s="9">
        <v>15000</v>
      </c>
      <c r="I611" s="9">
        <v>32205</v>
      </c>
      <c r="J611" s="17">
        <v>3220</v>
      </c>
    </row>
    <row r="612" spans="1:10" x14ac:dyDescent="0.3">
      <c r="A612" s="14" t="s">
        <v>10</v>
      </c>
      <c r="B612" s="4" t="s">
        <v>38</v>
      </c>
      <c r="C612" s="4" t="s">
        <v>23</v>
      </c>
      <c r="D612" s="4" t="s">
        <v>252</v>
      </c>
      <c r="E612" s="13">
        <f t="shared" ca="1" si="9"/>
        <v>45752</v>
      </c>
      <c r="F612" s="4" t="s">
        <v>21</v>
      </c>
      <c r="G612" s="5">
        <v>8</v>
      </c>
      <c r="H612" s="6">
        <v>12500</v>
      </c>
      <c r="I612" s="6">
        <v>93549</v>
      </c>
      <c r="J612" s="16">
        <v>7484</v>
      </c>
    </row>
    <row r="613" spans="1:10" x14ac:dyDescent="0.3">
      <c r="A613" s="15" t="s">
        <v>41</v>
      </c>
      <c r="B613" s="7" t="s">
        <v>22</v>
      </c>
      <c r="C613" s="7" t="s">
        <v>23</v>
      </c>
      <c r="D613" s="7" t="s">
        <v>175</v>
      </c>
      <c r="E613" s="13">
        <f t="shared" ca="1" si="9"/>
        <v>45731</v>
      </c>
      <c r="F613" s="7" t="s">
        <v>33</v>
      </c>
      <c r="G613" s="8">
        <v>3</v>
      </c>
      <c r="H613" s="9">
        <v>45000</v>
      </c>
      <c r="I613" s="9">
        <v>139616</v>
      </c>
      <c r="J613" s="17">
        <v>25131</v>
      </c>
    </row>
    <row r="614" spans="1:10" x14ac:dyDescent="0.3">
      <c r="A614" s="14" t="s">
        <v>18</v>
      </c>
      <c r="B614" s="4" t="s">
        <v>88</v>
      </c>
      <c r="C614" s="4" t="s">
        <v>12</v>
      </c>
      <c r="D614" s="4" t="s">
        <v>228</v>
      </c>
      <c r="E614" s="13">
        <f t="shared" ca="1" si="9"/>
        <v>45692</v>
      </c>
      <c r="F614" s="4" t="s">
        <v>40</v>
      </c>
      <c r="G614" s="5">
        <v>7</v>
      </c>
      <c r="H614" s="6">
        <v>15000</v>
      </c>
      <c r="I614" s="6">
        <v>96544</v>
      </c>
      <c r="J614" s="16">
        <v>9654</v>
      </c>
    </row>
    <row r="615" spans="1:10" x14ac:dyDescent="0.3">
      <c r="A615" s="15" t="s">
        <v>18</v>
      </c>
      <c r="B615" s="7" t="s">
        <v>11</v>
      </c>
      <c r="C615" s="7" t="s">
        <v>12</v>
      </c>
      <c r="D615" s="7" t="s">
        <v>71</v>
      </c>
      <c r="E615" s="13">
        <f t="shared" ca="1" si="9"/>
        <v>45674</v>
      </c>
      <c r="F615" s="7" t="s">
        <v>21</v>
      </c>
      <c r="G615" s="8">
        <v>5</v>
      </c>
      <c r="H615" s="9">
        <v>12500</v>
      </c>
      <c r="I615" s="9">
        <v>58778</v>
      </c>
      <c r="J615" s="17">
        <v>4702</v>
      </c>
    </row>
    <row r="616" spans="1:10" x14ac:dyDescent="0.3">
      <c r="A616" s="14" t="s">
        <v>10</v>
      </c>
      <c r="B616" s="4" t="s">
        <v>51</v>
      </c>
      <c r="C616" s="4" t="s">
        <v>12</v>
      </c>
      <c r="D616" s="4" t="s">
        <v>243</v>
      </c>
      <c r="E616" s="13">
        <f t="shared" ca="1" si="9"/>
        <v>45987</v>
      </c>
      <c r="F616" s="4" t="s">
        <v>36</v>
      </c>
      <c r="G616" s="5">
        <v>8</v>
      </c>
      <c r="H616" s="6">
        <v>55000</v>
      </c>
      <c r="I616" s="6">
        <v>455739</v>
      </c>
      <c r="J616" s="16">
        <v>100263</v>
      </c>
    </row>
    <row r="617" spans="1:10" x14ac:dyDescent="0.3">
      <c r="A617" s="15" t="s">
        <v>41</v>
      </c>
      <c r="B617" s="7" t="s">
        <v>19</v>
      </c>
      <c r="C617" s="7" t="s">
        <v>12</v>
      </c>
      <c r="D617" s="7" t="s">
        <v>142</v>
      </c>
      <c r="E617" s="13">
        <f t="shared" ca="1" si="9"/>
        <v>45932</v>
      </c>
      <c r="F617" s="7" t="s">
        <v>40</v>
      </c>
      <c r="G617" s="8">
        <v>6</v>
      </c>
      <c r="H617" s="9">
        <v>15000</v>
      </c>
      <c r="I617" s="9">
        <v>97108</v>
      </c>
      <c r="J617" s="17">
        <v>9711</v>
      </c>
    </row>
    <row r="618" spans="1:10" x14ac:dyDescent="0.3">
      <c r="A618" s="14" t="s">
        <v>18</v>
      </c>
      <c r="B618" s="4" t="s">
        <v>84</v>
      </c>
      <c r="C618" s="4" t="s">
        <v>12</v>
      </c>
      <c r="D618" s="4" t="s">
        <v>85</v>
      </c>
      <c r="E618" s="13">
        <f t="shared" ca="1" si="9"/>
        <v>45998</v>
      </c>
      <c r="F618" s="4" t="s">
        <v>40</v>
      </c>
      <c r="G618" s="5">
        <v>1</v>
      </c>
      <c r="H618" s="6">
        <v>15000</v>
      </c>
      <c r="I618" s="6">
        <v>15320</v>
      </c>
      <c r="J618" s="16">
        <v>1532</v>
      </c>
    </row>
    <row r="619" spans="1:10" x14ac:dyDescent="0.3">
      <c r="A619" s="15" t="s">
        <v>41</v>
      </c>
      <c r="B619" s="7" t="s">
        <v>56</v>
      </c>
      <c r="C619" s="7" t="s">
        <v>23</v>
      </c>
      <c r="D619" s="7" t="s">
        <v>89</v>
      </c>
      <c r="E619" s="13">
        <f t="shared" ca="1" si="9"/>
        <v>45990</v>
      </c>
      <c r="F619" s="7" t="s">
        <v>14</v>
      </c>
      <c r="G619" s="8">
        <v>7</v>
      </c>
      <c r="H619" s="9">
        <v>18500</v>
      </c>
      <c r="I619" s="9">
        <v>136987</v>
      </c>
      <c r="J619" s="17">
        <v>16438</v>
      </c>
    </row>
    <row r="620" spans="1:10" x14ac:dyDescent="0.3">
      <c r="A620" s="14" t="s">
        <v>37</v>
      </c>
      <c r="B620" s="4" t="s">
        <v>16</v>
      </c>
      <c r="C620" s="4" t="s">
        <v>12</v>
      </c>
      <c r="D620" s="4" t="s">
        <v>253</v>
      </c>
      <c r="E620" s="13">
        <f t="shared" ca="1" si="9"/>
        <v>45793</v>
      </c>
      <c r="F620" s="4" t="s">
        <v>14</v>
      </c>
      <c r="G620" s="5">
        <v>7</v>
      </c>
      <c r="H620" s="6">
        <v>18500</v>
      </c>
      <c r="I620" s="6">
        <v>136496</v>
      </c>
      <c r="J620" s="16">
        <v>16380</v>
      </c>
    </row>
    <row r="621" spans="1:10" x14ac:dyDescent="0.3">
      <c r="A621" s="15" t="s">
        <v>37</v>
      </c>
      <c r="B621" s="7" t="s">
        <v>19</v>
      </c>
      <c r="C621" s="7" t="s">
        <v>12</v>
      </c>
      <c r="D621" s="7" t="s">
        <v>254</v>
      </c>
      <c r="E621" s="13">
        <f t="shared" ca="1" si="9"/>
        <v>45935</v>
      </c>
      <c r="F621" s="7" t="s">
        <v>40</v>
      </c>
      <c r="G621" s="8">
        <v>1</v>
      </c>
      <c r="H621" s="9">
        <v>15000</v>
      </c>
      <c r="I621" s="9">
        <v>13539</v>
      </c>
      <c r="J621" s="17">
        <v>1354</v>
      </c>
    </row>
    <row r="622" spans="1:10" x14ac:dyDescent="0.3">
      <c r="A622" s="14" t="s">
        <v>15</v>
      </c>
      <c r="B622" s="4" t="s">
        <v>46</v>
      </c>
      <c r="C622" s="4" t="s">
        <v>26</v>
      </c>
      <c r="D622" s="4" t="s">
        <v>30</v>
      </c>
      <c r="E622" s="13">
        <f t="shared" ca="1" si="9"/>
        <v>45930</v>
      </c>
      <c r="F622" s="4" t="s">
        <v>36</v>
      </c>
      <c r="G622" s="5">
        <v>3</v>
      </c>
      <c r="H622" s="6">
        <v>55000</v>
      </c>
      <c r="I622" s="6">
        <v>162128</v>
      </c>
      <c r="J622" s="16">
        <v>35668</v>
      </c>
    </row>
    <row r="623" spans="1:10" x14ac:dyDescent="0.3">
      <c r="A623" s="15" t="s">
        <v>10</v>
      </c>
      <c r="B623" s="7" t="s">
        <v>38</v>
      </c>
      <c r="C623" s="7" t="s">
        <v>23</v>
      </c>
      <c r="D623" s="7" t="s">
        <v>156</v>
      </c>
      <c r="E623" s="13">
        <f t="shared" ca="1" si="9"/>
        <v>45706</v>
      </c>
      <c r="F623" s="7" t="s">
        <v>14</v>
      </c>
      <c r="G623" s="8">
        <v>7</v>
      </c>
      <c r="H623" s="9">
        <v>18500</v>
      </c>
      <c r="I623" s="9">
        <v>141640</v>
      </c>
      <c r="J623" s="17">
        <v>16997</v>
      </c>
    </row>
    <row r="624" spans="1:10" x14ac:dyDescent="0.3">
      <c r="A624" s="14" t="s">
        <v>15</v>
      </c>
      <c r="B624" s="4" t="s">
        <v>25</v>
      </c>
      <c r="C624" s="4" t="s">
        <v>26</v>
      </c>
      <c r="D624" s="4" t="s">
        <v>255</v>
      </c>
      <c r="E624" s="13">
        <f t="shared" ca="1" si="9"/>
        <v>45897</v>
      </c>
      <c r="F624" s="4" t="s">
        <v>33</v>
      </c>
      <c r="G624" s="5">
        <v>3</v>
      </c>
      <c r="H624" s="6">
        <v>45000</v>
      </c>
      <c r="I624" s="6">
        <v>123174</v>
      </c>
      <c r="J624" s="16">
        <v>22171</v>
      </c>
    </row>
    <row r="625" spans="1:10" x14ac:dyDescent="0.3">
      <c r="A625" s="15" t="s">
        <v>18</v>
      </c>
      <c r="B625" s="7" t="s">
        <v>51</v>
      </c>
      <c r="C625" s="7" t="s">
        <v>12</v>
      </c>
      <c r="D625" s="7" t="s">
        <v>136</v>
      </c>
      <c r="E625" s="13">
        <f t="shared" ca="1" si="9"/>
        <v>45736</v>
      </c>
      <c r="F625" s="7" t="s">
        <v>40</v>
      </c>
      <c r="G625" s="8">
        <v>3</v>
      </c>
      <c r="H625" s="9">
        <v>15000</v>
      </c>
      <c r="I625" s="9">
        <v>41774</v>
      </c>
      <c r="J625" s="17">
        <v>4177</v>
      </c>
    </row>
    <row r="626" spans="1:10" x14ac:dyDescent="0.3">
      <c r="A626" s="14" t="s">
        <v>18</v>
      </c>
      <c r="B626" s="4" t="s">
        <v>77</v>
      </c>
      <c r="C626" s="4" t="s">
        <v>12</v>
      </c>
      <c r="D626" s="4" t="s">
        <v>148</v>
      </c>
      <c r="E626" s="13">
        <f t="shared" ca="1" si="9"/>
        <v>45930</v>
      </c>
      <c r="F626" s="4" t="s">
        <v>14</v>
      </c>
      <c r="G626" s="5">
        <v>9</v>
      </c>
      <c r="H626" s="6">
        <v>18500</v>
      </c>
      <c r="I626" s="6">
        <v>182387</v>
      </c>
      <c r="J626" s="16">
        <v>21886</v>
      </c>
    </row>
    <row r="627" spans="1:10" x14ac:dyDescent="0.3">
      <c r="A627" s="15" t="s">
        <v>41</v>
      </c>
      <c r="B627" s="7" t="s">
        <v>56</v>
      </c>
      <c r="C627" s="7" t="s">
        <v>23</v>
      </c>
      <c r="D627" s="7" t="s">
        <v>64</v>
      </c>
      <c r="E627" s="13">
        <f t="shared" ca="1" si="9"/>
        <v>45906</v>
      </c>
      <c r="F627" s="7" t="s">
        <v>36</v>
      </c>
      <c r="G627" s="8">
        <v>2</v>
      </c>
      <c r="H627" s="9">
        <v>55000</v>
      </c>
      <c r="I627" s="9">
        <v>111626</v>
      </c>
      <c r="J627" s="17">
        <v>24558</v>
      </c>
    </row>
    <row r="628" spans="1:10" x14ac:dyDescent="0.3">
      <c r="A628" s="14" t="s">
        <v>37</v>
      </c>
      <c r="B628" s="4" t="s">
        <v>38</v>
      </c>
      <c r="C628" s="4" t="s">
        <v>23</v>
      </c>
      <c r="D628" s="4" t="s">
        <v>224</v>
      </c>
      <c r="E628" s="13">
        <f t="shared" ca="1" si="9"/>
        <v>45796</v>
      </c>
      <c r="F628" s="4" t="s">
        <v>33</v>
      </c>
      <c r="G628" s="5">
        <v>4</v>
      </c>
      <c r="H628" s="6">
        <v>45000</v>
      </c>
      <c r="I628" s="6">
        <v>167677</v>
      </c>
      <c r="J628" s="16">
        <v>30182</v>
      </c>
    </row>
    <row r="629" spans="1:10" x14ac:dyDescent="0.3">
      <c r="A629" s="15" t="s">
        <v>15</v>
      </c>
      <c r="B629" s="7" t="s">
        <v>77</v>
      </c>
      <c r="C629" s="7" t="s">
        <v>12</v>
      </c>
      <c r="D629" s="7" t="s">
        <v>65</v>
      </c>
      <c r="E629" s="13">
        <f t="shared" ca="1" si="9"/>
        <v>45783</v>
      </c>
      <c r="F629" s="7" t="s">
        <v>36</v>
      </c>
      <c r="G629" s="8">
        <v>5</v>
      </c>
      <c r="H629" s="9">
        <v>55000</v>
      </c>
      <c r="I629" s="9">
        <v>259388</v>
      </c>
      <c r="J629" s="17">
        <v>57065</v>
      </c>
    </row>
    <row r="630" spans="1:10" x14ac:dyDescent="0.3">
      <c r="A630" s="14" t="s">
        <v>15</v>
      </c>
      <c r="B630" s="4" t="s">
        <v>51</v>
      </c>
      <c r="C630" s="4" t="s">
        <v>12</v>
      </c>
      <c r="D630" s="4" t="s">
        <v>72</v>
      </c>
      <c r="E630" s="13">
        <f t="shared" ca="1" si="9"/>
        <v>45796</v>
      </c>
      <c r="F630" s="4" t="s">
        <v>21</v>
      </c>
      <c r="G630" s="5">
        <v>6</v>
      </c>
      <c r="H630" s="6">
        <v>12500</v>
      </c>
      <c r="I630" s="6">
        <v>72049</v>
      </c>
      <c r="J630" s="16">
        <v>5764</v>
      </c>
    </row>
    <row r="631" spans="1:10" x14ac:dyDescent="0.3">
      <c r="A631" s="15" t="s">
        <v>15</v>
      </c>
      <c r="B631" s="7" t="s">
        <v>11</v>
      </c>
      <c r="C631" s="7" t="s">
        <v>12</v>
      </c>
      <c r="D631" s="7" t="s">
        <v>128</v>
      </c>
      <c r="E631" s="13">
        <f t="shared" ca="1" si="9"/>
        <v>45794</v>
      </c>
      <c r="F631" s="7" t="s">
        <v>36</v>
      </c>
      <c r="G631" s="8">
        <v>8</v>
      </c>
      <c r="H631" s="9">
        <v>55000</v>
      </c>
      <c r="I631" s="9">
        <v>398594</v>
      </c>
      <c r="J631" s="17">
        <v>87691</v>
      </c>
    </row>
    <row r="632" spans="1:10" x14ac:dyDescent="0.3">
      <c r="A632" s="14" t="s">
        <v>18</v>
      </c>
      <c r="B632" s="4" t="s">
        <v>11</v>
      </c>
      <c r="C632" s="4" t="s">
        <v>12</v>
      </c>
      <c r="D632" s="4" t="s">
        <v>256</v>
      </c>
      <c r="E632" s="13">
        <f t="shared" ca="1" si="9"/>
        <v>45804</v>
      </c>
      <c r="F632" s="4" t="s">
        <v>40</v>
      </c>
      <c r="G632" s="5">
        <v>2</v>
      </c>
      <c r="H632" s="6">
        <v>15000</v>
      </c>
      <c r="I632" s="6">
        <v>28745</v>
      </c>
      <c r="J632" s="16">
        <v>2874</v>
      </c>
    </row>
    <row r="633" spans="1:10" x14ac:dyDescent="0.3">
      <c r="A633" s="15" t="s">
        <v>37</v>
      </c>
      <c r="B633" s="7" t="s">
        <v>16</v>
      </c>
      <c r="C633" s="7" t="s">
        <v>12</v>
      </c>
      <c r="D633" s="7" t="s">
        <v>125</v>
      </c>
      <c r="E633" s="13">
        <f t="shared" ca="1" si="9"/>
        <v>45689</v>
      </c>
      <c r="F633" s="7" t="s">
        <v>40</v>
      </c>
      <c r="G633" s="8">
        <v>4</v>
      </c>
      <c r="H633" s="9">
        <v>15000</v>
      </c>
      <c r="I633" s="9">
        <v>54086</v>
      </c>
      <c r="J633" s="17">
        <v>5409</v>
      </c>
    </row>
    <row r="634" spans="1:10" x14ac:dyDescent="0.3">
      <c r="A634" s="14" t="s">
        <v>10</v>
      </c>
      <c r="B634" s="4" t="s">
        <v>38</v>
      </c>
      <c r="C634" s="4" t="s">
        <v>23</v>
      </c>
      <c r="D634" s="4" t="s">
        <v>74</v>
      </c>
      <c r="E634" s="13">
        <f t="shared" ca="1" si="9"/>
        <v>45902</v>
      </c>
      <c r="F634" s="4" t="s">
        <v>14</v>
      </c>
      <c r="G634" s="5">
        <v>10</v>
      </c>
      <c r="H634" s="6">
        <v>18500</v>
      </c>
      <c r="I634" s="6">
        <v>175111</v>
      </c>
      <c r="J634" s="16">
        <v>21013</v>
      </c>
    </row>
    <row r="635" spans="1:10" x14ac:dyDescent="0.3">
      <c r="A635" s="15" t="s">
        <v>15</v>
      </c>
      <c r="B635" s="7" t="s">
        <v>31</v>
      </c>
      <c r="C635" s="7" t="s">
        <v>12</v>
      </c>
      <c r="D635" s="7" t="s">
        <v>66</v>
      </c>
      <c r="E635" s="13">
        <f t="shared" ca="1" si="9"/>
        <v>45780</v>
      </c>
      <c r="F635" s="7" t="s">
        <v>14</v>
      </c>
      <c r="G635" s="8">
        <v>7</v>
      </c>
      <c r="H635" s="9">
        <v>18500</v>
      </c>
      <c r="I635" s="9">
        <v>119320</v>
      </c>
      <c r="J635" s="17">
        <v>14318</v>
      </c>
    </row>
    <row r="636" spans="1:10" x14ac:dyDescent="0.3">
      <c r="A636" s="14" t="s">
        <v>15</v>
      </c>
      <c r="B636" s="4" t="s">
        <v>38</v>
      </c>
      <c r="C636" s="4" t="s">
        <v>23</v>
      </c>
      <c r="D636" s="4" t="s">
        <v>187</v>
      </c>
      <c r="E636" s="13">
        <f t="shared" ca="1" si="9"/>
        <v>45773</v>
      </c>
      <c r="F636" s="4" t="s">
        <v>33</v>
      </c>
      <c r="G636" s="5">
        <v>7</v>
      </c>
      <c r="H636" s="6">
        <v>45000</v>
      </c>
      <c r="I636" s="6">
        <v>326153</v>
      </c>
      <c r="J636" s="16">
        <v>58708</v>
      </c>
    </row>
    <row r="637" spans="1:10" x14ac:dyDescent="0.3">
      <c r="A637" s="15" t="s">
        <v>41</v>
      </c>
      <c r="B637" s="7" t="s">
        <v>77</v>
      </c>
      <c r="C637" s="7" t="s">
        <v>12</v>
      </c>
      <c r="D637" s="7" t="s">
        <v>136</v>
      </c>
      <c r="E637" s="13">
        <f t="shared" ca="1" si="9"/>
        <v>45803</v>
      </c>
      <c r="F637" s="7" t="s">
        <v>14</v>
      </c>
      <c r="G637" s="8">
        <v>9</v>
      </c>
      <c r="H637" s="9">
        <v>18500</v>
      </c>
      <c r="I637" s="9">
        <v>175174</v>
      </c>
      <c r="J637" s="17">
        <v>21021</v>
      </c>
    </row>
    <row r="638" spans="1:10" x14ac:dyDescent="0.3">
      <c r="A638" s="14" t="s">
        <v>10</v>
      </c>
      <c r="B638" s="4" t="s">
        <v>29</v>
      </c>
      <c r="C638" s="4" t="s">
        <v>26</v>
      </c>
      <c r="D638" s="4" t="s">
        <v>142</v>
      </c>
      <c r="E638" s="13">
        <f t="shared" ca="1" si="9"/>
        <v>45836</v>
      </c>
      <c r="F638" s="4" t="s">
        <v>33</v>
      </c>
      <c r="G638" s="5">
        <v>7</v>
      </c>
      <c r="H638" s="6">
        <v>45000</v>
      </c>
      <c r="I638" s="6">
        <v>312511</v>
      </c>
      <c r="J638" s="16">
        <v>56252</v>
      </c>
    </row>
    <row r="639" spans="1:10" x14ac:dyDescent="0.3">
      <c r="A639" s="15" t="s">
        <v>37</v>
      </c>
      <c r="B639" s="7" t="s">
        <v>77</v>
      </c>
      <c r="C639" s="7" t="s">
        <v>12</v>
      </c>
      <c r="D639" s="7" t="s">
        <v>156</v>
      </c>
      <c r="E639" s="13">
        <f t="shared" ca="1" si="9"/>
        <v>45727</v>
      </c>
      <c r="F639" s="7" t="s">
        <v>14</v>
      </c>
      <c r="G639" s="8">
        <v>7</v>
      </c>
      <c r="H639" s="9">
        <v>18500</v>
      </c>
      <c r="I639" s="9">
        <v>121487</v>
      </c>
      <c r="J639" s="17">
        <v>14578</v>
      </c>
    </row>
    <row r="640" spans="1:10" x14ac:dyDescent="0.3">
      <c r="A640" s="14" t="s">
        <v>41</v>
      </c>
      <c r="B640" s="4" t="s">
        <v>46</v>
      </c>
      <c r="C640" s="4" t="s">
        <v>26</v>
      </c>
      <c r="D640" s="4" t="s">
        <v>220</v>
      </c>
      <c r="E640" s="13">
        <f t="shared" ca="1" si="9"/>
        <v>45958</v>
      </c>
      <c r="F640" s="4" t="s">
        <v>36</v>
      </c>
      <c r="G640" s="5">
        <v>2</v>
      </c>
      <c r="H640" s="6">
        <v>55000</v>
      </c>
      <c r="I640" s="6">
        <v>103302</v>
      </c>
      <c r="J640" s="16">
        <v>22726</v>
      </c>
    </row>
    <row r="641" spans="1:10" x14ac:dyDescent="0.3">
      <c r="A641" s="15" t="s">
        <v>18</v>
      </c>
      <c r="B641" s="7" t="s">
        <v>46</v>
      </c>
      <c r="C641" s="7" t="s">
        <v>26</v>
      </c>
      <c r="D641" s="7" t="s">
        <v>183</v>
      </c>
      <c r="E641" s="13">
        <f t="shared" ca="1" si="9"/>
        <v>45699</v>
      </c>
      <c r="F641" s="7" t="s">
        <v>21</v>
      </c>
      <c r="G641" s="8">
        <v>9</v>
      </c>
      <c r="H641" s="9">
        <v>12500</v>
      </c>
      <c r="I641" s="9">
        <v>108916</v>
      </c>
      <c r="J641" s="17">
        <v>8713</v>
      </c>
    </row>
    <row r="642" spans="1:10" x14ac:dyDescent="0.3">
      <c r="A642" s="14" t="s">
        <v>15</v>
      </c>
      <c r="B642" s="4" t="s">
        <v>29</v>
      </c>
      <c r="C642" s="4" t="s">
        <v>26</v>
      </c>
      <c r="D642" s="4" t="s">
        <v>141</v>
      </c>
      <c r="E642" s="13">
        <f t="shared" ca="1" si="9"/>
        <v>45681</v>
      </c>
      <c r="F642" s="4" t="s">
        <v>14</v>
      </c>
      <c r="G642" s="5">
        <v>7</v>
      </c>
      <c r="H642" s="6">
        <v>18500</v>
      </c>
      <c r="I642" s="6">
        <v>128245</v>
      </c>
      <c r="J642" s="16">
        <v>15389</v>
      </c>
    </row>
    <row r="643" spans="1:10" x14ac:dyDescent="0.3">
      <c r="A643" s="15" t="s">
        <v>41</v>
      </c>
      <c r="B643" s="7" t="s">
        <v>84</v>
      </c>
      <c r="C643" s="7" t="s">
        <v>12</v>
      </c>
      <c r="D643" s="7" t="s">
        <v>93</v>
      </c>
      <c r="E643" s="13">
        <f t="shared" ref="E643:E706" ca="1" si="10">DATE(2025,1,1)+RANDBETWEEN(0,364)</f>
        <v>45925</v>
      </c>
      <c r="F643" s="7" t="s">
        <v>21</v>
      </c>
      <c r="G643" s="8">
        <v>8</v>
      </c>
      <c r="H643" s="9">
        <v>12500</v>
      </c>
      <c r="I643" s="9">
        <v>104904</v>
      </c>
      <c r="J643" s="17">
        <v>8392</v>
      </c>
    </row>
    <row r="644" spans="1:10" x14ac:dyDescent="0.3">
      <c r="A644" s="14" t="s">
        <v>10</v>
      </c>
      <c r="B644" s="4" t="s">
        <v>16</v>
      </c>
      <c r="C644" s="4" t="s">
        <v>12</v>
      </c>
      <c r="D644" s="4" t="s">
        <v>190</v>
      </c>
      <c r="E644" s="13">
        <f t="shared" ca="1" si="10"/>
        <v>45989</v>
      </c>
      <c r="F644" s="4" t="s">
        <v>14</v>
      </c>
      <c r="G644" s="5">
        <v>10</v>
      </c>
      <c r="H644" s="6">
        <v>18500</v>
      </c>
      <c r="I644" s="6">
        <v>199217</v>
      </c>
      <c r="J644" s="16">
        <v>23906</v>
      </c>
    </row>
    <row r="645" spans="1:10" x14ac:dyDescent="0.3">
      <c r="A645" s="15" t="s">
        <v>10</v>
      </c>
      <c r="B645" s="7" t="s">
        <v>16</v>
      </c>
      <c r="C645" s="7" t="s">
        <v>12</v>
      </c>
      <c r="D645" s="7" t="s">
        <v>152</v>
      </c>
      <c r="E645" s="13">
        <f t="shared" ca="1" si="10"/>
        <v>45963</v>
      </c>
      <c r="F645" s="7" t="s">
        <v>40</v>
      </c>
      <c r="G645" s="8">
        <v>3</v>
      </c>
      <c r="H645" s="9">
        <v>15000</v>
      </c>
      <c r="I645" s="9">
        <v>47410</v>
      </c>
      <c r="J645" s="17">
        <v>4741</v>
      </c>
    </row>
    <row r="646" spans="1:10" x14ac:dyDescent="0.3">
      <c r="A646" s="14" t="s">
        <v>10</v>
      </c>
      <c r="B646" s="4" t="s">
        <v>11</v>
      </c>
      <c r="C646" s="4" t="s">
        <v>12</v>
      </c>
      <c r="D646" s="4" t="s">
        <v>211</v>
      </c>
      <c r="E646" s="13">
        <f t="shared" ca="1" si="10"/>
        <v>45791</v>
      </c>
      <c r="F646" s="4" t="s">
        <v>21</v>
      </c>
      <c r="G646" s="5">
        <v>3</v>
      </c>
      <c r="H646" s="6">
        <v>12500</v>
      </c>
      <c r="I646" s="6">
        <v>36697</v>
      </c>
      <c r="J646" s="16">
        <v>2936</v>
      </c>
    </row>
    <row r="647" spans="1:10" x14ac:dyDescent="0.3">
      <c r="A647" s="15" t="s">
        <v>15</v>
      </c>
      <c r="B647" s="7" t="s">
        <v>88</v>
      </c>
      <c r="C647" s="7" t="s">
        <v>12</v>
      </c>
      <c r="D647" s="7" t="s">
        <v>93</v>
      </c>
      <c r="E647" s="13">
        <f t="shared" ca="1" si="10"/>
        <v>45862</v>
      </c>
      <c r="F647" s="7" t="s">
        <v>36</v>
      </c>
      <c r="G647" s="8">
        <v>5</v>
      </c>
      <c r="H647" s="9">
        <v>55000</v>
      </c>
      <c r="I647" s="9">
        <v>285927</v>
      </c>
      <c r="J647" s="17">
        <v>62904</v>
      </c>
    </row>
    <row r="648" spans="1:10" x14ac:dyDescent="0.3">
      <c r="A648" s="14" t="s">
        <v>41</v>
      </c>
      <c r="B648" s="4" t="s">
        <v>19</v>
      </c>
      <c r="C648" s="4" t="s">
        <v>12</v>
      </c>
      <c r="D648" s="4" t="s">
        <v>184</v>
      </c>
      <c r="E648" s="13">
        <f t="shared" ca="1" si="10"/>
        <v>45661</v>
      </c>
      <c r="F648" s="4" t="s">
        <v>36</v>
      </c>
      <c r="G648" s="5">
        <v>1</v>
      </c>
      <c r="H648" s="6">
        <v>55000</v>
      </c>
      <c r="I648" s="6">
        <v>57264</v>
      </c>
      <c r="J648" s="16">
        <v>12598</v>
      </c>
    </row>
    <row r="649" spans="1:10" x14ac:dyDescent="0.3">
      <c r="A649" s="15" t="s">
        <v>10</v>
      </c>
      <c r="B649" s="7" t="s">
        <v>19</v>
      </c>
      <c r="C649" s="7" t="s">
        <v>12</v>
      </c>
      <c r="D649" s="7" t="s">
        <v>106</v>
      </c>
      <c r="E649" s="13">
        <f t="shared" ca="1" si="10"/>
        <v>45927</v>
      </c>
      <c r="F649" s="7" t="s">
        <v>21</v>
      </c>
      <c r="G649" s="8">
        <v>7</v>
      </c>
      <c r="H649" s="9">
        <v>12500</v>
      </c>
      <c r="I649" s="9">
        <v>91962</v>
      </c>
      <c r="J649" s="17">
        <v>7357</v>
      </c>
    </row>
    <row r="650" spans="1:10" x14ac:dyDescent="0.3">
      <c r="A650" s="14" t="s">
        <v>37</v>
      </c>
      <c r="B650" s="4" t="s">
        <v>81</v>
      </c>
      <c r="C650" s="4" t="s">
        <v>26</v>
      </c>
      <c r="D650" s="4" t="s">
        <v>232</v>
      </c>
      <c r="E650" s="13">
        <f t="shared" ca="1" si="10"/>
        <v>45701</v>
      </c>
      <c r="F650" s="4" t="s">
        <v>21</v>
      </c>
      <c r="G650" s="5">
        <v>6</v>
      </c>
      <c r="H650" s="6">
        <v>12500</v>
      </c>
      <c r="I650" s="6">
        <v>73647</v>
      </c>
      <c r="J650" s="16">
        <v>5892</v>
      </c>
    </row>
    <row r="651" spans="1:10" x14ac:dyDescent="0.3">
      <c r="A651" s="15" t="s">
        <v>18</v>
      </c>
      <c r="B651" s="7" t="s">
        <v>38</v>
      </c>
      <c r="C651" s="7" t="s">
        <v>23</v>
      </c>
      <c r="D651" s="7" t="s">
        <v>179</v>
      </c>
      <c r="E651" s="13">
        <f t="shared" ca="1" si="10"/>
        <v>45847</v>
      </c>
      <c r="F651" s="7" t="s">
        <v>21</v>
      </c>
      <c r="G651" s="8">
        <v>8</v>
      </c>
      <c r="H651" s="9">
        <v>12500</v>
      </c>
      <c r="I651" s="9">
        <v>94004</v>
      </c>
      <c r="J651" s="17">
        <v>7520</v>
      </c>
    </row>
    <row r="652" spans="1:10" x14ac:dyDescent="0.3">
      <c r="A652" s="14" t="s">
        <v>18</v>
      </c>
      <c r="B652" s="4" t="s">
        <v>29</v>
      </c>
      <c r="C652" s="4" t="s">
        <v>26</v>
      </c>
      <c r="D652" s="4" t="s">
        <v>190</v>
      </c>
      <c r="E652" s="13">
        <f t="shared" ca="1" si="10"/>
        <v>45814</v>
      </c>
      <c r="F652" s="4" t="s">
        <v>21</v>
      </c>
      <c r="G652" s="5">
        <v>7</v>
      </c>
      <c r="H652" s="6">
        <v>12500</v>
      </c>
      <c r="I652" s="6">
        <v>82491</v>
      </c>
      <c r="J652" s="16">
        <v>6599</v>
      </c>
    </row>
    <row r="653" spans="1:10" x14ac:dyDescent="0.3">
      <c r="A653" s="15" t="s">
        <v>10</v>
      </c>
      <c r="B653" s="7" t="s">
        <v>16</v>
      </c>
      <c r="C653" s="7" t="s">
        <v>12</v>
      </c>
      <c r="D653" s="7" t="s">
        <v>220</v>
      </c>
      <c r="E653" s="13">
        <f t="shared" ca="1" si="10"/>
        <v>45906</v>
      </c>
      <c r="F653" s="7" t="s">
        <v>33</v>
      </c>
      <c r="G653" s="8">
        <v>5</v>
      </c>
      <c r="H653" s="9">
        <v>45000</v>
      </c>
      <c r="I653" s="9">
        <v>209219</v>
      </c>
      <c r="J653" s="17">
        <v>37659</v>
      </c>
    </row>
    <row r="654" spans="1:10" x14ac:dyDescent="0.3">
      <c r="A654" s="14" t="s">
        <v>37</v>
      </c>
      <c r="B654" s="4" t="s">
        <v>25</v>
      </c>
      <c r="C654" s="4" t="s">
        <v>26</v>
      </c>
      <c r="D654" s="4" t="s">
        <v>136</v>
      </c>
      <c r="E654" s="13">
        <f t="shared" ca="1" si="10"/>
        <v>45924</v>
      </c>
      <c r="F654" s="4" t="s">
        <v>40</v>
      </c>
      <c r="G654" s="5">
        <v>1</v>
      </c>
      <c r="H654" s="6">
        <v>15000</v>
      </c>
      <c r="I654" s="6">
        <v>13516</v>
      </c>
      <c r="J654" s="16">
        <v>1352</v>
      </c>
    </row>
    <row r="655" spans="1:10" x14ac:dyDescent="0.3">
      <c r="A655" s="15" t="s">
        <v>37</v>
      </c>
      <c r="B655" s="7" t="s">
        <v>16</v>
      </c>
      <c r="C655" s="7" t="s">
        <v>12</v>
      </c>
      <c r="D655" s="7" t="s">
        <v>239</v>
      </c>
      <c r="E655" s="13">
        <f t="shared" ca="1" si="10"/>
        <v>45693</v>
      </c>
      <c r="F655" s="7" t="s">
        <v>36</v>
      </c>
      <c r="G655" s="8">
        <v>5</v>
      </c>
      <c r="H655" s="9">
        <v>55000</v>
      </c>
      <c r="I655" s="9">
        <v>283025</v>
      </c>
      <c r="J655" s="17">
        <v>62266</v>
      </c>
    </row>
    <row r="656" spans="1:10" x14ac:dyDescent="0.3">
      <c r="A656" s="14" t="s">
        <v>15</v>
      </c>
      <c r="B656" s="4" t="s">
        <v>51</v>
      </c>
      <c r="C656" s="4" t="s">
        <v>12</v>
      </c>
      <c r="D656" s="4" t="s">
        <v>178</v>
      </c>
      <c r="E656" s="13">
        <f t="shared" ca="1" si="10"/>
        <v>45923</v>
      </c>
      <c r="F656" s="4" t="s">
        <v>36</v>
      </c>
      <c r="G656" s="5">
        <v>2</v>
      </c>
      <c r="H656" s="6">
        <v>55000</v>
      </c>
      <c r="I656" s="6">
        <v>106766</v>
      </c>
      <c r="J656" s="16">
        <v>23489</v>
      </c>
    </row>
    <row r="657" spans="1:10" x14ac:dyDescent="0.3">
      <c r="A657" s="15" t="s">
        <v>10</v>
      </c>
      <c r="B657" s="7" t="s">
        <v>88</v>
      </c>
      <c r="C657" s="7" t="s">
        <v>12</v>
      </c>
      <c r="D657" s="7" t="s">
        <v>96</v>
      </c>
      <c r="E657" s="13">
        <f t="shared" ca="1" si="10"/>
        <v>45687</v>
      </c>
      <c r="F657" s="7" t="s">
        <v>33</v>
      </c>
      <c r="G657" s="8">
        <v>10</v>
      </c>
      <c r="H657" s="9">
        <v>45000</v>
      </c>
      <c r="I657" s="9">
        <v>485340</v>
      </c>
      <c r="J657" s="17">
        <v>87361</v>
      </c>
    </row>
    <row r="658" spans="1:10" x14ac:dyDescent="0.3">
      <c r="A658" s="14" t="s">
        <v>18</v>
      </c>
      <c r="B658" s="4" t="s">
        <v>16</v>
      </c>
      <c r="C658" s="4" t="s">
        <v>12</v>
      </c>
      <c r="D658" s="4" t="s">
        <v>124</v>
      </c>
      <c r="E658" s="13">
        <f t="shared" ca="1" si="10"/>
        <v>45691</v>
      </c>
      <c r="F658" s="4" t="s">
        <v>40</v>
      </c>
      <c r="G658" s="5">
        <v>2</v>
      </c>
      <c r="H658" s="6">
        <v>15000</v>
      </c>
      <c r="I658" s="6">
        <v>32842</v>
      </c>
      <c r="J658" s="16">
        <v>3284</v>
      </c>
    </row>
    <row r="659" spans="1:10" x14ac:dyDescent="0.3">
      <c r="A659" s="15" t="s">
        <v>41</v>
      </c>
      <c r="B659" s="7" t="s">
        <v>19</v>
      </c>
      <c r="C659" s="7" t="s">
        <v>12</v>
      </c>
      <c r="D659" s="7" t="s">
        <v>64</v>
      </c>
      <c r="E659" s="13">
        <f t="shared" ca="1" si="10"/>
        <v>45724</v>
      </c>
      <c r="F659" s="7" t="s">
        <v>40</v>
      </c>
      <c r="G659" s="8">
        <v>7</v>
      </c>
      <c r="H659" s="9">
        <v>15000</v>
      </c>
      <c r="I659" s="9">
        <v>106834</v>
      </c>
      <c r="J659" s="17">
        <v>10683</v>
      </c>
    </row>
    <row r="660" spans="1:10" x14ac:dyDescent="0.3">
      <c r="A660" s="14" t="s">
        <v>10</v>
      </c>
      <c r="B660" s="4" t="s">
        <v>51</v>
      </c>
      <c r="C660" s="4" t="s">
        <v>12</v>
      </c>
      <c r="D660" s="4" t="s">
        <v>17</v>
      </c>
      <c r="E660" s="13">
        <f t="shared" ca="1" si="10"/>
        <v>45747</v>
      </c>
      <c r="F660" s="4" t="s">
        <v>36</v>
      </c>
      <c r="G660" s="5">
        <v>6</v>
      </c>
      <c r="H660" s="6">
        <v>55000</v>
      </c>
      <c r="I660" s="6">
        <v>320981</v>
      </c>
      <c r="J660" s="16">
        <v>70616</v>
      </c>
    </row>
    <row r="661" spans="1:10" x14ac:dyDescent="0.3">
      <c r="A661" s="15" t="s">
        <v>18</v>
      </c>
      <c r="B661" s="7" t="s">
        <v>56</v>
      </c>
      <c r="C661" s="7" t="s">
        <v>23</v>
      </c>
      <c r="D661" s="7" t="s">
        <v>208</v>
      </c>
      <c r="E661" s="13">
        <f t="shared" ca="1" si="10"/>
        <v>45696</v>
      </c>
      <c r="F661" s="7" t="s">
        <v>33</v>
      </c>
      <c r="G661" s="8">
        <v>8</v>
      </c>
      <c r="H661" s="9">
        <v>45000</v>
      </c>
      <c r="I661" s="9">
        <v>389629</v>
      </c>
      <c r="J661" s="17">
        <v>70133</v>
      </c>
    </row>
    <row r="662" spans="1:10" x14ac:dyDescent="0.3">
      <c r="A662" s="14" t="s">
        <v>15</v>
      </c>
      <c r="B662" s="4" t="s">
        <v>38</v>
      </c>
      <c r="C662" s="4" t="s">
        <v>23</v>
      </c>
      <c r="D662" s="4" t="s">
        <v>190</v>
      </c>
      <c r="E662" s="13">
        <f t="shared" ca="1" si="10"/>
        <v>45842</v>
      </c>
      <c r="F662" s="4" t="s">
        <v>33</v>
      </c>
      <c r="G662" s="5">
        <v>2</v>
      </c>
      <c r="H662" s="6">
        <v>45000</v>
      </c>
      <c r="I662" s="6">
        <v>86650</v>
      </c>
      <c r="J662" s="16">
        <v>15597</v>
      </c>
    </row>
    <row r="663" spans="1:10" x14ac:dyDescent="0.3">
      <c r="A663" s="15" t="s">
        <v>37</v>
      </c>
      <c r="B663" s="7" t="s">
        <v>81</v>
      </c>
      <c r="C663" s="7" t="s">
        <v>26</v>
      </c>
      <c r="D663" s="7" t="s">
        <v>125</v>
      </c>
      <c r="E663" s="13">
        <f t="shared" ca="1" si="10"/>
        <v>46011</v>
      </c>
      <c r="F663" s="7" t="s">
        <v>36</v>
      </c>
      <c r="G663" s="8">
        <v>8</v>
      </c>
      <c r="H663" s="9">
        <v>55000</v>
      </c>
      <c r="I663" s="9">
        <v>460851</v>
      </c>
      <c r="J663" s="17">
        <v>101387</v>
      </c>
    </row>
    <row r="664" spans="1:10" x14ac:dyDescent="0.3">
      <c r="A664" s="14" t="s">
        <v>10</v>
      </c>
      <c r="B664" s="4" t="s">
        <v>38</v>
      </c>
      <c r="C664" s="4" t="s">
        <v>23</v>
      </c>
      <c r="D664" s="4" t="s">
        <v>78</v>
      </c>
      <c r="E664" s="13">
        <f t="shared" ca="1" si="10"/>
        <v>45701</v>
      </c>
      <c r="F664" s="4" t="s">
        <v>40</v>
      </c>
      <c r="G664" s="5">
        <v>8</v>
      </c>
      <c r="H664" s="6">
        <v>15000</v>
      </c>
      <c r="I664" s="6">
        <v>130718</v>
      </c>
      <c r="J664" s="16">
        <v>13072</v>
      </c>
    </row>
    <row r="665" spans="1:10" x14ac:dyDescent="0.3">
      <c r="A665" s="15" t="s">
        <v>41</v>
      </c>
      <c r="B665" s="7" t="s">
        <v>31</v>
      </c>
      <c r="C665" s="7" t="s">
        <v>12</v>
      </c>
      <c r="D665" s="7" t="s">
        <v>115</v>
      </c>
      <c r="E665" s="13">
        <f t="shared" ca="1" si="10"/>
        <v>45956</v>
      </c>
      <c r="F665" s="7" t="s">
        <v>33</v>
      </c>
      <c r="G665" s="8">
        <v>1</v>
      </c>
      <c r="H665" s="9">
        <v>45000</v>
      </c>
      <c r="I665" s="9">
        <v>42115</v>
      </c>
      <c r="J665" s="17">
        <v>7581</v>
      </c>
    </row>
    <row r="666" spans="1:10" x14ac:dyDescent="0.3">
      <c r="A666" s="14" t="s">
        <v>10</v>
      </c>
      <c r="B666" s="4" t="s">
        <v>29</v>
      </c>
      <c r="C666" s="4" t="s">
        <v>26</v>
      </c>
      <c r="D666" s="4" t="s">
        <v>47</v>
      </c>
      <c r="E666" s="13">
        <f t="shared" ca="1" si="10"/>
        <v>45766</v>
      </c>
      <c r="F666" s="4" t="s">
        <v>40</v>
      </c>
      <c r="G666" s="5">
        <v>3</v>
      </c>
      <c r="H666" s="6">
        <v>15000</v>
      </c>
      <c r="I666" s="6">
        <v>48751</v>
      </c>
      <c r="J666" s="16">
        <v>4875</v>
      </c>
    </row>
    <row r="667" spans="1:10" x14ac:dyDescent="0.3">
      <c r="A667" s="15" t="s">
        <v>37</v>
      </c>
      <c r="B667" s="7" t="s">
        <v>38</v>
      </c>
      <c r="C667" s="7" t="s">
        <v>23</v>
      </c>
      <c r="D667" s="7" t="s">
        <v>132</v>
      </c>
      <c r="E667" s="13">
        <f t="shared" ca="1" si="10"/>
        <v>45786</v>
      </c>
      <c r="F667" s="7" t="s">
        <v>21</v>
      </c>
      <c r="G667" s="8">
        <v>7</v>
      </c>
      <c r="H667" s="9">
        <v>12500</v>
      </c>
      <c r="I667" s="9">
        <v>95184</v>
      </c>
      <c r="J667" s="17">
        <v>7615</v>
      </c>
    </row>
    <row r="668" spans="1:10" x14ac:dyDescent="0.3">
      <c r="A668" s="14" t="s">
        <v>15</v>
      </c>
      <c r="B668" s="4" t="s">
        <v>11</v>
      </c>
      <c r="C668" s="4" t="s">
        <v>12</v>
      </c>
      <c r="D668" s="4" t="s">
        <v>43</v>
      </c>
      <c r="E668" s="13">
        <f t="shared" ca="1" si="10"/>
        <v>45800</v>
      </c>
      <c r="F668" s="4" t="s">
        <v>21</v>
      </c>
      <c r="G668" s="5">
        <v>3</v>
      </c>
      <c r="H668" s="6">
        <v>12500</v>
      </c>
      <c r="I668" s="6">
        <v>40435</v>
      </c>
      <c r="J668" s="16">
        <v>3235</v>
      </c>
    </row>
    <row r="669" spans="1:10" x14ac:dyDescent="0.3">
      <c r="A669" s="15" t="s">
        <v>10</v>
      </c>
      <c r="B669" s="7" t="s">
        <v>16</v>
      </c>
      <c r="C669" s="7" t="s">
        <v>12</v>
      </c>
      <c r="D669" s="7" t="s">
        <v>241</v>
      </c>
      <c r="E669" s="13">
        <f t="shared" ca="1" si="10"/>
        <v>45960</v>
      </c>
      <c r="F669" s="7" t="s">
        <v>21</v>
      </c>
      <c r="G669" s="8">
        <v>4</v>
      </c>
      <c r="H669" s="9">
        <v>12500</v>
      </c>
      <c r="I669" s="9">
        <v>45282</v>
      </c>
      <c r="J669" s="17">
        <v>3623</v>
      </c>
    </row>
    <row r="670" spans="1:10" x14ac:dyDescent="0.3">
      <c r="A670" s="14" t="s">
        <v>10</v>
      </c>
      <c r="B670" s="4" t="s">
        <v>29</v>
      </c>
      <c r="C670" s="4" t="s">
        <v>26</v>
      </c>
      <c r="D670" s="4" t="s">
        <v>161</v>
      </c>
      <c r="E670" s="13">
        <f t="shared" ca="1" si="10"/>
        <v>45781</v>
      </c>
      <c r="F670" s="4" t="s">
        <v>21</v>
      </c>
      <c r="G670" s="5">
        <v>5</v>
      </c>
      <c r="H670" s="6">
        <v>12500</v>
      </c>
      <c r="I670" s="6">
        <v>62115</v>
      </c>
      <c r="J670" s="16">
        <v>4969</v>
      </c>
    </row>
    <row r="671" spans="1:10" x14ac:dyDescent="0.3">
      <c r="A671" s="15" t="s">
        <v>10</v>
      </c>
      <c r="B671" s="7" t="s">
        <v>77</v>
      </c>
      <c r="C671" s="7" t="s">
        <v>12</v>
      </c>
      <c r="D671" s="7" t="s">
        <v>169</v>
      </c>
      <c r="E671" s="13">
        <f t="shared" ca="1" si="10"/>
        <v>45912</v>
      </c>
      <c r="F671" s="7" t="s">
        <v>36</v>
      </c>
      <c r="G671" s="8">
        <v>4</v>
      </c>
      <c r="H671" s="9">
        <v>55000</v>
      </c>
      <c r="I671" s="9">
        <v>204808</v>
      </c>
      <c r="J671" s="17">
        <v>45058</v>
      </c>
    </row>
    <row r="672" spans="1:10" x14ac:dyDescent="0.3">
      <c r="A672" s="14" t="s">
        <v>18</v>
      </c>
      <c r="B672" s="4" t="s">
        <v>84</v>
      </c>
      <c r="C672" s="4" t="s">
        <v>12</v>
      </c>
      <c r="D672" s="4" t="s">
        <v>228</v>
      </c>
      <c r="E672" s="13">
        <f t="shared" ca="1" si="10"/>
        <v>45660</v>
      </c>
      <c r="F672" s="4" t="s">
        <v>21</v>
      </c>
      <c r="G672" s="5">
        <v>8</v>
      </c>
      <c r="H672" s="6">
        <v>12500</v>
      </c>
      <c r="I672" s="6">
        <v>99695</v>
      </c>
      <c r="J672" s="16">
        <v>7976</v>
      </c>
    </row>
    <row r="673" spans="1:10" x14ac:dyDescent="0.3">
      <c r="A673" s="15" t="s">
        <v>10</v>
      </c>
      <c r="B673" s="7" t="s">
        <v>51</v>
      </c>
      <c r="C673" s="7" t="s">
        <v>12</v>
      </c>
      <c r="D673" s="7" t="s">
        <v>228</v>
      </c>
      <c r="E673" s="13">
        <f t="shared" ca="1" si="10"/>
        <v>45668</v>
      </c>
      <c r="F673" s="7" t="s">
        <v>33</v>
      </c>
      <c r="G673" s="8">
        <v>5</v>
      </c>
      <c r="H673" s="9">
        <v>45000</v>
      </c>
      <c r="I673" s="9">
        <v>237270</v>
      </c>
      <c r="J673" s="17">
        <v>42709</v>
      </c>
    </row>
    <row r="674" spans="1:10" x14ac:dyDescent="0.3">
      <c r="A674" s="14" t="s">
        <v>10</v>
      </c>
      <c r="B674" s="4" t="s">
        <v>11</v>
      </c>
      <c r="C674" s="4" t="s">
        <v>12</v>
      </c>
      <c r="D674" s="4" t="s">
        <v>163</v>
      </c>
      <c r="E674" s="13">
        <f t="shared" ca="1" si="10"/>
        <v>45722</v>
      </c>
      <c r="F674" s="4" t="s">
        <v>36</v>
      </c>
      <c r="G674" s="5">
        <v>2</v>
      </c>
      <c r="H674" s="6">
        <v>55000</v>
      </c>
      <c r="I674" s="6">
        <v>104772</v>
      </c>
      <c r="J674" s="16">
        <v>23050</v>
      </c>
    </row>
    <row r="675" spans="1:10" x14ac:dyDescent="0.3">
      <c r="A675" s="15" t="s">
        <v>15</v>
      </c>
      <c r="B675" s="7" t="s">
        <v>51</v>
      </c>
      <c r="C675" s="7" t="s">
        <v>12</v>
      </c>
      <c r="D675" s="7" t="s">
        <v>148</v>
      </c>
      <c r="E675" s="13">
        <f t="shared" ca="1" si="10"/>
        <v>45660</v>
      </c>
      <c r="F675" s="7" t="s">
        <v>21</v>
      </c>
      <c r="G675" s="8">
        <v>5</v>
      </c>
      <c r="H675" s="9">
        <v>12500</v>
      </c>
      <c r="I675" s="9">
        <v>60034</v>
      </c>
      <c r="J675" s="17">
        <v>4803</v>
      </c>
    </row>
    <row r="676" spans="1:10" x14ac:dyDescent="0.3">
      <c r="A676" s="14" t="s">
        <v>10</v>
      </c>
      <c r="B676" s="4" t="s">
        <v>19</v>
      </c>
      <c r="C676" s="4" t="s">
        <v>12</v>
      </c>
      <c r="D676" s="4" t="s">
        <v>183</v>
      </c>
      <c r="E676" s="13">
        <f t="shared" ca="1" si="10"/>
        <v>45911</v>
      </c>
      <c r="F676" s="4" t="s">
        <v>21</v>
      </c>
      <c r="G676" s="5">
        <v>7</v>
      </c>
      <c r="H676" s="6">
        <v>12500</v>
      </c>
      <c r="I676" s="6">
        <v>90121</v>
      </c>
      <c r="J676" s="16">
        <v>7210</v>
      </c>
    </row>
    <row r="677" spans="1:10" x14ac:dyDescent="0.3">
      <c r="A677" s="15" t="s">
        <v>41</v>
      </c>
      <c r="B677" s="7" t="s">
        <v>19</v>
      </c>
      <c r="C677" s="7" t="s">
        <v>12</v>
      </c>
      <c r="D677" s="7" t="s">
        <v>35</v>
      </c>
      <c r="E677" s="13">
        <f t="shared" ca="1" si="10"/>
        <v>45693</v>
      </c>
      <c r="F677" s="7" t="s">
        <v>21</v>
      </c>
      <c r="G677" s="8">
        <v>8</v>
      </c>
      <c r="H677" s="9">
        <v>12500</v>
      </c>
      <c r="I677" s="9">
        <v>98950</v>
      </c>
      <c r="J677" s="17">
        <v>7916</v>
      </c>
    </row>
    <row r="678" spans="1:10" x14ac:dyDescent="0.3">
      <c r="A678" s="14" t="s">
        <v>41</v>
      </c>
      <c r="B678" s="4" t="s">
        <v>46</v>
      </c>
      <c r="C678" s="4" t="s">
        <v>26</v>
      </c>
      <c r="D678" s="4" t="s">
        <v>127</v>
      </c>
      <c r="E678" s="13">
        <f t="shared" ca="1" si="10"/>
        <v>45903</v>
      </c>
      <c r="F678" s="4" t="s">
        <v>21</v>
      </c>
      <c r="G678" s="5">
        <v>9</v>
      </c>
      <c r="H678" s="6">
        <v>12500</v>
      </c>
      <c r="I678" s="6">
        <v>117205</v>
      </c>
      <c r="J678" s="16">
        <v>9376</v>
      </c>
    </row>
    <row r="679" spans="1:10" x14ac:dyDescent="0.3">
      <c r="A679" s="15" t="s">
        <v>18</v>
      </c>
      <c r="B679" s="7" t="s">
        <v>38</v>
      </c>
      <c r="C679" s="7" t="s">
        <v>23</v>
      </c>
      <c r="D679" s="7" t="s">
        <v>255</v>
      </c>
      <c r="E679" s="13">
        <f t="shared" ca="1" si="10"/>
        <v>45910</v>
      </c>
      <c r="F679" s="7" t="s">
        <v>33</v>
      </c>
      <c r="G679" s="8">
        <v>4</v>
      </c>
      <c r="H679" s="9">
        <v>45000</v>
      </c>
      <c r="I679" s="9">
        <v>182819</v>
      </c>
      <c r="J679" s="17">
        <v>32907</v>
      </c>
    </row>
    <row r="680" spans="1:10" x14ac:dyDescent="0.3">
      <c r="A680" s="14" t="s">
        <v>41</v>
      </c>
      <c r="B680" s="4" t="s">
        <v>19</v>
      </c>
      <c r="C680" s="4" t="s">
        <v>12</v>
      </c>
      <c r="D680" s="4" t="s">
        <v>131</v>
      </c>
      <c r="E680" s="13">
        <f t="shared" ca="1" si="10"/>
        <v>45834</v>
      </c>
      <c r="F680" s="4" t="s">
        <v>36</v>
      </c>
      <c r="G680" s="5">
        <v>3</v>
      </c>
      <c r="H680" s="6">
        <v>55000</v>
      </c>
      <c r="I680" s="6">
        <v>166185</v>
      </c>
      <c r="J680" s="16">
        <v>36561</v>
      </c>
    </row>
    <row r="681" spans="1:10" x14ac:dyDescent="0.3">
      <c r="A681" s="15" t="s">
        <v>41</v>
      </c>
      <c r="B681" s="7" t="s">
        <v>46</v>
      </c>
      <c r="C681" s="7" t="s">
        <v>26</v>
      </c>
      <c r="D681" s="7" t="s">
        <v>164</v>
      </c>
      <c r="E681" s="13">
        <f t="shared" ca="1" si="10"/>
        <v>45994</v>
      </c>
      <c r="F681" s="7" t="s">
        <v>36</v>
      </c>
      <c r="G681" s="8">
        <v>5</v>
      </c>
      <c r="H681" s="9">
        <v>55000</v>
      </c>
      <c r="I681" s="9">
        <v>284176</v>
      </c>
      <c r="J681" s="17">
        <v>62519</v>
      </c>
    </row>
    <row r="682" spans="1:10" x14ac:dyDescent="0.3">
      <c r="A682" s="14" t="s">
        <v>41</v>
      </c>
      <c r="B682" s="4" t="s">
        <v>31</v>
      </c>
      <c r="C682" s="4" t="s">
        <v>12</v>
      </c>
      <c r="D682" s="4" t="s">
        <v>225</v>
      </c>
      <c r="E682" s="13">
        <f t="shared" ca="1" si="10"/>
        <v>45923</v>
      </c>
      <c r="F682" s="4" t="s">
        <v>36</v>
      </c>
      <c r="G682" s="5">
        <v>2</v>
      </c>
      <c r="H682" s="6">
        <v>55000</v>
      </c>
      <c r="I682" s="6">
        <v>108897</v>
      </c>
      <c r="J682" s="16">
        <v>23957</v>
      </c>
    </row>
    <row r="683" spans="1:10" x14ac:dyDescent="0.3">
      <c r="A683" s="15" t="s">
        <v>10</v>
      </c>
      <c r="B683" s="7" t="s">
        <v>84</v>
      </c>
      <c r="C683" s="7" t="s">
        <v>12</v>
      </c>
      <c r="D683" s="7" t="s">
        <v>59</v>
      </c>
      <c r="E683" s="13">
        <f t="shared" ca="1" si="10"/>
        <v>45670</v>
      </c>
      <c r="F683" s="7" t="s">
        <v>36</v>
      </c>
      <c r="G683" s="8">
        <v>4</v>
      </c>
      <c r="H683" s="9">
        <v>55000</v>
      </c>
      <c r="I683" s="9">
        <v>238044</v>
      </c>
      <c r="J683" s="17">
        <v>52370</v>
      </c>
    </row>
    <row r="684" spans="1:10" x14ac:dyDescent="0.3">
      <c r="A684" s="14" t="s">
        <v>18</v>
      </c>
      <c r="B684" s="4" t="s">
        <v>19</v>
      </c>
      <c r="C684" s="4" t="s">
        <v>12</v>
      </c>
      <c r="D684" s="4" t="s">
        <v>188</v>
      </c>
      <c r="E684" s="13">
        <f t="shared" ca="1" si="10"/>
        <v>45862</v>
      </c>
      <c r="F684" s="4" t="s">
        <v>21</v>
      </c>
      <c r="G684" s="5">
        <v>3</v>
      </c>
      <c r="H684" s="6">
        <v>12500</v>
      </c>
      <c r="I684" s="6">
        <v>38901</v>
      </c>
      <c r="J684" s="16">
        <v>3112</v>
      </c>
    </row>
    <row r="685" spans="1:10" x14ac:dyDescent="0.3">
      <c r="A685" s="15" t="s">
        <v>10</v>
      </c>
      <c r="B685" s="7" t="s">
        <v>84</v>
      </c>
      <c r="C685" s="7" t="s">
        <v>12</v>
      </c>
      <c r="D685" s="7" t="s">
        <v>169</v>
      </c>
      <c r="E685" s="13">
        <f t="shared" ca="1" si="10"/>
        <v>45730</v>
      </c>
      <c r="F685" s="7" t="s">
        <v>36</v>
      </c>
      <c r="G685" s="8">
        <v>3</v>
      </c>
      <c r="H685" s="9">
        <v>55000</v>
      </c>
      <c r="I685" s="9">
        <v>162824</v>
      </c>
      <c r="J685" s="17">
        <v>35821</v>
      </c>
    </row>
    <row r="686" spans="1:10" x14ac:dyDescent="0.3">
      <c r="A686" s="14" t="s">
        <v>37</v>
      </c>
      <c r="B686" s="4" t="s">
        <v>25</v>
      </c>
      <c r="C686" s="4" t="s">
        <v>26</v>
      </c>
      <c r="D686" s="4" t="s">
        <v>211</v>
      </c>
      <c r="E686" s="13">
        <f t="shared" ca="1" si="10"/>
        <v>45835</v>
      </c>
      <c r="F686" s="4" t="s">
        <v>40</v>
      </c>
      <c r="G686" s="5">
        <v>6</v>
      </c>
      <c r="H686" s="6">
        <v>15000</v>
      </c>
      <c r="I686" s="6">
        <v>96207</v>
      </c>
      <c r="J686" s="16">
        <v>9621</v>
      </c>
    </row>
    <row r="687" spans="1:10" x14ac:dyDescent="0.3">
      <c r="A687" s="15" t="s">
        <v>10</v>
      </c>
      <c r="B687" s="7" t="s">
        <v>16</v>
      </c>
      <c r="C687" s="7" t="s">
        <v>12</v>
      </c>
      <c r="D687" s="7" t="s">
        <v>80</v>
      </c>
      <c r="E687" s="13">
        <f t="shared" ca="1" si="10"/>
        <v>45944</v>
      </c>
      <c r="F687" s="7" t="s">
        <v>14</v>
      </c>
      <c r="G687" s="8">
        <v>8</v>
      </c>
      <c r="H687" s="9">
        <v>18500</v>
      </c>
      <c r="I687" s="9">
        <v>135221</v>
      </c>
      <c r="J687" s="17">
        <v>16227</v>
      </c>
    </row>
    <row r="688" spans="1:10" x14ac:dyDescent="0.3">
      <c r="A688" s="14" t="s">
        <v>41</v>
      </c>
      <c r="B688" s="4" t="s">
        <v>51</v>
      </c>
      <c r="C688" s="4" t="s">
        <v>12</v>
      </c>
      <c r="D688" s="4" t="s">
        <v>70</v>
      </c>
      <c r="E688" s="13">
        <f t="shared" ca="1" si="10"/>
        <v>45895</v>
      </c>
      <c r="F688" s="4" t="s">
        <v>21</v>
      </c>
      <c r="G688" s="5">
        <v>5</v>
      </c>
      <c r="H688" s="6">
        <v>12500</v>
      </c>
      <c r="I688" s="6">
        <v>64818</v>
      </c>
      <c r="J688" s="16">
        <v>5185</v>
      </c>
    </row>
    <row r="689" spans="1:10" x14ac:dyDescent="0.3">
      <c r="A689" s="15" t="s">
        <v>41</v>
      </c>
      <c r="B689" s="7" t="s">
        <v>31</v>
      </c>
      <c r="C689" s="7" t="s">
        <v>12</v>
      </c>
      <c r="D689" s="7" t="s">
        <v>13</v>
      </c>
      <c r="E689" s="13">
        <f t="shared" ca="1" si="10"/>
        <v>45928</v>
      </c>
      <c r="F689" s="7" t="s">
        <v>33</v>
      </c>
      <c r="G689" s="8">
        <v>7</v>
      </c>
      <c r="H689" s="9">
        <v>45000</v>
      </c>
      <c r="I689" s="9">
        <v>296904</v>
      </c>
      <c r="J689" s="17">
        <v>53443</v>
      </c>
    </row>
    <row r="690" spans="1:10" x14ac:dyDescent="0.3">
      <c r="A690" s="14" t="s">
        <v>41</v>
      </c>
      <c r="B690" s="4" t="s">
        <v>56</v>
      </c>
      <c r="C690" s="4" t="s">
        <v>23</v>
      </c>
      <c r="D690" s="4" t="s">
        <v>256</v>
      </c>
      <c r="E690" s="13">
        <f t="shared" ca="1" si="10"/>
        <v>45754</v>
      </c>
      <c r="F690" s="4" t="s">
        <v>36</v>
      </c>
      <c r="G690" s="5">
        <v>6</v>
      </c>
      <c r="H690" s="6">
        <v>55000</v>
      </c>
      <c r="I690" s="6">
        <v>331089</v>
      </c>
      <c r="J690" s="16">
        <v>72840</v>
      </c>
    </row>
    <row r="691" spans="1:10" x14ac:dyDescent="0.3">
      <c r="A691" s="15" t="s">
        <v>15</v>
      </c>
      <c r="B691" s="7" t="s">
        <v>11</v>
      </c>
      <c r="C691" s="7" t="s">
        <v>12</v>
      </c>
      <c r="D691" s="7" t="s">
        <v>100</v>
      </c>
      <c r="E691" s="13">
        <f t="shared" ca="1" si="10"/>
        <v>45955</v>
      </c>
      <c r="F691" s="7" t="s">
        <v>21</v>
      </c>
      <c r="G691" s="8">
        <v>9</v>
      </c>
      <c r="H691" s="9">
        <v>12500</v>
      </c>
      <c r="I691" s="9">
        <v>122376</v>
      </c>
      <c r="J691" s="17">
        <v>9790</v>
      </c>
    </row>
    <row r="692" spans="1:10" x14ac:dyDescent="0.3">
      <c r="A692" s="14" t="s">
        <v>37</v>
      </c>
      <c r="B692" s="4" t="s">
        <v>22</v>
      </c>
      <c r="C692" s="4" t="s">
        <v>23</v>
      </c>
      <c r="D692" s="4" t="s">
        <v>152</v>
      </c>
      <c r="E692" s="13">
        <f t="shared" ca="1" si="10"/>
        <v>45932</v>
      </c>
      <c r="F692" s="4" t="s">
        <v>21</v>
      </c>
      <c r="G692" s="5">
        <v>9</v>
      </c>
      <c r="H692" s="6">
        <v>12500</v>
      </c>
      <c r="I692" s="6">
        <v>103157</v>
      </c>
      <c r="J692" s="16">
        <v>8253</v>
      </c>
    </row>
    <row r="693" spans="1:10" x14ac:dyDescent="0.3">
      <c r="A693" s="15" t="s">
        <v>37</v>
      </c>
      <c r="B693" s="7" t="s">
        <v>31</v>
      </c>
      <c r="C693" s="7" t="s">
        <v>12</v>
      </c>
      <c r="D693" s="7" t="s">
        <v>120</v>
      </c>
      <c r="E693" s="13">
        <f t="shared" ca="1" si="10"/>
        <v>45762</v>
      </c>
      <c r="F693" s="7" t="s">
        <v>21</v>
      </c>
      <c r="G693" s="8">
        <v>1</v>
      </c>
      <c r="H693" s="9">
        <v>12500</v>
      </c>
      <c r="I693" s="9">
        <v>12143</v>
      </c>
      <c r="J693" s="17">
        <v>971</v>
      </c>
    </row>
    <row r="694" spans="1:10" x14ac:dyDescent="0.3">
      <c r="A694" s="14" t="s">
        <v>10</v>
      </c>
      <c r="B694" s="4" t="s">
        <v>22</v>
      </c>
      <c r="C694" s="4" t="s">
        <v>23</v>
      </c>
      <c r="D694" s="4" t="s">
        <v>204</v>
      </c>
      <c r="E694" s="13">
        <f t="shared" ca="1" si="10"/>
        <v>45702</v>
      </c>
      <c r="F694" s="4" t="s">
        <v>14</v>
      </c>
      <c r="G694" s="5">
        <v>9</v>
      </c>
      <c r="H694" s="6">
        <v>18500</v>
      </c>
      <c r="I694" s="6">
        <v>181602</v>
      </c>
      <c r="J694" s="16">
        <v>21792</v>
      </c>
    </row>
    <row r="695" spans="1:10" x14ac:dyDescent="0.3">
      <c r="A695" s="15" t="s">
        <v>15</v>
      </c>
      <c r="B695" s="7" t="s">
        <v>31</v>
      </c>
      <c r="C695" s="7" t="s">
        <v>12</v>
      </c>
      <c r="D695" s="7" t="s">
        <v>192</v>
      </c>
      <c r="E695" s="13">
        <f t="shared" ca="1" si="10"/>
        <v>45812</v>
      </c>
      <c r="F695" s="7" t="s">
        <v>40</v>
      </c>
      <c r="G695" s="8">
        <v>10</v>
      </c>
      <c r="H695" s="9">
        <v>15000</v>
      </c>
      <c r="I695" s="9">
        <v>153272</v>
      </c>
      <c r="J695" s="17">
        <v>15327</v>
      </c>
    </row>
    <row r="696" spans="1:10" x14ac:dyDescent="0.3">
      <c r="A696" s="14" t="s">
        <v>18</v>
      </c>
      <c r="B696" s="4" t="s">
        <v>31</v>
      </c>
      <c r="C696" s="4" t="s">
        <v>12</v>
      </c>
      <c r="D696" s="4" t="s">
        <v>154</v>
      </c>
      <c r="E696" s="13">
        <f t="shared" ca="1" si="10"/>
        <v>45790</v>
      </c>
      <c r="F696" s="4" t="s">
        <v>21</v>
      </c>
      <c r="G696" s="5">
        <v>6</v>
      </c>
      <c r="H696" s="6">
        <v>12500</v>
      </c>
      <c r="I696" s="6">
        <v>74046</v>
      </c>
      <c r="J696" s="16">
        <v>5924</v>
      </c>
    </row>
    <row r="697" spans="1:10" x14ac:dyDescent="0.3">
      <c r="A697" s="15" t="s">
        <v>18</v>
      </c>
      <c r="B697" s="7" t="s">
        <v>84</v>
      </c>
      <c r="C697" s="7" t="s">
        <v>12</v>
      </c>
      <c r="D697" s="7" t="s">
        <v>208</v>
      </c>
      <c r="E697" s="13">
        <f t="shared" ca="1" si="10"/>
        <v>45967</v>
      </c>
      <c r="F697" s="7" t="s">
        <v>14</v>
      </c>
      <c r="G697" s="8">
        <v>3</v>
      </c>
      <c r="H697" s="9">
        <v>18500</v>
      </c>
      <c r="I697" s="9">
        <v>55288</v>
      </c>
      <c r="J697" s="17">
        <v>6635</v>
      </c>
    </row>
    <row r="698" spans="1:10" x14ac:dyDescent="0.3">
      <c r="A698" s="14" t="s">
        <v>41</v>
      </c>
      <c r="B698" s="4" t="s">
        <v>84</v>
      </c>
      <c r="C698" s="4" t="s">
        <v>12</v>
      </c>
      <c r="D698" s="4" t="s">
        <v>17</v>
      </c>
      <c r="E698" s="13">
        <f t="shared" ca="1" si="10"/>
        <v>45683</v>
      </c>
      <c r="F698" s="4" t="s">
        <v>21</v>
      </c>
      <c r="G698" s="5">
        <v>1</v>
      </c>
      <c r="H698" s="6">
        <v>12500</v>
      </c>
      <c r="I698" s="6">
        <v>11668</v>
      </c>
      <c r="J698" s="16">
        <v>933</v>
      </c>
    </row>
    <row r="699" spans="1:10" x14ac:dyDescent="0.3">
      <c r="A699" s="15" t="s">
        <v>18</v>
      </c>
      <c r="B699" s="7" t="s">
        <v>56</v>
      </c>
      <c r="C699" s="7" t="s">
        <v>23</v>
      </c>
      <c r="D699" s="7" t="s">
        <v>183</v>
      </c>
      <c r="E699" s="13">
        <f t="shared" ca="1" si="10"/>
        <v>45852</v>
      </c>
      <c r="F699" s="7" t="s">
        <v>21</v>
      </c>
      <c r="G699" s="8">
        <v>3</v>
      </c>
      <c r="H699" s="9">
        <v>12500</v>
      </c>
      <c r="I699" s="9">
        <v>33940</v>
      </c>
      <c r="J699" s="17">
        <v>2715</v>
      </c>
    </row>
    <row r="700" spans="1:10" x14ac:dyDescent="0.3">
      <c r="A700" s="14" t="s">
        <v>10</v>
      </c>
      <c r="B700" s="4" t="s">
        <v>81</v>
      </c>
      <c r="C700" s="4" t="s">
        <v>26</v>
      </c>
      <c r="D700" s="4" t="s">
        <v>113</v>
      </c>
      <c r="E700" s="13">
        <f t="shared" ca="1" si="10"/>
        <v>45984</v>
      </c>
      <c r="F700" s="4" t="s">
        <v>40</v>
      </c>
      <c r="G700" s="5">
        <v>1</v>
      </c>
      <c r="H700" s="6">
        <v>15000</v>
      </c>
      <c r="I700" s="6">
        <v>15067</v>
      </c>
      <c r="J700" s="16">
        <v>1507</v>
      </c>
    </row>
    <row r="701" spans="1:10" x14ac:dyDescent="0.3">
      <c r="A701" s="15" t="s">
        <v>41</v>
      </c>
      <c r="B701" s="7" t="s">
        <v>46</v>
      </c>
      <c r="C701" s="7" t="s">
        <v>26</v>
      </c>
      <c r="D701" s="7" t="s">
        <v>244</v>
      </c>
      <c r="E701" s="13">
        <f t="shared" ca="1" si="10"/>
        <v>45890</v>
      </c>
      <c r="F701" s="7" t="s">
        <v>40</v>
      </c>
      <c r="G701" s="8">
        <v>4</v>
      </c>
      <c r="H701" s="9">
        <v>15000</v>
      </c>
      <c r="I701" s="9">
        <v>55032</v>
      </c>
      <c r="J701" s="17">
        <v>5503</v>
      </c>
    </row>
    <row r="702" spans="1:10" x14ac:dyDescent="0.3">
      <c r="A702" s="14" t="s">
        <v>15</v>
      </c>
      <c r="B702" s="4" t="s">
        <v>31</v>
      </c>
      <c r="C702" s="4" t="s">
        <v>12</v>
      </c>
      <c r="D702" s="4" t="s">
        <v>191</v>
      </c>
      <c r="E702" s="13">
        <f t="shared" ca="1" si="10"/>
        <v>45924</v>
      </c>
      <c r="F702" s="4" t="s">
        <v>14</v>
      </c>
      <c r="G702" s="5">
        <v>9</v>
      </c>
      <c r="H702" s="6">
        <v>18500</v>
      </c>
      <c r="I702" s="6">
        <v>166074</v>
      </c>
      <c r="J702" s="16">
        <v>19929</v>
      </c>
    </row>
    <row r="703" spans="1:10" x14ac:dyDescent="0.3">
      <c r="A703" s="15" t="s">
        <v>37</v>
      </c>
      <c r="B703" s="7" t="s">
        <v>51</v>
      </c>
      <c r="C703" s="7" t="s">
        <v>12</v>
      </c>
      <c r="D703" s="7" t="s">
        <v>192</v>
      </c>
      <c r="E703" s="13">
        <f t="shared" ca="1" si="10"/>
        <v>45933</v>
      </c>
      <c r="F703" s="7" t="s">
        <v>36</v>
      </c>
      <c r="G703" s="8">
        <v>8</v>
      </c>
      <c r="H703" s="9">
        <v>55000</v>
      </c>
      <c r="I703" s="9">
        <v>432575</v>
      </c>
      <c r="J703" s="17">
        <v>95166</v>
      </c>
    </row>
    <row r="704" spans="1:10" x14ac:dyDescent="0.3">
      <c r="A704" s="14" t="s">
        <v>10</v>
      </c>
      <c r="B704" s="4" t="s">
        <v>25</v>
      </c>
      <c r="C704" s="4" t="s">
        <v>26</v>
      </c>
      <c r="D704" s="4" t="s">
        <v>202</v>
      </c>
      <c r="E704" s="13">
        <f t="shared" ca="1" si="10"/>
        <v>45682</v>
      </c>
      <c r="F704" s="4" t="s">
        <v>14</v>
      </c>
      <c r="G704" s="5">
        <v>2</v>
      </c>
      <c r="H704" s="6">
        <v>18500</v>
      </c>
      <c r="I704" s="6">
        <v>36347</v>
      </c>
      <c r="J704" s="16">
        <v>4362</v>
      </c>
    </row>
    <row r="705" spans="1:10" x14ac:dyDescent="0.3">
      <c r="A705" s="15" t="s">
        <v>41</v>
      </c>
      <c r="B705" s="7" t="s">
        <v>84</v>
      </c>
      <c r="C705" s="7" t="s">
        <v>12</v>
      </c>
      <c r="D705" s="7" t="s">
        <v>170</v>
      </c>
      <c r="E705" s="13">
        <f t="shared" ca="1" si="10"/>
        <v>45705</v>
      </c>
      <c r="F705" s="7" t="s">
        <v>14</v>
      </c>
      <c r="G705" s="8">
        <v>10</v>
      </c>
      <c r="H705" s="9">
        <v>18500</v>
      </c>
      <c r="I705" s="9">
        <v>174490</v>
      </c>
      <c r="J705" s="17">
        <v>20939</v>
      </c>
    </row>
    <row r="706" spans="1:10" x14ac:dyDescent="0.3">
      <c r="A706" s="14" t="s">
        <v>10</v>
      </c>
      <c r="B706" s="4" t="s">
        <v>31</v>
      </c>
      <c r="C706" s="4" t="s">
        <v>12</v>
      </c>
      <c r="D706" s="4" t="s">
        <v>200</v>
      </c>
      <c r="E706" s="13">
        <f t="shared" ca="1" si="10"/>
        <v>45771</v>
      </c>
      <c r="F706" s="4" t="s">
        <v>21</v>
      </c>
      <c r="G706" s="5">
        <v>2</v>
      </c>
      <c r="H706" s="6">
        <v>12500</v>
      </c>
      <c r="I706" s="6">
        <v>27195</v>
      </c>
      <c r="J706" s="16">
        <v>2176</v>
      </c>
    </row>
    <row r="707" spans="1:10" x14ac:dyDescent="0.3">
      <c r="A707" s="15" t="s">
        <v>15</v>
      </c>
      <c r="B707" s="7" t="s">
        <v>19</v>
      </c>
      <c r="C707" s="7" t="s">
        <v>12</v>
      </c>
      <c r="D707" s="7" t="s">
        <v>140</v>
      </c>
      <c r="E707" s="13">
        <f t="shared" ref="E707:E770" ca="1" si="11">DATE(2025,1,1)+RANDBETWEEN(0,364)</f>
        <v>46000</v>
      </c>
      <c r="F707" s="7" t="s">
        <v>36</v>
      </c>
      <c r="G707" s="8">
        <v>2</v>
      </c>
      <c r="H707" s="9">
        <v>55000</v>
      </c>
      <c r="I707" s="9">
        <v>101781</v>
      </c>
      <c r="J707" s="17">
        <v>22392</v>
      </c>
    </row>
    <row r="708" spans="1:10" x14ac:dyDescent="0.3">
      <c r="A708" s="14" t="s">
        <v>18</v>
      </c>
      <c r="B708" s="4" t="s">
        <v>56</v>
      </c>
      <c r="C708" s="4" t="s">
        <v>23</v>
      </c>
      <c r="D708" s="4" t="s">
        <v>204</v>
      </c>
      <c r="E708" s="13">
        <f t="shared" ca="1" si="11"/>
        <v>45728</v>
      </c>
      <c r="F708" s="4" t="s">
        <v>33</v>
      </c>
      <c r="G708" s="5">
        <v>7</v>
      </c>
      <c r="H708" s="6">
        <v>45000</v>
      </c>
      <c r="I708" s="6">
        <v>325126</v>
      </c>
      <c r="J708" s="16">
        <v>58523</v>
      </c>
    </row>
    <row r="709" spans="1:10" x14ac:dyDescent="0.3">
      <c r="A709" s="15" t="s">
        <v>37</v>
      </c>
      <c r="B709" s="7" t="s">
        <v>56</v>
      </c>
      <c r="C709" s="7" t="s">
        <v>23</v>
      </c>
      <c r="D709" s="7" t="s">
        <v>115</v>
      </c>
      <c r="E709" s="13">
        <f t="shared" ca="1" si="11"/>
        <v>45730</v>
      </c>
      <c r="F709" s="7" t="s">
        <v>21</v>
      </c>
      <c r="G709" s="8">
        <v>10</v>
      </c>
      <c r="H709" s="9">
        <v>12500</v>
      </c>
      <c r="I709" s="9">
        <v>125047</v>
      </c>
      <c r="J709" s="17">
        <v>10004</v>
      </c>
    </row>
    <row r="710" spans="1:10" x14ac:dyDescent="0.3">
      <c r="A710" s="14" t="s">
        <v>10</v>
      </c>
      <c r="B710" s="4" t="s">
        <v>77</v>
      </c>
      <c r="C710" s="4" t="s">
        <v>12</v>
      </c>
      <c r="D710" s="4" t="s">
        <v>227</v>
      </c>
      <c r="E710" s="13">
        <f t="shared" ca="1" si="11"/>
        <v>45678</v>
      </c>
      <c r="F710" s="4" t="s">
        <v>14</v>
      </c>
      <c r="G710" s="5">
        <v>3</v>
      </c>
      <c r="H710" s="6">
        <v>18500</v>
      </c>
      <c r="I710" s="6">
        <v>53732</v>
      </c>
      <c r="J710" s="16">
        <v>6448</v>
      </c>
    </row>
    <row r="711" spans="1:10" x14ac:dyDescent="0.3">
      <c r="A711" s="15" t="s">
        <v>37</v>
      </c>
      <c r="B711" s="7" t="s">
        <v>25</v>
      </c>
      <c r="C711" s="7" t="s">
        <v>26</v>
      </c>
      <c r="D711" s="7" t="s">
        <v>100</v>
      </c>
      <c r="E711" s="13">
        <f t="shared" ca="1" si="11"/>
        <v>45731</v>
      </c>
      <c r="F711" s="7" t="s">
        <v>21</v>
      </c>
      <c r="G711" s="8">
        <v>8</v>
      </c>
      <c r="H711" s="9">
        <v>12500</v>
      </c>
      <c r="I711" s="9">
        <v>102634</v>
      </c>
      <c r="J711" s="17">
        <v>8211</v>
      </c>
    </row>
    <row r="712" spans="1:10" x14ac:dyDescent="0.3">
      <c r="A712" s="14" t="s">
        <v>10</v>
      </c>
      <c r="B712" s="4" t="s">
        <v>56</v>
      </c>
      <c r="C712" s="4" t="s">
        <v>23</v>
      </c>
      <c r="D712" s="4" t="s">
        <v>162</v>
      </c>
      <c r="E712" s="13">
        <f t="shared" ca="1" si="11"/>
        <v>45921</v>
      </c>
      <c r="F712" s="4" t="s">
        <v>21</v>
      </c>
      <c r="G712" s="5">
        <v>9</v>
      </c>
      <c r="H712" s="6">
        <v>12500</v>
      </c>
      <c r="I712" s="6">
        <v>114852</v>
      </c>
      <c r="J712" s="16">
        <v>9188</v>
      </c>
    </row>
    <row r="713" spans="1:10" x14ac:dyDescent="0.3">
      <c r="A713" s="15" t="s">
        <v>37</v>
      </c>
      <c r="B713" s="7" t="s">
        <v>19</v>
      </c>
      <c r="C713" s="7" t="s">
        <v>12</v>
      </c>
      <c r="D713" s="7" t="s">
        <v>257</v>
      </c>
      <c r="E713" s="13">
        <f t="shared" ca="1" si="11"/>
        <v>45968</v>
      </c>
      <c r="F713" s="7" t="s">
        <v>14</v>
      </c>
      <c r="G713" s="8">
        <v>8</v>
      </c>
      <c r="H713" s="9">
        <v>18500</v>
      </c>
      <c r="I713" s="9">
        <v>150729</v>
      </c>
      <c r="J713" s="17">
        <v>18087</v>
      </c>
    </row>
    <row r="714" spans="1:10" x14ac:dyDescent="0.3">
      <c r="A714" s="14" t="s">
        <v>37</v>
      </c>
      <c r="B714" s="4" t="s">
        <v>84</v>
      </c>
      <c r="C714" s="4" t="s">
        <v>12</v>
      </c>
      <c r="D714" s="4" t="s">
        <v>107</v>
      </c>
      <c r="E714" s="13">
        <f t="shared" ca="1" si="11"/>
        <v>45850</v>
      </c>
      <c r="F714" s="4" t="s">
        <v>21</v>
      </c>
      <c r="G714" s="5">
        <v>4</v>
      </c>
      <c r="H714" s="6">
        <v>12500</v>
      </c>
      <c r="I714" s="6">
        <v>50803</v>
      </c>
      <c r="J714" s="16">
        <v>4064</v>
      </c>
    </row>
    <row r="715" spans="1:10" x14ac:dyDescent="0.3">
      <c r="A715" s="15" t="s">
        <v>18</v>
      </c>
      <c r="B715" s="7" t="s">
        <v>46</v>
      </c>
      <c r="C715" s="7" t="s">
        <v>26</v>
      </c>
      <c r="D715" s="7" t="s">
        <v>193</v>
      </c>
      <c r="E715" s="13">
        <f t="shared" ca="1" si="11"/>
        <v>45661</v>
      </c>
      <c r="F715" s="7" t="s">
        <v>21</v>
      </c>
      <c r="G715" s="8">
        <v>4</v>
      </c>
      <c r="H715" s="9">
        <v>12500</v>
      </c>
      <c r="I715" s="9">
        <v>47343</v>
      </c>
      <c r="J715" s="17">
        <v>3787</v>
      </c>
    </row>
    <row r="716" spans="1:10" x14ac:dyDescent="0.3">
      <c r="A716" s="14" t="s">
        <v>10</v>
      </c>
      <c r="B716" s="4" t="s">
        <v>38</v>
      </c>
      <c r="C716" s="4" t="s">
        <v>23</v>
      </c>
      <c r="D716" s="4" t="s">
        <v>95</v>
      </c>
      <c r="E716" s="13">
        <f t="shared" ca="1" si="11"/>
        <v>45665</v>
      </c>
      <c r="F716" s="4" t="s">
        <v>21</v>
      </c>
      <c r="G716" s="5">
        <v>4</v>
      </c>
      <c r="H716" s="6">
        <v>12500</v>
      </c>
      <c r="I716" s="6">
        <v>51655</v>
      </c>
      <c r="J716" s="16">
        <v>4132</v>
      </c>
    </row>
    <row r="717" spans="1:10" x14ac:dyDescent="0.3">
      <c r="A717" s="15" t="s">
        <v>10</v>
      </c>
      <c r="B717" s="7" t="s">
        <v>84</v>
      </c>
      <c r="C717" s="7" t="s">
        <v>12</v>
      </c>
      <c r="D717" s="7" t="s">
        <v>173</v>
      </c>
      <c r="E717" s="13">
        <f t="shared" ca="1" si="11"/>
        <v>45925</v>
      </c>
      <c r="F717" s="7" t="s">
        <v>40</v>
      </c>
      <c r="G717" s="8">
        <v>1</v>
      </c>
      <c r="H717" s="9">
        <v>15000</v>
      </c>
      <c r="I717" s="9">
        <v>16133</v>
      </c>
      <c r="J717" s="17">
        <v>1613</v>
      </c>
    </row>
    <row r="718" spans="1:10" x14ac:dyDescent="0.3">
      <c r="A718" s="14" t="s">
        <v>10</v>
      </c>
      <c r="B718" s="4" t="s">
        <v>88</v>
      </c>
      <c r="C718" s="4" t="s">
        <v>12</v>
      </c>
      <c r="D718" s="4" t="s">
        <v>201</v>
      </c>
      <c r="E718" s="13">
        <f t="shared" ca="1" si="11"/>
        <v>45800</v>
      </c>
      <c r="F718" s="4" t="s">
        <v>36</v>
      </c>
      <c r="G718" s="5">
        <v>7</v>
      </c>
      <c r="H718" s="6">
        <v>55000</v>
      </c>
      <c r="I718" s="6">
        <v>350238</v>
      </c>
      <c r="J718" s="16">
        <v>77052</v>
      </c>
    </row>
    <row r="719" spans="1:10" x14ac:dyDescent="0.3">
      <c r="A719" s="15" t="s">
        <v>41</v>
      </c>
      <c r="B719" s="7" t="s">
        <v>84</v>
      </c>
      <c r="C719" s="7" t="s">
        <v>12</v>
      </c>
      <c r="D719" s="7" t="s">
        <v>234</v>
      </c>
      <c r="E719" s="13">
        <f t="shared" ca="1" si="11"/>
        <v>45769</v>
      </c>
      <c r="F719" s="7" t="s">
        <v>14</v>
      </c>
      <c r="G719" s="8">
        <v>3</v>
      </c>
      <c r="H719" s="9">
        <v>18500</v>
      </c>
      <c r="I719" s="9">
        <v>51779</v>
      </c>
      <c r="J719" s="17">
        <v>6213</v>
      </c>
    </row>
    <row r="720" spans="1:10" x14ac:dyDescent="0.3">
      <c r="A720" s="14" t="s">
        <v>41</v>
      </c>
      <c r="B720" s="4" t="s">
        <v>31</v>
      </c>
      <c r="C720" s="4" t="s">
        <v>12</v>
      </c>
      <c r="D720" s="4" t="s">
        <v>104</v>
      </c>
      <c r="E720" s="13">
        <f t="shared" ca="1" si="11"/>
        <v>45909</v>
      </c>
      <c r="F720" s="4" t="s">
        <v>40</v>
      </c>
      <c r="G720" s="5">
        <v>10</v>
      </c>
      <c r="H720" s="6">
        <v>15000</v>
      </c>
      <c r="I720" s="6">
        <v>136186</v>
      </c>
      <c r="J720" s="16">
        <v>13619</v>
      </c>
    </row>
    <row r="721" spans="1:10" x14ac:dyDescent="0.3">
      <c r="A721" s="15" t="s">
        <v>18</v>
      </c>
      <c r="B721" s="7" t="s">
        <v>77</v>
      </c>
      <c r="C721" s="7" t="s">
        <v>12</v>
      </c>
      <c r="D721" s="7" t="s">
        <v>231</v>
      </c>
      <c r="E721" s="13">
        <f t="shared" ca="1" si="11"/>
        <v>45965</v>
      </c>
      <c r="F721" s="7" t="s">
        <v>21</v>
      </c>
      <c r="G721" s="8">
        <v>3</v>
      </c>
      <c r="H721" s="9">
        <v>12500</v>
      </c>
      <c r="I721" s="9">
        <v>39328</v>
      </c>
      <c r="J721" s="17">
        <v>3146</v>
      </c>
    </row>
    <row r="722" spans="1:10" x14ac:dyDescent="0.3">
      <c r="A722" s="14" t="s">
        <v>10</v>
      </c>
      <c r="B722" s="4" t="s">
        <v>19</v>
      </c>
      <c r="C722" s="4" t="s">
        <v>12</v>
      </c>
      <c r="D722" s="4" t="s">
        <v>124</v>
      </c>
      <c r="E722" s="13">
        <f t="shared" ca="1" si="11"/>
        <v>45852</v>
      </c>
      <c r="F722" s="4" t="s">
        <v>14</v>
      </c>
      <c r="G722" s="5">
        <v>5</v>
      </c>
      <c r="H722" s="6">
        <v>18500</v>
      </c>
      <c r="I722" s="6">
        <v>91947</v>
      </c>
      <c r="J722" s="16">
        <v>11034</v>
      </c>
    </row>
    <row r="723" spans="1:10" x14ac:dyDescent="0.3">
      <c r="A723" s="15" t="s">
        <v>41</v>
      </c>
      <c r="B723" s="7" t="s">
        <v>56</v>
      </c>
      <c r="C723" s="7" t="s">
        <v>23</v>
      </c>
      <c r="D723" s="7" t="s">
        <v>96</v>
      </c>
      <c r="E723" s="13">
        <f t="shared" ca="1" si="11"/>
        <v>45958</v>
      </c>
      <c r="F723" s="7" t="s">
        <v>40</v>
      </c>
      <c r="G723" s="8">
        <v>10</v>
      </c>
      <c r="H723" s="9">
        <v>15000</v>
      </c>
      <c r="I723" s="9">
        <v>140266</v>
      </c>
      <c r="J723" s="17">
        <v>14027</v>
      </c>
    </row>
    <row r="724" spans="1:10" x14ac:dyDescent="0.3">
      <c r="A724" s="14" t="s">
        <v>10</v>
      </c>
      <c r="B724" s="4" t="s">
        <v>31</v>
      </c>
      <c r="C724" s="4" t="s">
        <v>12</v>
      </c>
      <c r="D724" s="4" t="s">
        <v>174</v>
      </c>
      <c r="E724" s="13">
        <f t="shared" ca="1" si="11"/>
        <v>45735</v>
      </c>
      <c r="F724" s="4" t="s">
        <v>33</v>
      </c>
      <c r="G724" s="5">
        <v>4</v>
      </c>
      <c r="H724" s="6">
        <v>45000</v>
      </c>
      <c r="I724" s="6">
        <v>188659</v>
      </c>
      <c r="J724" s="16">
        <v>33959</v>
      </c>
    </row>
    <row r="725" spans="1:10" x14ac:dyDescent="0.3">
      <c r="A725" s="15" t="s">
        <v>18</v>
      </c>
      <c r="B725" s="7" t="s">
        <v>25</v>
      </c>
      <c r="C725" s="7" t="s">
        <v>26</v>
      </c>
      <c r="D725" s="7" t="s">
        <v>62</v>
      </c>
      <c r="E725" s="13">
        <f t="shared" ca="1" si="11"/>
        <v>45961</v>
      </c>
      <c r="F725" s="7" t="s">
        <v>33</v>
      </c>
      <c r="G725" s="8">
        <v>4</v>
      </c>
      <c r="H725" s="9">
        <v>45000</v>
      </c>
      <c r="I725" s="9">
        <v>194490</v>
      </c>
      <c r="J725" s="17">
        <v>35008</v>
      </c>
    </row>
    <row r="726" spans="1:10" x14ac:dyDescent="0.3">
      <c r="A726" s="14" t="s">
        <v>10</v>
      </c>
      <c r="B726" s="4" t="s">
        <v>46</v>
      </c>
      <c r="C726" s="4" t="s">
        <v>26</v>
      </c>
      <c r="D726" s="4" t="s">
        <v>195</v>
      </c>
      <c r="E726" s="13">
        <f t="shared" ca="1" si="11"/>
        <v>45935</v>
      </c>
      <c r="F726" s="4" t="s">
        <v>14</v>
      </c>
      <c r="G726" s="5">
        <v>5</v>
      </c>
      <c r="H726" s="6">
        <v>18500</v>
      </c>
      <c r="I726" s="6">
        <v>100097</v>
      </c>
      <c r="J726" s="16">
        <v>12012</v>
      </c>
    </row>
    <row r="727" spans="1:10" x14ac:dyDescent="0.3">
      <c r="A727" s="15" t="s">
        <v>37</v>
      </c>
      <c r="B727" s="7" t="s">
        <v>11</v>
      </c>
      <c r="C727" s="7" t="s">
        <v>12</v>
      </c>
      <c r="D727" s="7" t="s">
        <v>91</v>
      </c>
      <c r="E727" s="13">
        <f t="shared" ca="1" si="11"/>
        <v>45677</v>
      </c>
      <c r="F727" s="7" t="s">
        <v>33</v>
      </c>
      <c r="G727" s="8">
        <v>3</v>
      </c>
      <c r="H727" s="9">
        <v>45000</v>
      </c>
      <c r="I727" s="9">
        <v>145865</v>
      </c>
      <c r="J727" s="17">
        <v>26256</v>
      </c>
    </row>
    <row r="728" spans="1:10" x14ac:dyDescent="0.3">
      <c r="A728" s="14" t="s">
        <v>15</v>
      </c>
      <c r="B728" s="4" t="s">
        <v>88</v>
      </c>
      <c r="C728" s="4" t="s">
        <v>12</v>
      </c>
      <c r="D728" s="4" t="s">
        <v>207</v>
      </c>
      <c r="E728" s="13">
        <f t="shared" ca="1" si="11"/>
        <v>45942</v>
      </c>
      <c r="F728" s="4" t="s">
        <v>21</v>
      </c>
      <c r="G728" s="5">
        <v>4</v>
      </c>
      <c r="H728" s="6">
        <v>12500</v>
      </c>
      <c r="I728" s="6">
        <v>52400</v>
      </c>
      <c r="J728" s="16">
        <v>4192</v>
      </c>
    </row>
    <row r="729" spans="1:10" x14ac:dyDescent="0.3">
      <c r="A729" s="15" t="s">
        <v>10</v>
      </c>
      <c r="B729" s="7" t="s">
        <v>88</v>
      </c>
      <c r="C729" s="7" t="s">
        <v>12</v>
      </c>
      <c r="D729" s="7" t="s">
        <v>97</v>
      </c>
      <c r="E729" s="13">
        <f t="shared" ca="1" si="11"/>
        <v>45810</v>
      </c>
      <c r="F729" s="7" t="s">
        <v>36</v>
      </c>
      <c r="G729" s="8">
        <v>5</v>
      </c>
      <c r="H729" s="9">
        <v>55000</v>
      </c>
      <c r="I729" s="9">
        <v>247945</v>
      </c>
      <c r="J729" s="17">
        <v>54548</v>
      </c>
    </row>
    <row r="730" spans="1:10" x14ac:dyDescent="0.3">
      <c r="A730" s="14" t="s">
        <v>10</v>
      </c>
      <c r="B730" s="4" t="s">
        <v>29</v>
      </c>
      <c r="C730" s="4" t="s">
        <v>26</v>
      </c>
      <c r="D730" s="4" t="s">
        <v>241</v>
      </c>
      <c r="E730" s="13">
        <f t="shared" ca="1" si="11"/>
        <v>45844</v>
      </c>
      <c r="F730" s="4" t="s">
        <v>40</v>
      </c>
      <c r="G730" s="5">
        <v>7</v>
      </c>
      <c r="H730" s="6">
        <v>15000</v>
      </c>
      <c r="I730" s="6">
        <v>105566</v>
      </c>
      <c r="J730" s="16">
        <v>10557</v>
      </c>
    </row>
    <row r="731" spans="1:10" x14ac:dyDescent="0.3">
      <c r="A731" s="15" t="s">
        <v>15</v>
      </c>
      <c r="B731" s="7" t="s">
        <v>77</v>
      </c>
      <c r="C731" s="7" t="s">
        <v>12</v>
      </c>
      <c r="D731" s="7" t="s">
        <v>179</v>
      </c>
      <c r="E731" s="13">
        <f t="shared" ca="1" si="11"/>
        <v>45781</v>
      </c>
      <c r="F731" s="7" t="s">
        <v>40</v>
      </c>
      <c r="G731" s="8">
        <v>1</v>
      </c>
      <c r="H731" s="9">
        <v>15000</v>
      </c>
      <c r="I731" s="9">
        <v>15579</v>
      </c>
      <c r="J731" s="17">
        <v>1558</v>
      </c>
    </row>
    <row r="732" spans="1:10" x14ac:dyDescent="0.3">
      <c r="A732" s="14" t="s">
        <v>10</v>
      </c>
      <c r="B732" s="4" t="s">
        <v>11</v>
      </c>
      <c r="C732" s="4" t="s">
        <v>12</v>
      </c>
      <c r="D732" s="4" t="s">
        <v>97</v>
      </c>
      <c r="E732" s="13">
        <f t="shared" ca="1" si="11"/>
        <v>45966</v>
      </c>
      <c r="F732" s="4" t="s">
        <v>14</v>
      </c>
      <c r="G732" s="5">
        <v>8</v>
      </c>
      <c r="H732" s="6">
        <v>18500</v>
      </c>
      <c r="I732" s="6">
        <v>134517</v>
      </c>
      <c r="J732" s="16">
        <v>16142</v>
      </c>
    </row>
    <row r="733" spans="1:10" x14ac:dyDescent="0.3">
      <c r="A733" s="15" t="s">
        <v>10</v>
      </c>
      <c r="B733" s="7" t="s">
        <v>22</v>
      </c>
      <c r="C733" s="7" t="s">
        <v>23</v>
      </c>
      <c r="D733" s="7" t="s">
        <v>130</v>
      </c>
      <c r="E733" s="13">
        <f t="shared" ca="1" si="11"/>
        <v>45943</v>
      </c>
      <c r="F733" s="7" t="s">
        <v>21</v>
      </c>
      <c r="G733" s="8">
        <v>2</v>
      </c>
      <c r="H733" s="9">
        <v>12500</v>
      </c>
      <c r="I733" s="9">
        <v>25057</v>
      </c>
      <c r="J733" s="17">
        <v>2005</v>
      </c>
    </row>
    <row r="734" spans="1:10" x14ac:dyDescent="0.3">
      <c r="A734" s="14" t="s">
        <v>37</v>
      </c>
      <c r="B734" s="4" t="s">
        <v>88</v>
      </c>
      <c r="C734" s="4" t="s">
        <v>12</v>
      </c>
      <c r="D734" s="4" t="s">
        <v>193</v>
      </c>
      <c r="E734" s="13">
        <f t="shared" ca="1" si="11"/>
        <v>45754</v>
      </c>
      <c r="F734" s="4" t="s">
        <v>21</v>
      </c>
      <c r="G734" s="5">
        <v>2</v>
      </c>
      <c r="H734" s="6">
        <v>12500</v>
      </c>
      <c r="I734" s="6">
        <v>27342</v>
      </c>
      <c r="J734" s="16">
        <v>2187</v>
      </c>
    </row>
    <row r="735" spans="1:10" x14ac:dyDescent="0.3">
      <c r="A735" s="15" t="s">
        <v>37</v>
      </c>
      <c r="B735" s="7" t="s">
        <v>56</v>
      </c>
      <c r="C735" s="7" t="s">
        <v>23</v>
      </c>
      <c r="D735" s="7" t="s">
        <v>27</v>
      </c>
      <c r="E735" s="13">
        <f t="shared" ca="1" si="11"/>
        <v>45658</v>
      </c>
      <c r="F735" s="7" t="s">
        <v>40</v>
      </c>
      <c r="G735" s="8">
        <v>5</v>
      </c>
      <c r="H735" s="9">
        <v>15000</v>
      </c>
      <c r="I735" s="9">
        <v>79438</v>
      </c>
      <c r="J735" s="17">
        <v>7944</v>
      </c>
    </row>
    <row r="736" spans="1:10" x14ac:dyDescent="0.3">
      <c r="A736" s="14" t="s">
        <v>18</v>
      </c>
      <c r="B736" s="4" t="s">
        <v>22</v>
      </c>
      <c r="C736" s="4" t="s">
        <v>23</v>
      </c>
      <c r="D736" s="4" t="s">
        <v>245</v>
      </c>
      <c r="E736" s="13">
        <f t="shared" ca="1" si="11"/>
        <v>45746</v>
      </c>
      <c r="F736" s="4" t="s">
        <v>33</v>
      </c>
      <c r="G736" s="5">
        <v>8</v>
      </c>
      <c r="H736" s="6">
        <v>45000</v>
      </c>
      <c r="I736" s="6">
        <v>354781</v>
      </c>
      <c r="J736" s="16">
        <v>63861</v>
      </c>
    </row>
    <row r="737" spans="1:10" x14ac:dyDescent="0.3">
      <c r="A737" s="15" t="s">
        <v>37</v>
      </c>
      <c r="B737" s="7" t="s">
        <v>84</v>
      </c>
      <c r="C737" s="7" t="s">
        <v>12</v>
      </c>
      <c r="D737" s="7" t="s">
        <v>24</v>
      </c>
      <c r="E737" s="13">
        <f t="shared" ca="1" si="11"/>
        <v>45700</v>
      </c>
      <c r="F737" s="7" t="s">
        <v>33</v>
      </c>
      <c r="G737" s="8">
        <v>10</v>
      </c>
      <c r="H737" s="9">
        <v>45000</v>
      </c>
      <c r="I737" s="9">
        <v>413976</v>
      </c>
      <c r="J737" s="17">
        <v>74516</v>
      </c>
    </row>
    <row r="738" spans="1:10" x14ac:dyDescent="0.3">
      <c r="A738" s="14" t="s">
        <v>18</v>
      </c>
      <c r="B738" s="4" t="s">
        <v>46</v>
      </c>
      <c r="C738" s="4" t="s">
        <v>26</v>
      </c>
      <c r="D738" s="4" t="s">
        <v>96</v>
      </c>
      <c r="E738" s="13">
        <f t="shared" ca="1" si="11"/>
        <v>45689</v>
      </c>
      <c r="F738" s="4" t="s">
        <v>40</v>
      </c>
      <c r="G738" s="5">
        <v>5</v>
      </c>
      <c r="H738" s="6">
        <v>15000</v>
      </c>
      <c r="I738" s="6">
        <v>67628</v>
      </c>
      <c r="J738" s="16">
        <v>6763</v>
      </c>
    </row>
    <row r="739" spans="1:10" x14ac:dyDescent="0.3">
      <c r="A739" s="15" t="s">
        <v>15</v>
      </c>
      <c r="B739" s="7" t="s">
        <v>77</v>
      </c>
      <c r="C739" s="7" t="s">
        <v>12</v>
      </c>
      <c r="D739" s="7" t="s">
        <v>258</v>
      </c>
      <c r="E739" s="13">
        <f t="shared" ca="1" si="11"/>
        <v>45816</v>
      </c>
      <c r="F739" s="7" t="s">
        <v>21</v>
      </c>
      <c r="G739" s="8">
        <v>6</v>
      </c>
      <c r="H739" s="9">
        <v>12500</v>
      </c>
      <c r="I739" s="9">
        <v>80844</v>
      </c>
      <c r="J739" s="17">
        <v>6468</v>
      </c>
    </row>
    <row r="740" spans="1:10" x14ac:dyDescent="0.3">
      <c r="A740" s="14" t="s">
        <v>41</v>
      </c>
      <c r="B740" s="4" t="s">
        <v>84</v>
      </c>
      <c r="C740" s="4" t="s">
        <v>12</v>
      </c>
      <c r="D740" s="4" t="s">
        <v>257</v>
      </c>
      <c r="E740" s="13">
        <f t="shared" ca="1" si="11"/>
        <v>45760</v>
      </c>
      <c r="F740" s="4" t="s">
        <v>33</v>
      </c>
      <c r="G740" s="5">
        <v>3</v>
      </c>
      <c r="H740" s="6">
        <v>45000</v>
      </c>
      <c r="I740" s="6">
        <v>134903</v>
      </c>
      <c r="J740" s="16">
        <v>24283</v>
      </c>
    </row>
    <row r="741" spans="1:10" x14ac:dyDescent="0.3">
      <c r="A741" s="15" t="s">
        <v>10</v>
      </c>
      <c r="B741" s="7" t="s">
        <v>51</v>
      </c>
      <c r="C741" s="7" t="s">
        <v>12</v>
      </c>
      <c r="D741" s="7" t="s">
        <v>138</v>
      </c>
      <c r="E741" s="13">
        <f t="shared" ca="1" si="11"/>
        <v>45977</v>
      </c>
      <c r="F741" s="7" t="s">
        <v>40</v>
      </c>
      <c r="G741" s="8">
        <v>8</v>
      </c>
      <c r="H741" s="9">
        <v>15000</v>
      </c>
      <c r="I741" s="9">
        <v>121457</v>
      </c>
      <c r="J741" s="17">
        <v>12146</v>
      </c>
    </row>
    <row r="742" spans="1:10" x14ac:dyDescent="0.3">
      <c r="A742" s="14" t="s">
        <v>10</v>
      </c>
      <c r="B742" s="4" t="s">
        <v>56</v>
      </c>
      <c r="C742" s="4" t="s">
        <v>23</v>
      </c>
      <c r="D742" s="4" t="s">
        <v>117</v>
      </c>
      <c r="E742" s="13">
        <f t="shared" ca="1" si="11"/>
        <v>46005</v>
      </c>
      <c r="F742" s="4" t="s">
        <v>36</v>
      </c>
      <c r="G742" s="5">
        <v>2</v>
      </c>
      <c r="H742" s="6">
        <v>55000</v>
      </c>
      <c r="I742" s="6">
        <v>110980</v>
      </c>
      <c r="J742" s="16">
        <v>24416</v>
      </c>
    </row>
    <row r="743" spans="1:10" x14ac:dyDescent="0.3">
      <c r="A743" s="15" t="s">
        <v>41</v>
      </c>
      <c r="B743" s="7" t="s">
        <v>56</v>
      </c>
      <c r="C743" s="7" t="s">
        <v>23</v>
      </c>
      <c r="D743" s="7" t="s">
        <v>235</v>
      </c>
      <c r="E743" s="13">
        <f t="shared" ca="1" si="11"/>
        <v>45906</v>
      </c>
      <c r="F743" s="7" t="s">
        <v>36</v>
      </c>
      <c r="G743" s="8">
        <v>2</v>
      </c>
      <c r="H743" s="9">
        <v>55000</v>
      </c>
      <c r="I743" s="9">
        <v>114425</v>
      </c>
      <c r="J743" s="17">
        <v>25174</v>
      </c>
    </row>
    <row r="744" spans="1:10" x14ac:dyDescent="0.3">
      <c r="A744" s="14" t="s">
        <v>18</v>
      </c>
      <c r="B744" s="4" t="s">
        <v>77</v>
      </c>
      <c r="C744" s="4" t="s">
        <v>12</v>
      </c>
      <c r="D744" s="4" t="s">
        <v>34</v>
      </c>
      <c r="E744" s="13">
        <f t="shared" ca="1" si="11"/>
        <v>45844</v>
      </c>
      <c r="F744" s="4" t="s">
        <v>21</v>
      </c>
      <c r="G744" s="5">
        <v>1</v>
      </c>
      <c r="H744" s="6">
        <v>12500</v>
      </c>
      <c r="I744" s="6">
        <v>13409</v>
      </c>
      <c r="J744" s="16">
        <v>1073</v>
      </c>
    </row>
    <row r="745" spans="1:10" x14ac:dyDescent="0.3">
      <c r="A745" s="15" t="s">
        <v>10</v>
      </c>
      <c r="B745" s="7" t="s">
        <v>77</v>
      </c>
      <c r="C745" s="7" t="s">
        <v>12</v>
      </c>
      <c r="D745" s="7" t="s">
        <v>223</v>
      </c>
      <c r="E745" s="13">
        <f t="shared" ca="1" si="11"/>
        <v>46013</v>
      </c>
      <c r="F745" s="7" t="s">
        <v>14</v>
      </c>
      <c r="G745" s="8">
        <v>8</v>
      </c>
      <c r="H745" s="9">
        <v>18500</v>
      </c>
      <c r="I745" s="9">
        <v>133659</v>
      </c>
      <c r="J745" s="17">
        <v>16039</v>
      </c>
    </row>
    <row r="746" spans="1:10" x14ac:dyDescent="0.3">
      <c r="A746" s="14" t="s">
        <v>37</v>
      </c>
      <c r="B746" s="4" t="s">
        <v>88</v>
      </c>
      <c r="C746" s="4" t="s">
        <v>12</v>
      </c>
      <c r="D746" s="4" t="s">
        <v>122</v>
      </c>
      <c r="E746" s="13">
        <f t="shared" ca="1" si="11"/>
        <v>45918</v>
      </c>
      <c r="F746" s="4" t="s">
        <v>14</v>
      </c>
      <c r="G746" s="5">
        <v>7</v>
      </c>
      <c r="H746" s="6">
        <v>18500</v>
      </c>
      <c r="I746" s="6">
        <v>121120</v>
      </c>
      <c r="J746" s="16">
        <v>14534</v>
      </c>
    </row>
    <row r="747" spans="1:10" x14ac:dyDescent="0.3">
      <c r="A747" s="15" t="s">
        <v>10</v>
      </c>
      <c r="B747" s="7" t="s">
        <v>81</v>
      </c>
      <c r="C747" s="7" t="s">
        <v>26</v>
      </c>
      <c r="D747" s="7" t="s">
        <v>128</v>
      </c>
      <c r="E747" s="13">
        <f t="shared" ca="1" si="11"/>
        <v>45814</v>
      </c>
      <c r="F747" s="7" t="s">
        <v>33</v>
      </c>
      <c r="G747" s="8">
        <v>10</v>
      </c>
      <c r="H747" s="9">
        <v>45000</v>
      </c>
      <c r="I747" s="9">
        <v>460486</v>
      </c>
      <c r="J747" s="17">
        <v>82887</v>
      </c>
    </row>
    <row r="748" spans="1:10" x14ac:dyDescent="0.3">
      <c r="A748" s="14" t="s">
        <v>41</v>
      </c>
      <c r="B748" s="4" t="s">
        <v>56</v>
      </c>
      <c r="C748" s="4" t="s">
        <v>23</v>
      </c>
      <c r="D748" s="4" t="s">
        <v>89</v>
      </c>
      <c r="E748" s="13">
        <f t="shared" ca="1" si="11"/>
        <v>45710</v>
      </c>
      <c r="F748" s="4" t="s">
        <v>14</v>
      </c>
      <c r="G748" s="5">
        <v>1</v>
      </c>
      <c r="H748" s="6">
        <v>18500</v>
      </c>
      <c r="I748" s="6">
        <v>16821</v>
      </c>
      <c r="J748" s="16">
        <v>2019</v>
      </c>
    </row>
    <row r="749" spans="1:10" x14ac:dyDescent="0.3">
      <c r="A749" s="15" t="s">
        <v>10</v>
      </c>
      <c r="B749" s="7" t="s">
        <v>22</v>
      </c>
      <c r="C749" s="7" t="s">
        <v>23</v>
      </c>
      <c r="D749" s="7" t="s">
        <v>109</v>
      </c>
      <c r="E749" s="13">
        <f t="shared" ca="1" si="11"/>
        <v>45986</v>
      </c>
      <c r="F749" s="7" t="s">
        <v>40</v>
      </c>
      <c r="G749" s="8">
        <v>7</v>
      </c>
      <c r="H749" s="9">
        <v>15000</v>
      </c>
      <c r="I749" s="9">
        <v>99129</v>
      </c>
      <c r="J749" s="17">
        <v>9913</v>
      </c>
    </row>
    <row r="750" spans="1:10" x14ac:dyDescent="0.3">
      <c r="A750" s="14" t="s">
        <v>41</v>
      </c>
      <c r="B750" s="4" t="s">
        <v>31</v>
      </c>
      <c r="C750" s="4" t="s">
        <v>12</v>
      </c>
      <c r="D750" s="4" t="s">
        <v>97</v>
      </c>
      <c r="E750" s="13">
        <f t="shared" ca="1" si="11"/>
        <v>45732</v>
      </c>
      <c r="F750" s="4" t="s">
        <v>33</v>
      </c>
      <c r="G750" s="5">
        <v>6</v>
      </c>
      <c r="H750" s="6">
        <v>45000</v>
      </c>
      <c r="I750" s="6">
        <v>272184</v>
      </c>
      <c r="J750" s="16">
        <v>48993</v>
      </c>
    </row>
    <row r="751" spans="1:10" x14ac:dyDescent="0.3">
      <c r="A751" s="15" t="s">
        <v>37</v>
      </c>
      <c r="B751" s="7" t="s">
        <v>56</v>
      </c>
      <c r="C751" s="7" t="s">
        <v>23</v>
      </c>
      <c r="D751" s="7" t="s">
        <v>127</v>
      </c>
      <c r="E751" s="13">
        <f t="shared" ca="1" si="11"/>
        <v>45957</v>
      </c>
      <c r="F751" s="7" t="s">
        <v>21</v>
      </c>
      <c r="G751" s="8">
        <v>4</v>
      </c>
      <c r="H751" s="9">
        <v>12500</v>
      </c>
      <c r="I751" s="9">
        <v>46971</v>
      </c>
      <c r="J751" s="17">
        <v>3758</v>
      </c>
    </row>
    <row r="752" spans="1:10" x14ac:dyDescent="0.3">
      <c r="A752" s="14" t="s">
        <v>37</v>
      </c>
      <c r="B752" s="4" t="s">
        <v>84</v>
      </c>
      <c r="C752" s="4" t="s">
        <v>12</v>
      </c>
      <c r="D752" s="4" t="s">
        <v>61</v>
      </c>
      <c r="E752" s="13">
        <f t="shared" ca="1" si="11"/>
        <v>46000</v>
      </c>
      <c r="F752" s="4" t="s">
        <v>36</v>
      </c>
      <c r="G752" s="5">
        <v>9</v>
      </c>
      <c r="H752" s="6">
        <v>55000</v>
      </c>
      <c r="I752" s="6">
        <v>485801</v>
      </c>
      <c r="J752" s="16">
        <v>106876</v>
      </c>
    </row>
    <row r="753" spans="1:10" x14ac:dyDescent="0.3">
      <c r="A753" s="15" t="s">
        <v>18</v>
      </c>
      <c r="B753" s="7" t="s">
        <v>56</v>
      </c>
      <c r="C753" s="7" t="s">
        <v>23</v>
      </c>
      <c r="D753" s="7" t="s">
        <v>160</v>
      </c>
      <c r="E753" s="13">
        <f t="shared" ca="1" si="11"/>
        <v>45752</v>
      </c>
      <c r="F753" s="7" t="s">
        <v>33</v>
      </c>
      <c r="G753" s="8">
        <v>3</v>
      </c>
      <c r="H753" s="9">
        <v>45000</v>
      </c>
      <c r="I753" s="9">
        <v>145706</v>
      </c>
      <c r="J753" s="17">
        <v>26227</v>
      </c>
    </row>
    <row r="754" spans="1:10" x14ac:dyDescent="0.3">
      <c r="A754" s="14" t="s">
        <v>37</v>
      </c>
      <c r="B754" s="4" t="s">
        <v>38</v>
      </c>
      <c r="C754" s="4" t="s">
        <v>23</v>
      </c>
      <c r="D754" s="4" t="s">
        <v>42</v>
      </c>
      <c r="E754" s="13">
        <f t="shared" ca="1" si="11"/>
        <v>45684</v>
      </c>
      <c r="F754" s="4" t="s">
        <v>21</v>
      </c>
      <c r="G754" s="5">
        <v>7</v>
      </c>
      <c r="H754" s="6">
        <v>12500</v>
      </c>
      <c r="I754" s="6">
        <v>80146</v>
      </c>
      <c r="J754" s="16">
        <v>6412</v>
      </c>
    </row>
    <row r="755" spans="1:10" x14ac:dyDescent="0.3">
      <c r="A755" s="15" t="s">
        <v>10</v>
      </c>
      <c r="B755" s="7" t="s">
        <v>38</v>
      </c>
      <c r="C755" s="7" t="s">
        <v>23</v>
      </c>
      <c r="D755" s="7" t="s">
        <v>112</v>
      </c>
      <c r="E755" s="13">
        <f t="shared" ca="1" si="11"/>
        <v>45858</v>
      </c>
      <c r="F755" s="7" t="s">
        <v>21</v>
      </c>
      <c r="G755" s="8">
        <v>3</v>
      </c>
      <c r="H755" s="9">
        <v>12500</v>
      </c>
      <c r="I755" s="9">
        <v>36547</v>
      </c>
      <c r="J755" s="17">
        <v>2924</v>
      </c>
    </row>
    <row r="756" spans="1:10" x14ac:dyDescent="0.3">
      <c r="A756" s="14" t="s">
        <v>18</v>
      </c>
      <c r="B756" s="4" t="s">
        <v>22</v>
      </c>
      <c r="C756" s="4" t="s">
        <v>23</v>
      </c>
      <c r="D756" s="4" t="s">
        <v>223</v>
      </c>
      <c r="E756" s="13">
        <f t="shared" ca="1" si="11"/>
        <v>45937</v>
      </c>
      <c r="F756" s="4" t="s">
        <v>36</v>
      </c>
      <c r="G756" s="5">
        <v>4</v>
      </c>
      <c r="H756" s="6">
        <v>55000</v>
      </c>
      <c r="I756" s="6">
        <v>201344</v>
      </c>
      <c r="J756" s="16">
        <v>44296</v>
      </c>
    </row>
    <row r="757" spans="1:10" x14ac:dyDescent="0.3">
      <c r="A757" s="15" t="s">
        <v>41</v>
      </c>
      <c r="B757" s="7" t="s">
        <v>77</v>
      </c>
      <c r="C757" s="7" t="s">
        <v>12</v>
      </c>
      <c r="D757" s="7" t="s">
        <v>210</v>
      </c>
      <c r="E757" s="13">
        <f t="shared" ca="1" si="11"/>
        <v>45841</v>
      </c>
      <c r="F757" s="7" t="s">
        <v>33</v>
      </c>
      <c r="G757" s="8">
        <v>6</v>
      </c>
      <c r="H757" s="9">
        <v>45000</v>
      </c>
      <c r="I757" s="9">
        <v>251246</v>
      </c>
      <c r="J757" s="17">
        <v>45224</v>
      </c>
    </row>
    <row r="758" spans="1:10" x14ac:dyDescent="0.3">
      <c r="A758" s="14" t="s">
        <v>15</v>
      </c>
      <c r="B758" s="4" t="s">
        <v>84</v>
      </c>
      <c r="C758" s="4" t="s">
        <v>12</v>
      </c>
      <c r="D758" s="4" t="s">
        <v>258</v>
      </c>
      <c r="E758" s="13">
        <f t="shared" ca="1" si="11"/>
        <v>45803</v>
      </c>
      <c r="F758" s="4" t="s">
        <v>14</v>
      </c>
      <c r="G758" s="5">
        <v>2</v>
      </c>
      <c r="H758" s="6">
        <v>18500</v>
      </c>
      <c r="I758" s="6">
        <v>37348</v>
      </c>
      <c r="J758" s="16">
        <v>4482</v>
      </c>
    </row>
    <row r="759" spans="1:10" x14ac:dyDescent="0.3">
      <c r="A759" s="15" t="s">
        <v>15</v>
      </c>
      <c r="B759" s="7" t="s">
        <v>25</v>
      </c>
      <c r="C759" s="7" t="s">
        <v>26</v>
      </c>
      <c r="D759" s="7" t="s">
        <v>132</v>
      </c>
      <c r="E759" s="13">
        <f t="shared" ca="1" si="11"/>
        <v>45850</v>
      </c>
      <c r="F759" s="7" t="s">
        <v>33</v>
      </c>
      <c r="G759" s="8">
        <v>1</v>
      </c>
      <c r="H759" s="9">
        <v>45000</v>
      </c>
      <c r="I759" s="9">
        <v>44185</v>
      </c>
      <c r="J759" s="17">
        <v>7953</v>
      </c>
    </row>
    <row r="760" spans="1:10" x14ac:dyDescent="0.3">
      <c r="A760" s="14" t="s">
        <v>10</v>
      </c>
      <c r="B760" s="4" t="s">
        <v>84</v>
      </c>
      <c r="C760" s="4" t="s">
        <v>12</v>
      </c>
      <c r="D760" s="4" t="s">
        <v>32</v>
      </c>
      <c r="E760" s="13">
        <f t="shared" ca="1" si="11"/>
        <v>45684</v>
      </c>
      <c r="F760" s="4" t="s">
        <v>33</v>
      </c>
      <c r="G760" s="5">
        <v>8</v>
      </c>
      <c r="H760" s="6">
        <v>45000</v>
      </c>
      <c r="I760" s="6">
        <v>345628</v>
      </c>
      <c r="J760" s="16">
        <v>62213</v>
      </c>
    </row>
    <row r="761" spans="1:10" x14ac:dyDescent="0.3">
      <c r="A761" s="15" t="s">
        <v>37</v>
      </c>
      <c r="B761" s="7" t="s">
        <v>51</v>
      </c>
      <c r="C761" s="7" t="s">
        <v>12</v>
      </c>
      <c r="D761" s="7" t="s">
        <v>39</v>
      </c>
      <c r="E761" s="13">
        <f t="shared" ca="1" si="11"/>
        <v>45769</v>
      </c>
      <c r="F761" s="7" t="s">
        <v>33</v>
      </c>
      <c r="G761" s="8">
        <v>3</v>
      </c>
      <c r="H761" s="9">
        <v>45000</v>
      </c>
      <c r="I761" s="9">
        <v>135717</v>
      </c>
      <c r="J761" s="17">
        <v>24429</v>
      </c>
    </row>
    <row r="762" spans="1:10" x14ac:dyDescent="0.3">
      <c r="A762" s="14" t="s">
        <v>18</v>
      </c>
      <c r="B762" s="4" t="s">
        <v>11</v>
      </c>
      <c r="C762" s="4" t="s">
        <v>12</v>
      </c>
      <c r="D762" s="4" t="s">
        <v>231</v>
      </c>
      <c r="E762" s="13">
        <f t="shared" ca="1" si="11"/>
        <v>45728</v>
      </c>
      <c r="F762" s="4" t="s">
        <v>33</v>
      </c>
      <c r="G762" s="5">
        <v>8</v>
      </c>
      <c r="H762" s="6">
        <v>45000</v>
      </c>
      <c r="I762" s="6">
        <v>326937</v>
      </c>
      <c r="J762" s="16">
        <v>58849</v>
      </c>
    </row>
    <row r="763" spans="1:10" x14ac:dyDescent="0.3">
      <c r="A763" s="15" t="s">
        <v>41</v>
      </c>
      <c r="B763" s="7" t="s">
        <v>38</v>
      </c>
      <c r="C763" s="7" t="s">
        <v>23</v>
      </c>
      <c r="D763" s="7" t="s">
        <v>150</v>
      </c>
      <c r="E763" s="13">
        <f t="shared" ca="1" si="11"/>
        <v>45898</v>
      </c>
      <c r="F763" s="7" t="s">
        <v>21</v>
      </c>
      <c r="G763" s="8">
        <v>6</v>
      </c>
      <c r="H763" s="9">
        <v>12500</v>
      </c>
      <c r="I763" s="9">
        <v>69515</v>
      </c>
      <c r="J763" s="17">
        <v>5561</v>
      </c>
    </row>
    <row r="764" spans="1:10" x14ac:dyDescent="0.3">
      <c r="A764" s="14" t="s">
        <v>18</v>
      </c>
      <c r="B764" s="4" t="s">
        <v>22</v>
      </c>
      <c r="C764" s="4" t="s">
        <v>23</v>
      </c>
      <c r="D764" s="4" t="s">
        <v>174</v>
      </c>
      <c r="E764" s="13">
        <f t="shared" ca="1" si="11"/>
        <v>45787</v>
      </c>
      <c r="F764" s="4" t="s">
        <v>21</v>
      </c>
      <c r="G764" s="5">
        <v>8</v>
      </c>
      <c r="H764" s="6">
        <v>12500</v>
      </c>
      <c r="I764" s="6">
        <v>109485</v>
      </c>
      <c r="J764" s="16">
        <v>8759</v>
      </c>
    </row>
    <row r="765" spans="1:10" x14ac:dyDescent="0.3">
      <c r="A765" s="15" t="s">
        <v>18</v>
      </c>
      <c r="B765" s="7" t="s">
        <v>38</v>
      </c>
      <c r="C765" s="7" t="s">
        <v>23</v>
      </c>
      <c r="D765" s="7" t="s">
        <v>237</v>
      </c>
      <c r="E765" s="13">
        <f t="shared" ca="1" si="11"/>
        <v>45777</v>
      </c>
      <c r="F765" s="7" t="s">
        <v>40</v>
      </c>
      <c r="G765" s="8">
        <v>8</v>
      </c>
      <c r="H765" s="9">
        <v>15000</v>
      </c>
      <c r="I765" s="9">
        <v>119762</v>
      </c>
      <c r="J765" s="17">
        <v>11976</v>
      </c>
    </row>
    <row r="766" spans="1:10" x14ac:dyDescent="0.3">
      <c r="A766" s="14" t="s">
        <v>37</v>
      </c>
      <c r="B766" s="4" t="s">
        <v>56</v>
      </c>
      <c r="C766" s="4" t="s">
        <v>23</v>
      </c>
      <c r="D766" s="4" t="s">
        <v>114</v>
      </c>
      <c r="E766" s="13">
        <f t="shared" ca="1" si="11"/>
        <v>45789</v>
      </c>
      <c r="F766" s="4" t="s">
        <v>33</v>
      </c>
      <c r="G766" s="5">
        <v>8</v>
      </c>
      <c r="H766" s="6">
        <v>45000</v>
      </c>
      <c r="I766" s="6">
        <v>354168</v>
      </c>
      <c r="J766" s="16">
        <v>63750</v>
      </c>
    </row>
    <row r="767" spans="1:10" x14ac:dyDescent="0.3">
      <c r="A767" s="15" t="s">
        <v>10</v>
      </c>
      <c r="B767" s="7" t="s">
        <v>81</v>
      </c>
      <c r="C767" s="7" t="s">
        <v>26</v>
      </c>
      <c r="D767" s="7" t="s">
        <v>207</v>
      </c>
      <c r="E767" s="13">
        <f t="shared" ca="1" si="11"/>
        <v>46009</v>
      </c>
      <c r="F767" s="7" t="s">
        <v>40</v>
      </c>
      <c r="G767" s="8">
        <v>5</v>
      </c>
      <c r="H767" s="9">
        <v>15000</v>
      </c>
      <c r="I767" s="9">
        <v>72335</v>
      </c>
      <c r="J767" s="17">
        <v>7234</v>
      </c>
    </row>
    <row r="768" spans="1:10" x14ac:dyDescent="0.3">
      <c r="A768" s="14" t="s">
        <v>18</v>
      </c>
      <c r="B768" s="4" t="s">
        <v>84</v>
      </c>
      <c r="C768" s="4" t="s">
        <v>12</v>
      </c>
      <c r="D768" s="4" t="s">
        <v>244</v>
      </c>
      <c r="E768" s="13">
        <f t="shared" ca="1" si="11"/>
        <v>45756</v>
      </c>
      <c r="F768" s="4" t="s">
        <v>14</v>
      </c>
      <c r="G768" s="5">
        <v>4</v>
      </c>
      <c r="H768" s="6">
        <v>18500</v>
      </c>
      <c r="I768" s="6">
        <v>74306</v>
      </c>
      <c r="J768" s="16">
        <v>8917</v>
      </c>
    </row>
    <row r="769" spans="1:10" x14ac:dyDescent="0.3">
      <c r="A769" s="15" t="s">
        <v>15</v>
      </c>
      <c r="B769" s="7" t="s">
        <v>25</v>
      </c>
      <c r="C769" s="7" t="s">
        <v>26</v>
      </c>
      <c r="D769" s="7" t="s">
        <v>20</v>
      </c>
      <c r="E769" s="13">
        <f t="shared" ca="1" si="11"/>
        <v>45962</v>
      </c>
      <c r="F769" s="7" t="s">
        <v>21</v>
      </c>
      <c r="G769" s="8">
        <v>4</v>
      </c>
      <c r="H769" s="9">
        <v>12500</v>
      </c>
      <c r="I769" s="9">
        <v>51071</v>
      </c>
      <c r="J769" s="17">
        <v>4086</v>
      </c>
    </row>
    <row r="770" spans="1:10" x14ac:dyDescent="0.3">
      <c r="A770" s="14" t="s">
        <v>18</v>
      </c>
      <c r="B770" s="4" t="s">
        <v>88</v>
      </c>
      <c r="C770" s="4" t="s">
        <v>12</v>
      </c>
      <c r="D770" s="4" t="s">
        <v>177</v>
      </c>
      <c r="E770" s="13">
        <f t="shared" ca="1" si="11"/>
        <v>45992</v>
      </c>
      <c r="F770" s="4" t="s">
        <v>36</v>
      </c>
      <c r="G770" s="5">
        <v>2</v>
      </c>
      <c r="H770" s="6">
        <v>55000</v>
      </c>
      <c r="I770" s="6">
        <v>116662</v>
      </c>
      <c r="J770" s="16">
        <v>25666</v>
      </c>
    </row>
    <row r="771" spans="1:10" x14ac:dyDescent="0.3">
      <c r="A771" s="15" t="s">
        <v>41</v>
      </c>
      <c r="B771" s="7" t="s">
        <v>19</v>
      </c>
      <c r="C771" s="7" t="s">
        <v>12</v>
      </c>
      <c r="D771" s="7" t="s">
        <v>208</v>
      </c>
      <c r="E771" s="13">
        <f t="shared" ref="E771:E834" ca="1" si="12">DATE(2025,1,1)+RANDBETWEEN(0,364)</f>
        <v>45863</v>
      </c>
      <c r="F771" s="7" t="s">
        <v>40</v>
      </c>
      <c r="G771" s="8">
        <v>9</v>
      </c>
      <c r="H771" s="9">
        <v>15000</v>
      </c>
      <c r="I771" s="9">
        <v>134800</v>
      </c>
      <c r="J771" s="17">
        <v>13480</v>
      </c>
    </row>
    <row r="772" spans="1:10" x14ac:dyDescent="0.3">
      <c r="A772" s="14" t="s">
        <v>37</v>
      </c>
      <c r="B772" s="4" t="s">
        <v>29</v>
      </c>
      <c r="C772" s="4" t="s">
        <v>26</v>
      </c>
      <c r="D772" s="4" t="s">
        <v>122</v>
      </c>
      <c r="E772" s="13">
        <f t="shared" ca="1" si="12"/>
        <v>45994</v>
      </c>
      <c r="F772" s="4" t="s">
        <v>21</v>
      </c>
      <c r="G772" s="5">
        <v>3</v>
      </c>
      <c r="H772" s="6">
        <v>12500</v>
      </c>
      <c r="I772" s="6">
        <v>35239</v>
      </c>
      <c r="J772" s="16">
        <v>2819</v>
      </c>
    </row>
    <row r="773" spans="1:10" x14ac:dyDescent="0.3">
      <c r="A773" s="15" t="s">
        <v>18</v>
      </c>
      <c r="B773" s="7" t="s">
        <v>25</v>
      </c>
      <c r="C773" s="7" t="s">
        <v>26</v>
      </c>
      <c r="D773" s="7" t="s">
        <v>73</v>
      </c>
      <c r="E773" s="13">
        <f t="shared" ca="1" si="12"/>
        <v>45931</v>
      </c>
      <c r="F773" s="7" t="s">
        <v>40</v>
      </c>
      <c r="G773" s="8">
        <v>10</v>
      </c>
      <c r="H773" s="9">
        <v>15000</v>
      </c>
      <c r="I773" s="9">
        <v>139641</v>
      </c>
      <c r="J773" s="17">
        <v>13964</v>
      </c>
    </row>
    <row r="774" spans="1:10" x14ac:dyDescent="0.3">
      <c r="A774" s="14" t="s">
        <v>18</v>
      </c>
      <c r="B774" s="4" t="s">
        <v>31</v>
      </c>
      <c r="C774" s="4" t="s">
        <v>12</v>
      </c>
      <c r="D774" s="4" t="s">
        <v>116</v>
      </c>
      <c r="E774" s="13">
        <f t="shared" ca="1" si="12"/>
        <v>45764</v>
      </c>
      <c r="F774" s="4" t="s">
        <v>14</v>
      </c>
      <c r="G774" s="5">
        <v>2</v>
      </c>
      <c r="H774" s="6">
        <v>18500</v>
      </c>
      <c r="I774" s="6">
        <v>33609</v>
      </c>
      <c r="J774" s="16">
        <v>4033</v>
      </c>
    </row>
    <row r="775" spans="1:10" x14ac:dyDescent="0.3">
      <c r="A775" s="15" t="s">
        <v>10</v>
      </c>
      <c r="B775" s="7" t="s">
        <v>56</v>
      </c>
      <c r="C775" s="7" t="s">
        <v>23</v>
      </c>
      <c r="D775" s="7" t="s">
        <v>197</v>
      </c>
      <c r="E775" s="13">
        <f t="shared" ca="1" si="12"/>
        <v>45872</v>
      </c>
      <c r="F775" s="7" t="s">
        <v>14</v>
      </c>
      <c r="G775" s="8">
        <v>5</v>
      </c>
      <c r="H775" s="9">
        <v>18500</v>
      </c>
      <c r="I775" s="9">
        <v>93763</v>
      </c>
      <c r="J775" s="17">
        <v>11252</v>
      </c>
    </row>
    <row r="776" spans="1:10" x14ac:dyDescent="0.3">
      <c r="A776" s="14" t="s">
        <v>41</v>
      </c>
      <c r="B776" s="4" t="s">
        <v>31</v>
      </c>
      <c r="C776" s="4" t="s">
        <v>12</v>
      </c>
      <c r="D776" s="4" t="s">
        <v>52</v>
      </c>
      <c r="E776" s="13">
        <f t="shared" ca="1" si="12"/>
        <v>45839</v>
      </c>
      <c r="F776" s="4" t="s">
        <v>14</v>
      </c>
      <c r="G776" s="5">
        <v>5</v>
      </c>
      <c r="H776" s="6">
        <v>18500</v>
      </c>
      <c r="I776" s="6">
        <v>92479</v>
      </c>
      <c r="J776" s="16">
        <v>11097</v>
      </c>
    </row>
    <row r="777" spans="1:10" x14ac:dyDescent="0.3">
      <c r="A777" s="15" t="s">
        <v>15</v>
      </c>
      <c r="B777" s="7" t="s">
        <v>77</v>
      </c>
      <c r="C777" s="7" t="s">
        <v>12</v>
      </c>
      <c r="D777" s="7" t="s">
        <v>259</v>
      </c>
      <c r="E777" s="13">
        <f t="shared" ca="1" si="12"/>
        <v>45937</v>
      </c>
      <c r="F777" s="7" t="s">
        <v>21</v>
      </c>
      <c r="G777" s="8">
        <v>6</v>
      </c>
      <c r="H777" s="9">
        <v>12500</v>
      </c>
      <c r="I777" s="9">
        <v>70405</v>
      </c>
      <c r="J777" s="17">
        <v>5632</v>
      </c>
    </row>
    <row r="778" spans="1:10" x14ac:dyDescent="0.3">
      <c r="A778" s="14" t="s">
        <v>18</v>
      </c>
      <c r="B778" s="4" t="s">
        <v>19</v>
      </c>
      <c r="C778" s="4" t="s">
        <v>12</v>
      </c>
      <c r="D778" s="4" t="s">
        <v>96</v>
      </c>
      <c r="E778" s="13">
        <f t="shared" ca="1" si="12"/>
        <v>45747</v>
      </c>
      <c r="F778" s="4" t="s">
        <v>33</v>
      </c>
      <c r="G778" s="5">
        <v>3</v>
      </c>
      <c r="H778" s="6">
        <v>45000</v>
      </c>
      <c r="I778" s="6">
        <v>126738</v>
      </c>
      <c r="J778" s="16">
        <v>22813</v>
      </c>
    </row>
    <row r="779" spans="1:10" x14ac:dyDescent="0.3">
      <c r="A779" s="15" t="s">
        <v>37</v>
      </c>
      <c r="B779" s="7" t="s">
        <v>31</v>
      </c>
      <c r="C779" s="7" t="s">
        <v>12</v>
      </c>
      <c r="D779" s="7" t="s">
        <v>199</v>
      </c>
      <c r="E779" s="13">
        <f t="shared" ca="1" si="12"/>
        <v>45861</v>
      </c>
      <c r="F779" s="7" t="s">
        <v>36</v>
      </c>
      <c r="G779" s="8">
        <v>6</v>
      </c>
      <c r="H779" s="9">
        <v>55000</v>
      </c>
      <c r="I779" s="9">
        <v>316691</v>
      </c>
      <c r="J779" s="17">
        <v>69672</v>
      </c>
    </row>
    <row r="780" spans="1:10" x14ac:dyDescent="0.3">
      <c r="A780" s="14" t="s">
        <v>15</v>
      </c>
      <c r="B780" s="4" t="s">
        <v>31</v>
      </c>
      <c r="C780" s="4" t="s">
        <v>12</v>
      </c>
      <c r="D780" s="4" t="s">
        <v>104</v>
      </c>
      <c r="E780" s="13">
        <f t="shared" ca="1" si="12"/>
        <v>45728</v>
      </c>
      <c r="F780" s="4" t="s">
        <v>36</v>
      </c>
      <c r="G780" s="5">
        <v>4</v>
      </c>
      <c r="H780" s="6">
        <v>55000</v>
      </c>
      <c r="I780" s="6">
        <v>240358</v>
      </c>
      <c r="J780" s="16">
        <v>52879</v>
      </c>
    </row>
    <row r="781" spans="1:10" x14ac:dyDescent="0.3">
      <c r="A781" s="15" t="s">
        <v>37</v>
      </c>
      <c r="B781" s="7" t="s">
        <v>51</v>
      </c>
      <c r="C781" s="7" t="s">
        <v>12</v>
      </c>
      <c r="D781" s="7" t="s">
        <v>127</v>
      </c>
      <c r="E781" s="13">
        <f t="shared" ca="1" si="12"/>
        <v>46020</v>
      </c>
      <c r="F781" s="7" t="s">
        <v>33</v>
      </c>
      <c r="G781" s="8">
        <v>3</v>
      </c>
      <c r="H781" s="9">
        <v>45000</v>
      </c>
      <c r="I781" s="9">
        <v>121688</v>
      </c>
      <c r="J781" s="17">
        <v>21904</v>
      </c>
    </row>
    <row r="782" spans="1:10" x14ac:dyDescent="0.3">
      <c r="A782" s="14" t="s">
        <v>37</v>
      </c>
      <c r="B782" s="4" t="s">
        <v>11</v>
      </c>
      <c r="C782" s="4" t="s">
        <v>12</v>
      </c>
      <c r="D782" s="4" t="s">
        <v>236</v>
      </c>
      <c r="E782" s="13">
        <f t="shared" ca="1" si="12"/>
        <v>45883</v>
      </c>
      <c r="F782" s="4" t="s">
        <v>14</v>
      </c>
      <c r="G782" s="5">
        <v>5</v>
      </c>
      <c r="H782" s="6">
        <v>18500</v>
      </c>
      <c r="I782" s="6">
        <v>94872</v>
      </c>
      <c r="J782" s="16">
        <v>11385</v>
      </c>
    </row>
    <row r="783" spans="1:10" x14ac:dyDescent="0.3">
      <c r="A783" s="15" t="s">
        <v>37</v>
      </c>
      <c r="B783" s="7" t="s">
        <v>84</v>
      </c>
      <c r="C783" s="7" t="s">
        <v>12</v>
      </c>
      <c r="D783" s="7" t="s">
        <v>113</v>
      </c>
      <c r="E783" s="13">
        <f t="shared" ca="1" si="12"/>
        <v>46020</v>
      </c>
      <c r="F783" s="7" t="s">
        <v>40</v>
      </c>
      <c r="G783" s="8">
        <v>4</v>
      </c>
      <c r="H783" s="9">
        <v>15000</v>
      </c>
      <c r="I783" s="9">
        <v>62909</v>
      </c>
      <c r="J783" s="17">
        <v>6291</v>
      </c>
    </row>
    <row r="784" spans="1:10" x14ac:dyDescent="0.3">
      <c r="A784" s="14" t="s">
        <v>18</v>
      </c>
      <c r="B784" s="4" t="s">
        <v>16</v>
      </c>
      <c r="C784" s="4" t="s">
        <v>12</v>
      </c>
      <c r="D784" s="4" t="s">
        <v>27</v>
      </c>
      <c r="E784" s="13">
        <f t="shared" ca="1" si="12"/>
        <v>45750</v>
      </c>
      <c r="F784" s="4" t="s">
        <v>21</v>
      </c>
      <c r="G784" s="5">
        <v>3</v>
      </c>
      <c r="H784" s="6">
        <v>12500</v>
      </c>
      <c r="I784" s="6">
        <v>41157</v>
      </c>
      <c r="J784" s="16">
        <v>3293</v>
      </c>
    </row>
    <row r="785" spans="1:10" x14ac:dyDescent="0.3">
      <c r="A785" s="15" t="s">
        <v>37</v>
      </c>
      <c r="B785" s="7" t="s">
        <v>16</v>
      </c>
      <c r="C785" s="7" t="s">
        <v>12</v>
      </c>
      <c r="D785" s="7" t="s">
        <v>104</v>
      </c>
      <c r="E785" s="13">
        <f t="shared" ca="1" si="12"/>
        <v>45706</v>
      </c>
      <c r="F785" s="7" t="s">
        <v>14</v>
      </c>
      <c r="G785" s="8">
        <v>8</v>
      </c>
      <c r="H785" s="9">
        <v>18500</v>
      </c>
      <c r="I785" s="9">
        <v>140120</v>
      </c>
      <c r="J785" s="17">
        <v>16814</v>
      </c>
    </row>
    <row r="786" spans="1:10" x14ac:dyDescent="0.3">
      <c r="A786" s="14" t="s">
        <v>18</v>
      </c>
      <c r="B786" s="4" t="s">
        <v>46</v>
      </c>
      <c r="C786" s="4" t="s">
        <v>26</v>
      </c>
      <c r="D786" s="4" t="s">
        <v>145</v>
      </c>
      <c r="E786" s="13">
        <f t="shared" ca="1" si="12"/>
        <v>45900</v>
      </c>
      <c r="F786" s="4" t="s">
        <v>36</v>
      </c>
      <c r="G786" s="5">
        <v>2</v>
      </c>
      <c r="H786" s="6">
        <v>55000</v>
      </c>
      <c r="I786" s="6">
        <v>115224</v>
      </c>
      <c r="J786" s="16">
        <v>25349</v>
      </c>
    </row>
    <row r="787" spans="1:10" x14ac:dyDescent="0.3">
      <c r="A787" s="15" t="s">
        <v>10</v>
      </c>
      <c r="B787" s="7" t="s">
        <v>56</v>
      </c>
      <c r="C787" s="7" t="s">
        <v>23</v>
      </c>
      <c r="D787" s="7" t="s">
        <v>142</v>
      </c>
      <c r="E787" s="13">
        <f t="shared" ca="1" si="12"/>
        <v>45661</v>
      </c>
      <c r="F787" s="7" t="s">
        <v>36</v>
      </c>
      <c r="G787" s="8">
        <v>8</v>
      </c>
      <c r="H787" s="9">
        <v>55000</v>
      </c>
      <c r="I787" s="9">
        <v>468842</v>
      </c>
      <c r="J787" s="17">
        <v>103145</v>
      </c>
    </row>
    <row r="788" spans="1:10" x14ac:dyDescent="0.3">
      <c r="A788" s="14" t="s">
        <v>18</v>
      </c>
      <c r="B788" s="4" t="s">
        <v>25</v>
      </c>
      <c r="C788" s="4" t="s">
        <v>26</v>
      </c>
      <c r="D788" s="4" t="s">
        <v>52</v>
      </c>
      <c r="E788" s="13">
        <f t="shared" ca="1" si="12"/>
        <v>45727</v>
      </c>
      <c r="F788" s="4" t="s">
        <v>14</v>
      </c>
      <c r="G788" s="5">
        <v>6</v>
      </c>
      <c r="H788" s="6">
        <v>18500</v>
      </c>
      <c r="I788" s="6">
        <v>102517</v>
      </c>
      <c r="J788" s="16">
        <v>12302</v>
      </c>
    </row>
    <row r="789" spans="1:10" x14ac:dyDescent="0.3">
      <c r="A789" s="15" t="s">
        <v>18</v>
      </c>
      <c r="B789" s="7" t="s">
        <v>29</v>
      </c>
      <c r="C789" s="7" t="s">
        <v>26</v>
      </c>
      <c r="D789" s="7" t="s">
        <v>238</v>
      </c>
      <c r="E789" s="13">
        <f t="shared" ca="1" si="12"/>
        <v>45786</v>
      </c>
      <c r="F789" s="7" t="s">
        <v>33</v>
      </c>
      <c r="G789" s="8">
        <v>9</v>
      </c>
      <c r="H789" s="9">
        <v>45000</v>
      </c>
      <c r="I789" s="9">
        <v>388685</v>
      </c>
      <c r="J789" s="17">
        <v>69963</v>
      </c>
    </row>
    <row r="790" spans="1:10" x14ac:dyDescent="0.3">
      <c r="A790" s="14" t="s">
        <v>37</v>
      </c>
      <c r="B790" s="4" t="s">
        <v>56</v>
      </c>
      <c r="C790" s="4" t="s">
        <v>23</v>
      </c>
      <c r="D790" s="4" t="s">
        <v>59</v>
      </c>
      <c r="E790" s="13">
        <f t="shared" ca="1" si="12"/>
        <v>45697</v>
      </c>
      <c r="F790" s="4" t="s">
        <v>14</v>
      </c>
      <c r="G790" s="5">
        <v>7</v>
      </c>
      <c r="H790" s="6">
        <v>18500</v>
      </c>
      <c r="I790" s="6">
        <v>138828</v>
      </c>
      <c r="J790" s="16">
        <v>16659</v>
      </c>
    </row>
    <row r="791" spans="1:10" x14ac:dyDescent="0.3">
      <c r="A791" s="15" t="s">
        <v>37</v>
      </c>
      <c r="B791" s="7" t="s">
        <v>84</v>
      </c>
      <c r="C791" s="7" t="s">
        <v>12</v>
      </c>
      <c r="D791" s="7" t="s">
        <v>193</v>
      </c>
      <c r="E791" s="13">
        <f t="shared" ca="1" si="12"/>
        <v>45731</v>
      </c>
      <c r="F791" s="7" t="s">
        <v>33</v>
      </c>
      <c r="G791" s="8">
        <v>7</v>
      </c>
      <c r="H791" s="9">
        <v>45000</v>
      </c>
      <c r="I791" s="9">
        <v>289584</v>
      </c>
      <c r="J791" s="17">
        <v>52125</v>
      </c>
    </row>
    <row r="792" spans="1:10" x14ac:dyDescent="0.3">
      <c r="A792" s="14" t="s">
        <v>18</v>
      </c>
      <c r="B792" s="4" t="s">
        <v>81</v>
      </c>
      <c r="C792" s="4" t="s">
        <v>26</v>
      </c>
      <c r="D792" s="4" t="s">
        <v>89</v>
      </c>
      <c r="E792" s="13">
        <f t="shared" ca="1" si="12"/>
        <v>45802</v>
      </c>
      <c r="F792" s="4" t="s">
        <v>36</v>
      </c>
      <c r="G792" s="5">
        <v>6</v>
      </c>
      <c r="H792" s="6">
        <v>55000</v>
      </c>
      <c r="I792" s="6">
        <v>309005</v>
      </c>
      <c r="J792" s="16">
        <v>67981</v>
      </c>
    </row>
    <row r="793" spans="1:10" x14ac:dyDescent="0.3">
      <c r="A793" s="15" t="s">
        <v>18</v>
      </c>
      <c r="B793" s="7" t="s">
        <v>81</v>
      </c>
      <c r="C793" s="7" t="s">
        <v>26</v>
      </c>
      <c r="D793" s="7" t="s">
        <v>52</v>
      </c>
      <c r="E793" s="13">
        <f t="shared" ca="1" si="12"/>
        <v>45929</v>
      </c>
      <c r="F793" s="7" t="s">
        <v>33</v>
      </c>
      <c r="G793" s="8">
        <v>3</v>
      </c>
      <c r="H793" s="9">
        <v>45000</v>
      </c>
      <c r="I793" s="9">
        <v>125750</v>
      </c>
      <c r="J793" s="17">
        <v>22635</v>
      </c>
    </row>
    <row r="794" spans="1:10" x14ac:dyDescent="0.3">
      <c r="A794" s="14" t="s">
        <v>18</v>
      </c>
      <c r="B794" s="4" t="s">
        <v>25</v>
      </c>
      <c r="C794" s="4" t="s">
        <v>26</v>
      </c>
      <c r="D794" s="4" t="s">
        <v>95</v>
      </c>
      <c r="E794" s="13">
        <f t="shared" ca="1" si="12"/>
        <v>45691</v>
      </c>
      <c r="F794" s="4" t="s">
        <v>33</v>
      </c>
      <c r="G794" s="5">
        <v>10</v>
      </c>
      <c r="H794" s="6">
        <v>45000</v>
      </c>
      <c r="I794" s="6">
        <v>418599</v>
      </c>
      <c r="J794" s="16">
        <v>75348</v>
      </c>
    </row>
    <row r="795" spans="1:10" x14ac:dyDescent="0.3">
      <c r="A795" s="15" t="s">
        <v>15</v>
      </c>
      <c r="B795" s="7" t="s">
        <v>84</v>
      </c>
      <c r="C795" s="7" t="s">
        <v>12</v>
      </c>
      <c r="D795" s="7" t="s">
        <v>225</v>
      </c>
      <c r="E795" s="13">
        <f t="shared" ca="1" si="12"/>
        <v>45708</v>
      </c>
      <c r="F795" s="7" t="s">
        <v>40</v>
      </c>
      <c r="G795" s="8">
        <v>1</v>
      </c>
      <c r="H795" s="9">
        <v>15000</v>
      </c>
      <c r="I795" s="9">
        <v>15771</v>
      </c>
      <c r="J795" s="17">
        <v>1577</v>
      </c>
    </row>
    <row r="796" spans="1:10" x14ac:dyDescent="0.3">
      <c r="A796" s="14" t="s">
        <v>10</v>
      </c>
      <c r="B796" s="4" t="s">
        <v>16</v>
      </c>
      <c r="C796" s="4" t="s">
        <v>12</v>
      </c>
      <c r="D796" s="4" t="s">
        <v>71</v>
      </c>
      <c r="E796" s="13">
        <f t="shared" ca="1" si="12"/>
        <v>45852</v>
      </c>
      <c r="F796" s="4" t="s">
        <v>21</v>
      </c>
      <c r="G796" s="5">
        <v>5</v>
      </c>
      <c r="H796" s="6">
        <v>12500</v>
      </c>
      <c r="I796" s="6">
        <v>67793</v>
      </c>
      <c r="J796" s="16">
        <v>5423</v>
      </c>
    </row>
    <row r="797" spans="1:10" x14ac:dyDescent="0.3">
      <c r="A797" s="15" t="s">
        <v>15</v>
      </c>
      <c r="B797" s="7" t="s">
        <v>22</v>
      </c>
      <c r="C797" s="7" t="s">
        <v>23</v>
      </c>
      <c r="D797" s="7" t="s">
        <v>238</v>
      </c>
      <c r="E797" s="13">
        <f t="shared" ca="1" si="12"/>
        <v>45777</v>
      </c>
      <c r="F797" s="7" t="s">
        <v>14</v>
      </c>
      <c r="G797" s="8">
        <v>6</v>
      </c>
      <c r="H797" s="9">
        <v>18500</v>
      </c>
      <c r="I797" s="9">
        <v>112514</v>
      </c>
      <c r="J797" s="17">
        <v>13502</v>
      </c>
    </row>
    <row r="798" spans="1:10" x14ac:dyDescent="0.3">
      <c r="A798" s="14" t="s">
        <v>18</v>
      </c>
      <c r="B798" s="4" t="s">
        <v>29</v>
      </c>
      <c r="C798" s="4" t="s">
        <v>26</v>
      </c>
      <c r="D798" s="4" t="s">
        <v>209</v>
      </c>
      <c r="E798" s="13">
        <f t="shared" ca="1" si="12"/>
        <v>45992</v>
      </c>
      <c r="F798" s="4" t="s">
        <v>21</v>
      </c>
      <c r="G798" s="5">
        <v>8</v>
      </c>
      <c r="H798" s="6">
        <v>12500</v>
      </c>
      <c r="I798" s="6">
        <v>92883</v>
      </c>
      <c r="J798" s="16">
        <v>7431</v>
      </c>
    </row>
    <row r="799" spans="1:10" x14ac:dyDescent="0.3">
      <c r="A799" s="15" t="s">
        <v>37</v>
      </c>
      <c r="B799" s="7" t="s">
        <v>56</v>
      </c>
      <c r="C799" s="7" t="s">
        <v>23</v>
      </c>
      <c r="D799" s="7" t="s">
        <v>221</v>
      </c>
      <c r="E799" s="13">
        <f t="shared" ca="1" si="12"/>
        <v>45879</v>
      </c>
      <c r="F799" s="7" t="s">
        <v>36</v>
      </c>
      <c r="G799" s="8">
        <v>7</v>
      </c>
      <c r="H799" s="9">
        <v>55000</v>
      </c>
      <c r="I799" s="9">
        <v>365847</v>
      </c>
      <c r="J799" s="17">
        <v>80486</v>
      </c>
    </row>
    <row r="800" spans="1:10" x14ac:dyDescent="0.3">
      <c r="A800" s="14" t="s">
        <v>15</v>
      </c>
      <c r="B800" s="4" t="s">
        <v>29</v>
      </c>
      <c r="C800" s="4" t="s">
        <v>26</v>
      </c>
      <c r="D800" s="4" t="s">
        <v>177</v>
      </c>
      <c r="E800" s="13">
        <f t="shared" ca="1" si="12"/>
        <v>46017</v>
      </c>
      <c r="F800" s="4" t="s">
        <v>36</v>
      </c>
      <c r="G800" s="5">
        <v>8</v>
      </c>
      <c r="H800" s="6">
        <v>55000</v>
      </c>
      <c r="I800" s="6">
        <v>473916</v>
      </c>
      <c r="J800" s="16">
        <v>104262</v>
      </c>
    </row>
    <row r="801" spans="1:10" x14ac:dyDescent="0.3">
      <c r="A801" s="15" t="s">
        <v>15</v>
      </c>
      <c r="B801" s="7" t="s">
        <v>88</v>
      </c>
      <c r="C801" s="7" t="s">
        <v>12</v>
      </c>
      <c r="D801" s="7" t="s">
        <v>256</v>
      </c>
      <c r="E801" s="13">
        <f t="shared" ca="1" si="12"/>
        <v>45977</v>
      </c>
      <c r="F801" s="7" t="s">
        <v>33</v>
      </c>
      <c r="G801" s="8">
        <v>9</v>
      </c>
      <c r="H801" s="9">
        <v>45000</v>
      </c>
      <c r="I801" s="9">
        <v>401646</v>
      </c>
      <c r="J801" s="17">
        <v>72296</v>
      </c>
    </row>
    <row r="802" spans="1:10" x14ac:dyDescent="0.3">
      <c r="A802" s="14" t="s">
        <v>41</v>
      </c>
      <c r="B802" s="4" t="s">
        <v>77</v>
      </c>
      <c r="C802" s="4" t="s">
        <v>12</v>
      </c>
      <c r="D802" s="4" t="s">
        <v>148</v>
      </c>
      <c r="E802" s="13">
        <f t="shared" ca="1" si="12"/>
        <v>45908</v>
      </c>
      <c r="F802" s="4" t="s">
        <v>21</v>
      </c>
      <c r="G802" s="5">
        <v>5</v>
      </c>
      <c r="H802" s="6">
        <v>12500</v>
      </c>
      <c r="I802" s="6">
        <v>67254</v>
      </c>
      <c r="J802" s="16">
        <v>5380</v>
      </c>
    </row>
    <row r="803" spans="1:10" x14ac:dyDescent="0.3">
      <c r="A803" s="15" t="s">
        <v>15</v>
      </c>
      <c r="B803" s="7" t="s">
        <v>56</v>
      </c>
      <c r="C803" s="7" t="s">
        <v>23</v>
      </c>
      <c r="D803" s="7" t="s">
        <v>260</v>
      </c>
      <c r="E803" s="13">
        <f t="shared" ca="1" si="12"/>
        <v>45737</v>
      </c>
      <c r="F803" s="7" t="s">
        <v>36</v>
      </c>
      <c r="G803" s="8">
        <v>7</v>
      </c>
      <c r="H803" s="9">
        <v>55000</v>
      </c>
      <c r="I803" s="9">
        <v>376397</v>
      </c>
      <c r="J803" s="17">
        <v>82807</v>
      </c>
    </row>
    <row r="804" spans="1:10" x14ac:dyDescent="0.3">
      <c r="A804" s="14" t="s">
        <v>41</v>
      </c>
      <c r="B804" s="4" t="s">
        <v>19</v>
      </c>
      <c r="C804" s="4" t="s">
        <v>12</v>
      </c>
      <c r="D804" s="4" t="s">
        <v>85</v>
      </c>
      <c r="E804" s="13">
        <f t="shared" ca="1" si="12"/>
        <v>45694</v>
      </c>
      <c r="F804" s="4" t="s">
        <v>36</v>
      </c>
      <c r="G804" s="5">
        <v>2</v>
      </c>
      <c r="H804" s="6">
        <v>55000</v>
      </c>
      <c r="I804" s="6">
        <v>100141</v>
      </c>
      <c r="J804" s="16">
        <v>22031</v>
      </c>
    </row>
    <row r="805" spans="1:10" x14ac:dyDescent="0.3">
      <c r="A805" s="15" t="s">
        <v>18</v>
      </c>
      <c r="B805" s="7" t="s">
        <v>51</v>
      </c>
      <c r="C805" s="7" t="s">
        <v>12</v>
      </c>
      <c r="D805" s="7" t="s">
        <v>184</v>
      </c>
      <c r="E805" s="13">
        <f t="shared" ca="1" si="12"/>
        <v>45769</v>
      </c>
      <c r="F805" s="7" t="s">
        <v>14</v>
      </c>
      <c r="G805" s="8">
        <v>6</v>
      </c>
      <c r="H805" s="9">
        <v>18500</v>
      </c>
      <c r="I805" s="9">
        <v>102718</v>
      </c>
      <c r="J805" s="17">
        <v>12326</v>
      </c>
    </row>
    <row r="806" spans="1:10" x14ac:dyDescent="0.3">
      <c r="A806" s="14" t="s">
        <v>41</v>
      </c>
      <c r="B806" s="4" t="s">
        <v>46</v>
      </c>
      <c r="C806" s="4" t="s">
        <v>26</v>
      </c>
      <c r="D806" s="4" t="s">
        <v>73</v>
      </c>
      <c r="E806" s="13">
        <f t="shared" ca="1" si="12"/>
        <v>45722</v>
      </c>
      <c r="F806" s="4" t="s">
        <v>40</v>
      </c>
      <c r="G806" s="5">
        <v>8</v>
      </c>
      <c r="H806" s="6">
        <v>15000</v>
      </c>
      <c r="I806" s="6">
        <v>122953</v>
      </c>
      <c r="J806" s="16">
        <v>12295</v>
      </c>
    </row>
    <row r="807" spans="1:10" x14ac:dyDescent="0.3">
      <c r="A807" s="15" t="s">
        <v>10</v>
      </c>
      <c r="B807" s="7" t="s">
        <v>29</v>
      </c>
      <c r="C807" s="7" t="s">
        <v>26</v>
      </c>
      <c r="D807" s="7" t="s">
        <v>236</v>
      </c>
      <c r="E807" s="13">
        <f t="shared" ca="1" si="12"/>
        <v>45786</v>
      </c>
      <c r="F807" s="7" t="s">
        <v>36</v>
      </c>
      <c r="G807" s="8">
        <v>7</v>
      </c>
      <c r="H807" s="9">
        <v>55000</v>
      </c>
      <c r="I807" s="9">
        <v>381237</v>
      </c>
      <c r="J807" s="17">
        <v>83872</v>
      </c>
    </row>
    <row r="808" spans="1:10" x14ac:dyDescent="0.3">
      <c r="A808" s="14" t="s">
        <v>37</v>
      </c>
      <c r="B808" s="4" t="s">
        <v>81</v>
      </c>
      <c r="C808" s="4" t="s">
        <v>26</v>
      </c>
      <c r="D808" s="4" t="s">
        <v>243</v>
      </c>
      <c r="E808" s="13">
        <f t="shared" ca="1" si="12"/>
        <v>45816</v>
      </c>
      <c r="F808" s="4" t="s">
        <v>33</v>
      </c>
      <c r="G808" s="5">
        <v>5</v>
      </c>
      <c r="H808" s="6">
        <v>45000</v>
      </c>
      <c r="I808" s="6">
        <v>206446</v>
      </c>
      <c r="J808" s="16">
        <v>37160</v>
      </c>
    </row>
    <row r="809" spans="1:10" x14ac:dyDescent="0.3">
      <c r="A809" s="15" t="s">
        <v>37</v>
      </c>
      <c r="B809" s="7" t="s">
        <v>84</v>
      </c>
      <c r="C809" s="7" t="s">
        <v>12</v>
      </c>
      <c r="D809" s="7" t="s">
        <v>145</v>
      </c>
      <c r="E809" s="13">
        <f t="shared" ca="1" si="12"/>
        <v>45947</v>
      </c>
      <c r="F809" s="7" t="s">
        <v>14</v>
      </c>
      <c r="G809" s="8">
        <v>9</v>
      </c>
      <c r="H809" s="9">
        <v>18500</v>
      </c>
      <c r="I809" s="9">
        <v>174720</v>
      </c>
      <c r="J809" s="17">
        <v>20966</v>
      </c>
    </row>
    <row r="810" spans="1:10" x14ac:dyDescent="0.3">
      <c r="A810" s="14" t="s">
        <v>37</v>
      </c>
      <c r="B810" s="4" t="s">
        <v>77</v>
      </c>
      <c r="C810" s="4" t="s">
        <v>12</v>
      </c>
      <c r="D810" s="4" t="s">
        <v>224</v>
      </c>
      <c r="E810" s="13">
        <f t="shared" ca="1" si="12"/>
        <v>45874</v>
      </c>
      <c r="F810" s="4" t="s">
        <v>33</v>
      </c>
      <c r="G810" s="5">
        <v>9</v>
      </c>
      <c r="H810" s="6">
        <v>45000</v>
      </c>
      <c r="I810" s="6">
        <v>422271</v>
      </c>
      <c r="J810" s="16">
        <v>76009</v>
      </c>
    </row>
    <row r="811" spans="1:10" x14ac:dyDescent="0.3">
      <c r="A811" s="15" t="s">
        <v>41</v>
      </c>
      <c r="B811" s="7" t="s">
        <v>81</v>
      </c>
      <c r="C811" s="7" t="s">
        <v>26</v>
      </c>
      <c r="D811" s="7" t="s">
        <v>98</v>
      </c>
      <c r="E811" s="13">
        <f t="shared" ca="1" si="12"/>
        <v>45787</v>
      </c>
      <c r="F811" s="7" t="s">
        <v>14</v>
      </c>
      <c r="G811" s="8">
        <v>7</v>
      </c>
      <c r="H811" s="9">
        <v>18500</v>
      </c>
      <c r="I811" s="9">
        <v>128119</v>
      </c>
      <c r="J811" s="17">
        <v>15374</v>
      </c>
    </row>
    <row r="812" spans="1:10" x14ac:dyDescent="0.3">
      <c r="A812" s="14" t="s">
        <v>37</v>
      </c>
      <c r="B812" s="4" t="s">
        <v>88</v>
      </c>
      <c r="C812" s="4" t="s">
        <v>12</v>
      </c>
      <c r="D812" s="4" t="s">
        <v>103</v>
      </c>
      <c r="E812" s="13">
        <f t="shared" ca="1" si="12"/>
        <v>45840</v>
      </c>
      <c r="F812" s="4" t="s">
        <v>14</v>
      </c>
      <c r="G812" s="5">
        <v>3</v>
      </c>
      <c r="H812" s="6">
        <v>18500</v>
      </c>
      <c r="I812" s="6">
        <v>50415</v>
      </c>
      <c r="J812" s="16">
        <v>6050</v>
      </c>
    </row>
    <row r="813" spans="1:10" x14ac:dyDescent="0.3">
      <c r="A813" s="15" t="s">
        <v>41</v>
      </c>
      <c r="B813" s="7" t="s">
        <v>29</v>
      </c>
      <c r="C813" s="7" t="s">
        <v>26</v>
      </c>
      <c r="D813" s="7" t="s">
        <v>194</v>
      </c>
      <c r="E813" s="13">
        <f t="shared" ca="1" si="12"/>
        <v>46003</v>
      </c>
      <c r="F813" s="7" t="s">
        <v>21</v>
      </c>
      <c r="G813" s="8">
        <v>3</v>
      </c>
      <c r="H813" s="9">
        <v>12500</v>
      </c>
      <c r="I813" s="9">
        <v>37648</v>
      </c>
      <c r="J813" s="17">
        <v>3012</v>
      </c>
    </row>
    <row r="814" spans="1:10" x14ac:dyDescent="0.3">
      <c r="A814" s="14" t="s">
        <v>37</v>
      </c>
      <c r="B814" s="4" t="s">
        <v>88</v>
      </c>
      <c r="C814" s="4" t="s">
        <v>12</v>
      </c>
      <c r="D814" s="4" t="s">
        <v>69</v>
      </c>
      <c r="E814" s="13">
        <f t="shared" ca="1" si="12"/>
        <v>45864</v>
      </c>
      <c r="F814" s="4" t="s">
        <v>40</v>
      </c>
      <c r="G814" s="5">
        <v>4</v>
      </c>
      <c r="H814" s="6">
        <v>15000</v>
      </c>
      <c r="I814" s="6">
        <v>54352</v>
      </c>
      <c r="J814" s="16">
        <v>5435</v>
      </c>
    </row>
    <row r="815" spans="1:10" x14ac:dyDescent="0.3">
      <c r="A815" s="15" t="s">
        <v>37</v>
      </c>
      <c r="B815" s="7" t="s">
        <v>25</v>
      </c>
      <c r="C815" s="7" t="s">
        <v>26</v>
      </c>
      <c r="D815" s="7" t="s">
        <v>248</v>
      </c>
      <c r="E815" s="13">
        <f t="shared" ca="1" si="12"/>
        <v>45853</v>
      </c>
      <c r="F815" s="7" t="s">
        <v>36</v>
      </c>
      <c r="G815" s="8">
        <v>10</v>
      </c>
      <c r="H815" s="9">
        <v>55000</v>
      </c>
      <c r="I815" s="9">
        <v>509609</v>
      </c>
      <c r="J815" s="17">
        <v>112114</v>
      </c>
    </row>
    <row r="816" spans="1:10" x14ac:dyDescent="0.3">
      <c r="A816" s="14" t="s">
        <v>10</v>
      </c>
      <c r="B816" s="4" t="s">
        <v>84</v>
      </c>
      <c r="C816" s="4" t="s">
        <v>12</v>
      </c>
      <c r="D816" s="4" t="s">
        <v>53</v>
      </c>
      <c r="E816" s="13">
        <f t="shared" ca="1" si="12"/>
        <v>45816</v>
      </c>
      <c r="F816" s="4" t="s">
        <v>36</v>
      </c>
      <c r="G816" s="5">
        <v>9</v>
      </c>
      <c r="H816" s="6">
        <v>55000</v>
      </c>
      <c r="I816" s="6">
        <v>541159</v>
      </c>
      <c r="J816" s="16">
        <v>119055</v>
      </c>
    </row>
    <row r="817" spans="1:10" x14ac:dyDescent="0.3">
      <c r="A817" s="15" t="s">
        <v>41</v>
      </c>
      <c r="B817" s="7" t="s">
        <v>84</v>
      </c>
      <c r="C817" s="7" t="s">
        <v>12</v>
      </c>
      <c r="D817" s="7" t="s">
        <v>176</v>
      </c>
      <c r="E817" s="13">
        <f t="shared" ca="1" si="12"/>
        <v>45989</v>
      </c>
      <c r="F817" s="7" t="s">
        <v>33</v>
      </c>
      <c r="G817" s="8">
        <v>5</v>
      </c>
      <c r="H817" s="9">
        <v>45000</v>
      </c>
      <c r="I817" s="9">
        <v>205392</v>
      </c>
      <c r="J817" s="17">
        <v>36971</v>
      </c>
    </row>
    <row r="818" spans="1:10" x14ac:dyDescent="0.3">
      <c r="A818" s="14" t="s">
        <v>37</v>
      </c>
      <c r="B818" s="4" t="s">
        <v>84</v>
      </c>
      <c r="C818" s="4" t="s">
        <v>12</v>
      </c>
      <c r="D818" s="4" t="s">
        <v>103</v>
      </c>
      <c r="E818" s="13">
        <f t="shared" ca="1" si="12"/>
        <v>45729</v>
      </c>
      <c r="F818" s="4" t="s">
        <v>14</v>
      </c>
      <c r="G818" s="5">
        <v>8</v>
      </c>
      <c r="H818" s="6">
        <v>18500</v>
      </c>
      <c r="I818" s="6">
        <v>146265</v>
      </c>
      <c r="J818" s="16">
        <v>17552</v>
      </c>
    </row>
    <row r="819" spans="1:10" x14ac:dyDescent="0.3">
      <c r="A819" s="15" t="s">
        <v>41</v>
      </c>
      <c r="B819" s="7" t="s">
        <v>84</v>
      </c>
      <c r="C819" s="7" t="s">
        <v>12</v>
      </c>
      <c r="D819" s="7" t="s">
        <v>124</v>
      </c>
      <c r="E819" s="13">
        <f t="shared" ca="1" si="12"/>
        <v>45720</v>
      </c>
      <c r="F819" s="7" t="s">
        <v>36</v>
      </c>
      <c r="G819" s="8">
        <v>1</v>
      </c>
      <c r="H819" s="9">
        <v>55000</v>
      </c>
      <c r="I819" s="9">
        <v>52198</v>
      </c>
      <c r="J819" s="17">
        <v>11484</v>
      </c>
    </row>
    <row r="820" spans="1:10" x14ac:dyDescent="0.3">
      <c r="A820" s="14" t="s">
        <v>37</v>
      </c>
      <c r="B820" s="4" t="s">
        <v>56</v>
      </c>
      <c r="C820" s="4" t="s">
        <v>23</v>
      </c>
      <c r="D820" s="4" t="s">
        <v>100</v>
      </c>
      <c r="E820" s="13">
        <f t="shared" ca="1" si="12"/>
        <v>45658</v>
      </c>
      <c r="F820" s="4" t="s">
        <v>40</v>
      </c>
      <c r="G820" s="5">
        <v>2</v>
      </c>
      <c r="H820" s="6">
        <v>15000</v>
      </c>
      <c r="I820" s="6">
        <v>27715</v>
      </c>
      <c r="J820" s="16">
        <v>2772</v>
      </c>
    </row>
    <row r="821" spans="1:10" x14ac:dyDescent="0.3">
      <c r="A821" s="15" t="s">
        <v>18</v>
      </c>
      <c r="B821" s="7" t="s">
        <v>88</v>
      </c>
      <c r="C821" s="7" t="s">
        <v>12</v>
      </c>
      <c r="D821" s="7" t="s">
        <v>122</v>
      </c>
      <c r="E821" s="13">
        <f t="shared" ca="1" si="12"/>
        <v>45921</v>
      </c>
      <c r="F821" s="7" t="s">
        <v>33</v>
      </c>
      <c r="G821" s="8">
        <v>4</v>
      </c>
      <c r="H821" s="9">
        <v>45000</v>
      </c>
      <c r="I821" s="9">
        <v>165247</v>
      </c>
      <c r="J821" s="17">
        <v>29744</v>
      </c>
    </row>
    <row r="822" spans="1:10" x14ac:dyDescent="0.3">
      <c r="A822" s="14" t="s">
        <v>41</v>
      </c>
      <c r="B822" s="4" t="s">
        <v>16</v>
      </c>
      <c r="C822" s="4" t="s">
        <v>12</v>
      </c>
      <c r="D822" s="4" t="s">
        <v>211</v>
      </c>
      <c r="E822" s="13">
        <f t="shared" ca="1" si="12"/>
        <v>46019</v>
      </c>
      <c r="F822" s="4" t="s">
        <v>40</v>
      </c>
      <c r="G822" s="5">
        <v>5</v>
      </c>
      <c r="H822" s="6">
        <v>15000</v>
      </c>
      <c r="I822" s="6">
        <v>80677</v>
      </c>
      <c r="J822" s="16">
        <v>8068</v>
      </c>
    </row>
    <row r="823" spans="1:10" x14ac:dyDescent="0.3">
      <c r="A823" s="15" t="s">
        <v>37</v>
      </c>
      <c r="B823" s="7" t="s">
        <v>22</v>
      </c>
      <c r="C823" s="7" t="s">
        <v>23</v>
      </c>
      <c r="D823" s="7" t="s">
        <v>124</v>
      </c>
      <c r="E823" s="13">
        <f t="shared" ca="1" si="12"/>
        <v>45817</v>
      </c>
      <c r="F823" s="7" t="s">
        <v>40</v>
      </c>
      <c r="G823" s="8">
        <v>6</v>
      </c>
      <c r="H823" s="9">
        <v>15000</v>
      </c>
      <c r="I823" s="9">
        <v>85632</v>
      </c>
      <c r="J823" s="17">
        <v>8563</v>
      </c>
    </row>
    <row r="824" spans="1:10" x14ac:dyDescent="0.3">
      <c r="A824" s="14" t="s">
        <v>10</v>
      </c>
      <c r="B824" s="4" t="s">
        <v>77</v>
      </c>
      <c r="C824" s="4" t="s">
        <v>12</v>
      </c>
      <c r="D824" s="4" t="s">
        <v>137</v>
      </c>
      <c r="E824" s="13">
        <f t="shared" ca="1" si="12"/>
        <v>45765</v>
      </c>
      <c r="F824" s="4" t="s">
        <v>40</v>
      </c>
      <c r="G824" s="5">
        <v>9</v>
      </c>
      <c r="H824" s="6">
        <v>15000</v>
      </c>
      <c r="I824" s="6">
        <v>121944</v>
      </c>
      <c r="J824" s="16">
        <v>12194</v>
      </c>
    </row>
    <row r="825" spans="1:10" x14ac:dyDescent="0.3">
      <c r="A825" s="15" t="s">
        <v>41</v>
      </c>
      <c r="B825" s="7" t="s">
        <v>88</v>
      </c>
      <c r="C825" s="7" t="s">
        <v>12</v>
      </c>
      <c r="D825" s="7" t="s">
        <v>119</v>
      </c>
      <c r="E825" s="13">
        <f t="shared" ca="1" si="12"/>
        <v>45851</v>
      </c>
      <c r="F825" s="7" t="s">
        <v>21</v>
      </c>
      <c r="G825" s="8">
        <v>6</v>
      </c>
      <c r="H825" s="9">
        <v>12500</v>
      </c>
      <c r="I825" s="9">
        <v>70882</v>
      </c>
      <c r="J825" s="17">
        <v>5671</v>
      </c>
    </row>
    <row r="826" spans="1:10" x14ac:dyDescent="0.3">
      <c r="A826" s="14" t="s">
        <v>10</v>
      </c>
      <c r="B826" s="4" t="s">
        <v>29</v>
      </c>
      <c r="C826" s="4" t="s">
        <v>26</v>
      </c>
      <c r="D826" s="4" t="s">
        <v>202</v>
      </c>
      <c r="E826" s="13">
        <f t="shared" ca="1" si="12"/>
        <v>45724</v>
      </c>
      <c r="F826" s="4" t="s">
        <v>14</v>
      </c>
      <c r="G826" s="5">
        <v>8</v>
      </c>
      <c r="H826" s="6">
        <v>18500</v>
      </c>
      <c r="I826" s="6">
        <v>141131</v>
      </c>
      <c r="J826" s="16">
        <v>16936</v>
      </c>
    </row>
    <row r="827" spans="1:10" x14ac:dyDescent="0.3">
      <c r="A827" s="15" t="s">
        <v>37</v>
      </c>
      <c r="B827" s="7" t="s">
        <v>11</v>
      </c>
      <c r="C827" s="7" t="s">
        <v>12</v>
      </c>
      <c r="D827" s="7" t="s">
        <v>246</v>
      </c>
      <c r="E827" s="13">
        <f t="shared" ca="1" si="12"/>
        <v>45853</v>
      </c>
      <c r="F827" s="7" t="s">
        <v>14</v>
      </c>
      <c r="G827" s="8">
        <v>9</v>
      </c>
      <c r="H827" s="9">
        <v>18500</v>
      </c>
      <c r="I827" s="9">
        <v>173084</v>
      </c>
      <c r="J827" s="17">
        <v>20770</v>
      </c>
    </row>
    <row r="828" spans="1:10" x14ac:dyDescent="0.3">
      <c r="A828" s="14" t="s">
        <v>18</v>
      </c>
      <c r="B828" s="4" t="s">
        <v>31</v>
      </c>
      <c r="C828" s="4" t="s">
        <v>12</v>
      </c>
      <c r="D828" s="4" t="s">
        <v>207</v>
      </c>
      <c r="E828" s="13">
        <f t="shared" ca="1" si="12"/>
        <v>45793</v>
      </c>
      <c r="F828" s="4" t="s">
        <v>40</v>
      </c>
      <c r="G828" s="5">
        <v>1</v>
      </c>
      <c r="H828" s="6">
        <v>15000</v>
      </c>
      <c r="I828" s="6">
        <v>15324</v>
      </c>
      <c r="J828" s="16">
        <v>1532</v>
      </c>
    </row>
    <row r="829" spans="1:10" x14ac:dyDescent="0.3">
      <c r="A829" s="15" t="s">
        <v>41</v>
      </c>
      <c r="B829" s="7" t="s">
        <v>22</v>
      </c>
      <c r="C829" s="7" t="s">
        <v>23</v>
      </c>
      <c r="D829" s="7" t="s">
        <v>98</v>
      </c>
      <c r="E829" s="13">
        <f t="shared" ca="1" si="12"/>
        <v>45968</v>
      </c>
      <c r="F829" s="7" t="s">
        <v>40</v>
      </c>
      <c r="G829" s="8">
        <v>7</v>
      </c>
      <c r="H829" s="9">
        <v>15000</v>
      </c>
      <c r="I829" s="9">
        <v>110168</v>
      </c>
      <c r="J829" s="17">
        <v>11017</v>
      </c>
    </row>
    <row r="830" spans="1:10" x14ac:dyDescent="0.3">
      <c r="A830" s="14" t="s">
        <v>18</v>
      </c>
      <c r="B830" s="4" t="s">
        <v>84</v>
      </c>
      <c r="C830" s="4" t="s">
        <v>12</v>
      </c>
      <c r="D830" s="4" t="s">
        <v>55</v>
      </c>
      <c r="E830" s="13">
        <f t="shared" ca="1" si="12"/>
        <v>45667</v>
      </c>
      <c r="F830" s="4" t="s">
        <v>36</v>
      </c>
      <c r="G830" s="5">
        <v>5</v>
      </c>
      <c r="H830" s="6">
        <v>55000</v>
      </c>
      <c r="I830" s="6">
        <v>261360</v>
      </c>
      <c r="J830" s="16">
        <v>57499</v>
      </c>
    </row>
    <row r="831" spans="1:10" x14ac:dyDescent="0.3">
      <c r="A831" s="15" t="s">
        <v>18</v>
      </c>
      <c r="B831" s="7" t="s">
        <v>38</v>
      </c>
      <c r="C831" s="7" t="s">
        <v>23</v>
      </c>
      <c r="D831" s="7" t="s">
        <v>169</v>
      </c>
      <c r="E831" s="13">
        <f t="shared" ca="1" si="12"/>
        <v>45941</v>
      </c>
      <c r="F831" s="7" t="s">
        <v>14</v>
      </c>
      <c r="G831" s="8">
        <v>4</v>
      </c>
      <c r="H831" s="9">
        <v>18500</v>
      </c>
      <c r="I831" s="9">
        <v>76885</v>
      </c>
      <c r="J831" s="17">
        <v>9226</v>
      </c>
    </row>
    <row r="832" spans="1:10" x14ac:dyDescent="0.3">
      <c r="A832" s="14" t="s">
        <v>37</v>
      </c>
      <c r="B832" s="4" t="s">
        <v>46</v>
      </c>
      <c r="C832" s="4" t="s">
        <v>26</v>
      </c>
      <c r="D832" s="4" t="s">
        <v>207</v>
      </c>
      <c r="E832" s="13">
        <f t="shared" ca="1" si="12"/>
        <v>45715</v>
      </c>
      <c r="F832" s="4" t="s">
        <v>33</v>
      </c>
      <c r="G832" s="5">
        <v>6</v>
      </c>
      <c r="H832" s="6">
        <v>45000</v>
      </c>
      <c r="I832" s="6">
        <v>250503</v>
      </c>
      <c r="J832" s="16">
        <v>45091</v>
      </c>
    </row>
    <row r="833" spans="1:10" x14ac:dyDescent="0.3">
      <c r="A833" s="15" t="s">
        <v>10</v>
      </c>
      <c r="B833" s="7" t="s">
        <v>77</v>
      </c>
      <c r="C833" s="7" t="s">
        <v>12</v>
      </c>
      <c r="D833" s="7" t="s">
        <v>199</v>
      </c>
      <c r="E833" s="13">
        <f t="shared" ca="1" si="12"/>
        <v>45737</v>
      </c>
      <c r="F833" s="7" t="s">
        <v>40</v>
      </c>
      <c r="G833" s="8">
        <v>8</v>
      </c>
      <c r="H833" s="9">
        <v>15000</v>
      </c>
      <c r="I833" s="9">
        <v>123823</v>
      </c>
      <c r="J833" s="17">
        <v>12382</v>
      </c>
    </row>
    <row r="834" spans="1:10" x14ac:dyDescent="0.3">
      <c r="A834" s="14" t="s">
        <v>41</v>
      </c>
      <c r="B834" s="4" t="s">
        <v>38</v>
      </c>
      <c r="C834" s="4" t="s">
        <v>23</v>
      </c>
      <c r="D834" s="4" t="s">
        <v>241</v>
      </c>
      <c r="E834" s="13">
        <f t="shared" ca="1" si="12"/>
        <v>45674</v>
      </c>
      <c r="F834" s="4" t="s">
        <v>33</v>
      </c>
      <c r="G834" s="5">
        <v>4</v>
      </c>
      <c r="H834" s="6">
        <v>45000</v>
      </c>
      <c r="I834" s="6">
        <v>176122</v>
      </c>
      <c r="J834" s="16">
        <v>31702</v>
      </c>
    </row>
    <row r="835" spans="1:10" x14ac:dyDescent="0.3">
      <c r="A835" s="15" t="s">
        <v>18</v>
      </c>
      <c r="B835" s="7" t="s">
        <v>16</v>
      </c>
      <c r="C835" s="7" t="s">
        <v>12</v>
      </c>
      <c r="D835" s="7" t="s">
        <v>89</v>
      </c>
      <c r="E835" s="13">
        <f t="shared" ref="E835:E898" ca="1" si="13">DATE(2025,1,1)+RANDBETWEEN(0,364)</f>
        <v>46002</v>
      </c>
      <c r="F835" s="7" t="s">
        <v>40</v>
      </c>
      <c r="G835" s="8">
        <v>8</v>
      </c>
      <c r="H835" s="9">
        <v>15000</v>
      </c>
      <c r="I835" s="9">
        <v>131919</v>
      </c>
      <c r="J835" s="17">
        <v>13192</v>
      </c>
    </row>
    <row r="836" spans="1:10" x14ac:dyDescent="0.3">
      <c r="A836" s="14" t="s">
        <v>41</v>
      </c>
      <c r="B836" s="4" t="s">
        <v>88</v>
      </c>
      <c r="C836" s="4" t="s">
        <v>12</v>
      </c>
      <c r="D836" s="4" t="s">
        <v>59</v>
      </c>
      <c r="E836" s="13">
        <f t="shared" ca="1" si="13"/>
        <v>45844</v>
      </c>
      <c r="F836" s="4" t="s">
        <v>40</v>
      </c>
      <c r="G836" s="5">
        <v>7</v>
      </c>
      <c r="H836" s="6">
        <v>15000</v>
      </c>
      <c r="I836" s="6">
        <v>95314</v>
      </c>
      <c r="J836" s="16">
        <v>9531</v>
      </c>
    </row>
    <row r="837" spans="1:10" x14ac:dyDescent="0.3">
      <c r="A837" s="15" t="s">
        <v>10</v>
      </c>
      <c r="B837" s="7" t="s">
        <v>31</v>
      </c>
      <c r="C837" s="7" t="s">
        <v>12</v>
      </c>
      <c r="D837" s="7" t="s">
        <v>53</v>
      </c>
      <c r="E837" s="13">
        <f t="shared" ca="1" si="13"/>
        <v>45689</v>
      </c>
      <c r="F837" s="7" t="s">
        <v>14</v>
      </c>
      <c r="G837" s="8">
        <v>10</v>
      </c>
      <c r="H837" s="9">
        <v>18500</v>
      </c>
      <c r="I837" s="9">
        <v>180439</v>
      </c>
      <c r="J837" s="17">
        <v>21653</v>
      </c>
    </row>
    <row r="838" spans="1:10" x14ac:dyDescent="0.3">
      <c r="A838" s="14" t="s">
        <v>18</v>
      </c>
      <c r="B838" s="4" t="s">
        <v>29</v>
      </c>
      <c r="C838" s="4" t="s">
        <v>26</v>
      </c>
      <c r="D838" s="4" t="s">
        <v>162</v>
      </c>
      <c r="E838" s="13">
        <f t="shared" ca="1" si="13"/>
        <v>45852</v>
      </c>
      <c r="F838" s="4" t="s">
        <v>36</v>
      </c>
      <c r="G838" s="5">
        <v>8</v>
      </c>
      <c r="H838" s="6">
        <v>55000</v>
      </c>
      <c r="I838" s="6">
        <v>408511</v>
      </c>
      <c r="J838" s="16">
        <v>89872</v>
      </c>
    </row>
    <row r="839" spans="1:10" x14ac:dyDescent="0.3">
      <c r="A839" s="15" t="s">
        <v>41</v>
      </c>
      <c r="B839" s="7" t="s">
        <v>81</v>
      </c>
      <c r="C839" s="7" t="s">
        <v>26</v>
      </c>
      <c r="D839" s="7" t="s">
        <v>225</v>
      </c>
      <c r="E839" s="13">
        <f t="shared" ca="1" si="13"/>
        <v>45911</v>
      </c>
      <c r="F839" s="7" t="s">
        <v>36</v>
      </c>
      <c r="G839" s="8">
        <v>9</v>
      </c>
      <c r="H839" s="9">
        <v>55000</v>
      </c>
      <c r="I839" s="9">
        <v>481712</v>
      </c>
      <c r="J839" s="17">
        <v>105977</v>
      </c>
    </row>
    <row r="840" spans="1:10" x14ac:dyDescent="0.3">
      <c r="A840" s="14" t="s">
        <v>37</v>
      </c>
      <c r="B840" s="4" t="s">
        <v>22</v>
      </c>
      <c r="C840" s="4" t="s">
        <v>23</v>
      </c>
      <c r="D840" s="4" t="s">
        <v>87</v>
      </c>
      <c r="E840" s="13">
        <f t="shared" ca="1" si="13"/>
        <v>45970</v>
      </c>
      <c r="F840" s="4" t="s">
        <v>21</v>
      </c>
      <c r="G840" s="5">
        <v>5</v>
      </c>
      <c r="H840" s="6">
        <v>12500</v>
      </c>
      <c r="I840" s="6">
        <v>60256</v>
      </c>
      <c r="J840" s="16">
        <v>4820</v>
      </c>
    </row>
    <row r="841" spans="1:10" x14ac:dyDescent="0.3">
      <c r="A841" s="15" t="s">
        <v>10</v>
      </c>
      <c r="B841" s="7" t="s">
        <v>46</v>
      </c>
      <c r="C841" s="7" t="s">
        <v>26</v>
      </c>
      <c r="D841" s="7" t="s">
        <v>175</v>
      </c>
      <c r="E841" s="13">
        <f t="shared" ca="1" si="13"/>
        <v>45885</v>
      </c>
      <c r="F841" s="7" t="s">
        <v>14</v>
      </c>
      <c r="G841" s="8">
        <v>7</v>
      </c>
      <c r="H841" s="9">
        <v>18500</v>
      </c>
      <c r="I841" s="9">
        <v>121222</v>
      </c>
      <c r="J841" s="17">
        <v>14547</v>
      </c>
    </row>
    <row r="842" spans="1:10" x14ac:dyDescent="0.3">
      <c r="A842" s="14" t="s">
        <v>41</v>
      </c>
      <c r="B842" s="4" t="s">
        <v>77</v>
      </c>
      <c r="C842" s="4" t="s">
        <v>12</v>
      </c>
      <c r="D842" s="4" t="s">
        <v>188</v>
      </c>
      <c r="E842" s="13">
        <f t="shared" ca="1" si="13"/>
        <v>45944</v>
      </c>
      <c r="F842" s="4" t="s">
        <v>36</v>
      </c>
      <c r="G842" s="5">
        <v>3</v>
      </c>
      <c r="H842" s="6">
        <v>55000</v>
      </c>
      <c r="I842" s="6">
        <v>176188</v>
      </c>
      <c r="J842" s="16">
        <v>38761</v>
      </c>
    </row>
    <row r="843" spans="1:10" x14ac:dyDescent="0.3">
      <c r="A843" s="15" t="s">
        <v>15</v>
      </c>
      <c r="B843" s="7" t="s">
        <v>29</v>
      </c>
      <c r="C843" s="7" t="s">
        <v>26</v>
      </c>
      <c r="D843" s="7" t="s">
        <v>60</v>
      </c>
      <c r="E843" s="13">
        <f t="shared" ca="1" si="13"/>
        <v>45860</v>
      </c>
      <c r="F843" s="7" t="s">
        <v>21</v>
      </c>
      <c r="G843" s="8">
        <v>7</v>
      </c>
      <c r="H843" s="9">
        <v>12500</v>
      </c>
      <c r="I843" s="9">
        <v>91674</v>
      </c>
      <c r="J843" s="17">
        <v>7334</v>
      </c>
    </row>
    <row r="844" spans="1:10" x14ac:dyDescent="0.3">
      <c r="A844" s="14" t="s">
        <v>10</v>
      </c>
      <c r="B844" s="4" t="s">
        <v>38</v>
      </c>
      <c r="C844" s="4" t="s">
        <v>23</v>
      </c>
      <c r="D844" s="4" t="s">
        <v>179</v>
      </c>
      <c r="E844" s="13">
        <f t="shared" ca="1" si="13"/>
        <v>46015</v>
      </c>
      <c r="F844" s="4" t="s">
        <v>33</v>
      </c>
      <c r="G844" s="5">
        <v>3</v>
      </c>
      <c r="H844" s="6">
        <v>45000</v>
      </c>
      <c r="I844" s="6">
        <v>128592</v>
      </c>
      <c r="J844" s="16">
        <v>23147</v>
      </c>
    </row>
    <row r="845" spans="1:10" x14ac:dyDescent="0.3">
      <c r="A845" s="15" t="s">
        <v>41</v>
      </c>
      <c r="B845" s="7" t="s">
        <v>84</v>
      </c>
      <c r="C845" s="7" t="s">
        <v>12</v>
      </c>
      <c r="D845" s="7" t="s">
        <v>249</v>
      </c>
      <c r="E845" s="13">
        <f t="shared" ca="1" si="13"/>
        <v>45858</v>
      </c>
      <c r="F845" s="7" t="s">
        <v>40</v>
      </c>
      <c r="G845" s="8">
        <v>10</v>
      </c>
      <c r="H845" s="9">
        <v>15000</v>
      </c>
      <c r="I845" s="9">
        <v>143006</v>
      </c>
      <c r="J845" s="17">
        <v>14301</v>
      </c>
    </row>
    <row r="846" spans="1:10" x14ac:dyDescent="0.3">
      <c r="A846" s="14" t="s">
        <v>41</v>
      </c>
      <c r="B846" s="4" t="s">
        <v>88</v>
      </c>
      <c r="C846" s="4" t="s">
        <v>12</v>
      </c>
      <c r="D846" s="4" t="s">
        <v>200</v>
      </c>
      <c r="E846" s="13">
        <f t="shared" ca="1" si="13"/>
        <v>45731</v>
      </c>
      <c r="F846" s="4" t="s">
        <v>21</v>
      </c>
      <c r="G846" s="5">
        <v>7</v>
      </c>
      <c r="H846" s="6">
        <v>12500</v>
      </c>
      <c r="I846" s="6">
        <v>92235</v>
      </c>
      <c r="J846" s="16">
        <v>7379</v>
      </c>
    </row>
    <row r="847" spans="1:10" x14ac:dyDescent="0.3">
      <c r="A847" s="15" t="s">
        <v>15</v>
      </c>
      <c r="B847" s="7" t="s">
        <v>77</v>
      </c>
      <c r="C847" s="7" t="s">
        <v>12</v>
      </c>
      <c r="D847" s="7" t="s">
        <v>60</v>
      </c>
      <c r="E847" s="13">
        <f t="shared" ca="1" si="13"/>
        <v>45659</v>
      </c>
      <c r="F847" s="7" t="s">
        <v>36</v>
      </c>
      <c r="G847" s="8">
        <v>2</v>
      </c>
      <c r="H847" s="9">
        <v>55000</v>
      </c>
      <c r="I847" s="9">
        <v>116064</v>
      </c>
      <c r="J847" s="17">
        <v>25534</v>
      </c>
    </row>
    <row r="848" spans="1:10" x14ac:dyDescent="0.3">
      <c r="A848" s="14" t="s">
        <v>37</v>
      </c>
      <c r="B848" s="4" t="s">
        <v>31</v>
      </c>
      <c r="C848" s="4" t="s">
        <v>12</v>
      </c>
      <c r="D848" s="4" t="s">
        <v>107</v>
      </c>
      <c r="E848" s="13">
        <f t="shared" ca="1" si="13"/>
        <v>45981</v>
      </c>
      <c r="F848" s="4" t="s">
        <v>40</v>
      </c>
      <c r="G848" s="5">
        <v>7</v>
      </c>
      <c r="H848" s="6">
        <v>15000</v>
      </c>
      <c r="I848" s="6">
        <v>95522</v>
      </c>
      <c r="J848" s="16">
        <v>9552</v>
      </c>
    </row>
    <row r="849" spans="1:10" x14ac:dyDescent="0.3">
      <c r="A849" s="15" t="s">
        <v>41</v>
      </c>
      <c r="B849" s="7" t="s">
        <v>25</v>
      </c>
      <c r="C849" s="7" t="s">
        <v>26</v>
      </c>
      <c r="D849" s="7" t="s">
        <v>247</v>
      </c>
      <c r="E849" s="13">
        <f t="shared" ca="1" si="13"/>
        <v>45857</v>
      </c>
      <c r="F849" s="7" t="s">
        <v>33</v>
      </c>
      <c r="G849" s="8">
        <v>1</v>
      </c>
      <c r="H849" s="9">
        <v>45000</v>
      </c>
      <c r="I849" s="9">
        <v>41993</v>
      </c>
      <c r="J849" s="17">
        <v>7559</v>
      </c>
    </row>
    <row r="850" spans="1:10" x14ac:dyDescent="0.3">
      <c r="A850" s="14" t="s">
        <v>37</v>
      </c>
      <c r="B850" s="4" t="s">
        <v>29</v>
      </c>
      <c r="C850" s="4" t="s">
        <v>26</v>
      </c>
      <c r="D850" s="4" t="s">
        <v>17</v>
      </c>
      <c r="E850" s="13">
        <f t="shared" ca="1" si="13"/>
        <v>45996</v>
      </c>
      <c r="F850" s="4" t="s">
        <v>21</v>
      </c>
      <c r="G850" s="5">
        <v>8</v>
      </c>
      <c r="H850" s="6">
        <v>12500</v>
      </c>
      <c r="I850" s="6">
        <v>90618</v>
      </c>
      <c r="J850" s="16">
        <v>7249</v>
      </c>
    </row>
    <row r="851" spans="1:10" x14ac:dyDescent="0.3">
      <c r="A851" s="15" t="s">
        <v>18</v>
      </c>
      <c r="B851" s="7" t="s">
        <v>51</v>
      </c>
      <c r="C851" s="7" t="s">
        <v>12</v>
      </c>
      <c r="D851" s="7" t="s">
        <v>213</v>
      </c>
      <c r="E851" s="13">
        <f t="shared" ca="1" si="13"/>
        <v>46020</v>
      </c>
      <c r="F851" s="7" t="s">
        <v>21</v>
      </c>
      <c r="G851" s="8">
        <v>10</v>
      </c>
      <c r="H851" s="9">
        <v>12500</v>
      </c>
      <c r="I851" s="9">
        <v>118621</v>
      </c>
      <c r="J851" s="17">
        <v>9490</v>
      </c>
    </row>
    <row r="852" spans="1:10" x14ac:dyDescent="0.3">
      <c r="A852" s="14" t="s">
        <v>37</v>
      </c>
      <c r="B852" s="4" t="s">
        <v>25</v>
      </c>
      <c r="C852" s="4" t="s">
        <v>26</v>
      </c>
      <c r="D852" s="4" t="s">
        <v>137</v>
      </c>
      <c r="E852" s="13">
        <f t="shared" ca="1" si="13"/>
        <v>45995</v>
      </c>
      <c r="F852" s="4" t="s">
        <v>21</v>
      </c>
      <c r="G852" s="5">
        <v>5</v>
      </c>
      <c r="H852" s="6">
        <v>12500</v>
      </c>
      <c r="I852" s="6">
        <v>60538</v>
      </c>
      <c r="J852" s="16">
        <v>4843</v>
      </c>
    </row>
    <row r="853" spans="1:10" x14ac:dyDescent="0.3">
      <c r="A853" s="15" t="s">
        <v>15</v>
      </c>
      <c r="B853" s="7" t="s">
        <v>46</v>
      </c>
      <c r="C853" s="7" t="s">
        <v>26</v>
      </c>
      <c r="D853" s="7" t="s">
        <v>112</v>
      </c>
      <c r="E853" s="13">
        <f t="shared" ca="1" si="13"/>
        <v>45987</v>
      </c>
      <c r="F853" s="7" t="s">
        <v>14</v>
      </c>
      <c r="G853" s="8">
        <v>3</v>
      </c>
      <c r="H853" s="9">
        <v>18500</v>
      </c>
      <c r="I853" s="9">
        <v>50969</v>
      </c>
      <c r="J853" s="17">
        <v>6116</v>
      </c>
    </row>
    <row r="854" spans="1:10" x14ac:dyDescent="0.3">
      <c r="A854" s="14" t="s">
        <v>10</v>
      </c>
      <c r="B854" s="4" t="s">
        <v>46</v>
      </c>
      <c r="C854" s="4" t="s">
        <v>26</v>
      </c>
      <c r="D854" s="4" t="s">
        <v>169</v>
      </c>
      <c r="E854" s="13">
        <f t="shared" ca="1" si="13"/>
        <v>45975</v>
      </c>
      <c r="F854" s="4" t="s">
        <v>33</v>
      </c>
      <c r="G854" s="5">
        <v>4</v>
      </c>
      <c r="H854" s="6">
        <v>45000</v>
      </c>
      <c r="I854" s="6">
        <v>187140</v>
      </c>
      <c r="J854" s="16">
        <v>33685</v>
      </c>
    </row>
    <row r="855" spans="1:10" x14ac:dyDescent="0.3">
      <c r="A855" s="15" t="s">
        <v>10</v>
      </c>
      <c r="B855" s="7" t="s">
        <v>46</v>
      </c>
      <c r="C855" s="7" t="s">
        <v>26</v>
      </c>
      <c r="D855" s="7" t="s">
        <v>143</v>
      </c>
      <c r="E855" s="13">
        <f t="shared" ca="1" si="13"/>
        <v>45727</v>
      </c>
      <c r="F855" s="7" t="s">
        <v>36</v>
      </c>
      <c r="G855" s="8">
        <v>6</v>
      </c>
      <c r="H855" s="9">
        <v>55000</v>
      </c>
      <c r="I855" s="9">
        <v>350560</v>
      </c>
      <c r="J855" s="17">
        <v>77123</v>
      </c>
    </row>
    <row r="856" spans="1:10" x14ac:dyDescent="0.3">
      <c r="A856" s="14" t="s">
        <v>41</v>
      </c>
      <c r="B856" s="4" t="s">
        <v>11</v>
      </c>
      <c r="C856" s="4" t="s">
        <v>12</v>
      </c>
      <c r="D856" s="4" t="s">
        <v>105</v>
      </c>
      <c r="E856" s="13">
        <f t="shared" ca="1" si="13"/>
        <v>45959</v>
      </c>
      <c r="F856" s="4" t="s">
        <v>33</v>
      </c>
      <c r="G856" s="5">
        <v>8</v>
      </c>
      <c r="H856" s="6">
        <v>45000</v>
      </c>
      <c r="I856" s="6">
        <v>337796</v>
      </c>
      <c r="J856" s="16">
        <v>60803</v>
      </c>
    </row>
    <row r="857" spans="1:10" x14ac:dyDescent="0.3">
      <c r="A857" s="15" t="s">
        <v>10</v>
      </c>
      <c r="B857" s="7" t="s">
        <v>51</v>
      </c>
      <c r="C857" s="7" t="s">
        <v>12</v>
      </c>
      <c r="D857" s="7" t="s">
        <v>141</v>
      </c>
      <c r="E857" s="13">
        <f t="shared" ca="1" si="13"/>
        <v>45972</v>
      </c>
      <c r="F857" s="7" t="s">
        <v>33</v>
      </c>
      <c r="G857" s="8">
        <v>10</v>
      </c>
      <c r="H857" s="9">
        <v>45000</v>
      </c>
      <c r="I857" s="9">
        <v>418718</v>
      </c>
      <c r="J857" s="17">
        <v>75369</v>
      </c>
    </row>
    <row r="858" spans="1:10" x14ac:dyDescent="0.3">
      <c r="A858" s="14" t="s">
        <v>10</v>
      </c>
      <c r="B858" s="4" t="s">
        <v>25</v>
      </c>
      <c r="C858" s="4" t="s">
        <v>26</v>
      </c>
      <c r="D858" s="4" t="s">
        <v>228</v>
      </c>
      <c r="E858" s="13">
        <f t="shared" ca="1" si="13"/>
        <v>45802</v>
      </c>
      <c r="F858" s="4" t="s">
        <v>36</v>
      </c>
      <c r="G858" s="5">
        <v>2</v>
      </c>
      <c r="H858" s="6">
        <v>55000</v>
      </c>
      <c r="I858" s="6">
        <v>104502</v>
      </c>
      <c r="J858" s="16">
        <v>22990</v>
      </c>
    </row>
    <row r="859" spans="1:10" x14ac:dyDescent="0.3">
      <c r="A859" s="15" t="s">
        <v>18</v>
      </c>
      <c r="B859" s="7" t="s">
        <v>38</v>
      </c>
      <c r="C859" s="7" t="s">
        <v>23</v>
      </c>
      <c r="D859" s="7" t="s">
        <v>190</v>
      </c>
      <c r="E859" s="13">
        <f t="shared" ca="1" si="13"/>
        <v>45735</v>
      </c>
      <c r="F859" s="7" t="s">
        <v>40</v>
      </c>
      <c r="G859" s="8">
        <v>3</v>
      </c>
      <c r="H859" s="9">
        <v>15000</v>
      </c>
      <c r="I859" s="9">
        <v>40894</v>
      </c>
      <c r="J859" s="17">
        <v>4089</v>
      </c>
    </row>
    <row r="860" spans="1:10" x14ac:dyDescent="0.3">
      <c r="A860" s="14" t="s">
        <v>41</v>
      </c>
      <c r="B860" s="4" t="s">
        <v>16</v>
      </c>
      <c r="C860" s="4" t="s">
        <v>12</v>
      </c>
      <c r="D860" s="4" t="s">
        <v>260</v>
      </c>
      <c r="E860" s="13">
        <f t="shared" ca="1" si="13"/>
        <v>45731</v>
      </c>
      <c r="F860" s="4" t="s">
        <v>14</v>
      </c>
      <c r="G860" s="5">
        <v>7</v>
      </c>
      <c r="H860" s="6">
        <v>18500</v>
      </c>
      <c r="I860" s="6">
        <v>121844</v>
      </c>
      <c r="J860" s="16">
        <v>14621</v>
      </c>
    </row>
    <row r="861" spans="1:10" x14ac:dyDescent="0.3">
      <c r="A861" s="15" t="s">
        <v>41</v>
      </c>
      <c r="B861" s="7" t="s">
        <v>88</v>
      </c>
      <c r="C861" s="7" t="s">
        <v>12</v>
      </c>
      <c r="D861" s="7" t="s">
        <v>156</v>
      </c>
      <c r="E861" s="13">
        <f t="shared" ca="1" si="13"/>
        <v>45961</v>
      </c>
      <c r="F861" s="7" t="s">
        <v>33</v>
      </c>
      <c r="G861" s="8">
        <v>2</v>
      </c>
      <c r="H861" s="9">
        <v>45000</v>
      </c>
      <c r="I861" s="9">
        <v>90307</v>
      </c>
      <c r="J861" s="17">
        <v>16255</v>
      </c>
    </row>
    <row r="862" spans="1:10" x14ac:dyDescent="0.3">
      <c r="A862" s="14" t="s">
        <v>10</v>
      </c>
      <c r="B862" s="4" t="s">
        <v>16</v>
      </c>
      <c r="C862" s="4" t="s">
        <v>12</v>
      </c>
      <c r="D862" s="4" t="s">
        <v>145</v>
      </c>
      <c r="E862" s="13">
        <f t="shared" ca="1" si="13"/>
        <v>45791</v>
      </c>
      <c r="F862" s="4" t="s">
        <v>14</v>
      </c>
      <c r="G862" s="5">
        <v>10</v>
      </c>
      <c r="H862" s="6">
        <v>18500</v>
      </c>
      <c r="I862" s="6">
        <v>202114</v>
      </c>
      <c r="J862" s="16">
        <v>24254</v>
      </c>
    </row>
    <row r="863" spans="1:10" x14ac:dyDescent="0.3">
      <c r="A863" s="15" t="s">
        <v>10</v>
      </c>
      <c r="B863" s="7" t="s">
        <v>22</v>
      </c>
      <c r="C863" s="7" t="s">
        <v>23</v>
      </c>
      <c r="D863" s="7" t="s">
        <v>221</v>
      </c>
      <c r="E863" s="13">
        <f t="shared" ca="1" si="13"/>
        <v>45944</v>
      </c>
      <c r="F863" s="7" t="s">
        <v>14</v>
      </c>
      <c r="G863" s="8">
        <v>6</v>
      </c>
      <c r="H863" s="9">
        <v>18500</v>
      </c>
      <c r="I863" s="9">
        <v>105199</v>
      </c>
      <c r="J863" s="17">
        <v>12624</v>
      </c>
    </row>
    <row r="864" spans="1:10" x14ac:dyDescent="0.3">
      <c r="A864" s="14" t="s">
        <v>37</v>
      </c>
      <c r="B864" s="4" t="s">
        <v>84</v>
      </c>
      <c r="C864" s="4" t="s">
        <v>12</v>
      </c>
      <c r="D864" s="4" t="s">
        <v>127</v>
      </c>
      <c r="E864" s="13">
        <f t="shared" ca="1" si="13"/>
        <v>45994</v>
      </c>
      <c r="F864" s="4" t="s">
        <v>40</v>
      </c>
      <c r="G864" s="5">
        <v>2</v>
      </c>
      <c r="H864" s="6">
        <v>15000</v>
      </c>
      <c r="I864" s="6">
        <v>31295</v>
      </c>
      <c r="J864" s="16">
        <v>3130</v>
      </c>
    </row>
    <row r="865" spans="1:10" x14ac:dyDescent="0.3">
      <c r="A865" s="15" t="s">
        <v>37</v>
      </c>
      <c r="B865" s="7" t="s">
        <v>88</v>
      </c>
      <c r="C865" s="7" t="s">
        <v>12</v>
      </c>
      <c r="D865" s="7" t="s">
        <v>103</v>
      </c>
      <c r="E865" s="13">
        <f t="shared" ca="1" si="13"/>
        <v>45829</v>
      </c>
      <c r="F865" s="7" t="s">
        <v>14</v>
      </c>
      <c r="G865" s="8">
        <v>5</v>
      </c>
      <c r="H865" s="9">
        <v>18500</v>
      </c>
      <c r="I865" s="9">
        <v>83445</v>
      </c>
      <c r="J865" s="17">
        <v>10013</v>
      </c>
    </row>
    <row r="866" spans="1:10" x14ac:dyDescent="0.3">
      <c r="A866" s="14" t="s">
        <v>10</v>
      </c>
      <c r="B866" s="4" t="s">
        <v>31</v>
      </c>
      <c r="C866" s="4" t="s">
        <v>12</v>
      </c>
      <c r="D866" s="4" t="s">
        <v>224</v>
      </c>
      <c r="E866" s="13">
        <f t="shared" ca="1" si="13"/>
        <v>45689</v>
      </c>
      <c r="F866" s="4" t="s">
        <v>14</v>
      </c>
      <c r="G866" s="5">
        <v>9</v>
      </c>
      <c r="H866" s="6">
        <v>18500</v>
      </c>
      <c r="I866" s="6">
        <v>166262</v>
      </c>
      <c r="J866" s="16">
        <v>19951</v>
      </c>
    </row>
    <row r="867" spans="1:10" x14ac:dyDescent="0.3">
      <c r="A867" s="15" t="s">
        <v>41</v>
      </c>
      <c r="B867" s="7" t="s">
        <v>25</v>
      </c>
      <c r="C867" s="7" t="s">
        <v>26</v>
      </c>
      <c r="D867" s="7" t="s">
        <v>109</v>
      </c>
      <c r="E867" s="13">
        <f t="shared" ca="1" si="13"/>
        <v>45712</v>
      </c>
      <c r="F867" s="7" t="s">
        <v>40</v>
      </c>
      <c r="G867" s="8">
        <v>9</v>
      </c>
      <c r="H867" s="9">
        <v>15000</v>
      </c>
      <c r="I867" s="9">
        <v>134247</v>
      </c>
      <c r="J867" s="17">
        <v>13425</v>
      </c>
    </row>
    <row r="868" spans="1:10" x14ac:dyDescent="0.3">
      <c r="A868" s="14" t="s">
        <v>18</v>
      </c>
      <c r="B868" s="4" t="s">
        <v>56</v>
      </c>
      <c r="C868" s="4" t="s">
        <v>23</v>
      </c>
      <c r="D868" s="4" t="s">
        <v>65</v>
      </c>
      <c r="E868" s="13">
        <f t="shared" ca="1" si="13"/>
        <v>45825</v>
      </c>
      <c r="F868" s="4" t="s">
        <v>14</v>
      </c>
      <c r="G868" s="5">
        <v>4</v>
      </c>
      <c r="H868" s="6">
        <v>18500</v>
      </c>
      <c r="I868" s="6">
        <v>70841</v>
      </c>
      <c r="J868" s="16">
        <v>8501</v>
      </c>
    </row>
    <row r="869" spans="1:10" x14ac:dyDescent="0.3">
      <c r="A869" s="15" t="s">
        <v>37</v>
      </c>
      <c r="B869" s="7" t="s">
        <v>56</v>
      </c>
      <c r="C869" s="7" t="s">
        <v>23</v>
      </c>
      <c r="D869" s="7" t="s">
        <v>260</v>
      </c>
      <c r="E869" s="13">
        <f t="shared" ca="1" si="13"/>
        <v>45779</v>
      </c>
      <c r="F869" s="7" t="s">
        <v>36</v>
      </c>
      <c r="G869" s="8">
        <v>4</v>
      </c>
      <c r="H869" s="9">
        <v>55000</v>
      </c>
      <c r="I869" s="9">
        <v>202039</v>
      </c>
      <c r="J869" s="17">
        <v>44449</v>
      </c>
    </row>
    <row r="870" spans="1:10" x14ac:dyDescent="0.3">
      <c r="A870" s="14" t="s">
        <v>41</v>
      </c>
      <c r="B870" s="4" t="s">
        <v>31</v>
      </c>
      <c r="C870" s="4" t="s">
        <v>12</v>
      </c>
      <c r="D870" s="4" t="s">
        <v>223</v>
      </c>
      <c r="E870" s="13">
        <f t="shared" ca="1" si="13"/>
        <v>45738</v>
      </c>
      <c r="F870" s="4" t="s">
        <v>36</v>
      </c>
      <c r="G870" s="5">
        <v>2</v>
      </c>
      <c r="H870" s="6">
        <v>55000</v>
      </c>
      <c r="I870" s="6">
        <v>107489</v>
      </c>
      <c r="J870" s="16">
        <v>23648</v>
      </c>
    </row>
    <row r="871" spans="1:10" x14ac:dyDescent="0.3">
      <c r="A871" s="15" t="s">
        <v>37</v>
      </c>
      <c r="B871" s="7" t="s">
        <v>84</v>
      </c>
      <c r="C871" s="7" t="s">
        <v>12</v>
      </c>
      <c r="D871" s="7" t="s">
        <v>75</v>
      </c>
      <c r="E871" s="13">
        <f t="shared" ca="1" si="13"/>
        <v>45977</v>
      </c>
      <c r="F871" s="7" t="s">
        <v>40</v>
      </c>
      <c r="G871" s="8">
        <v>3</v>
      </c>
      <c r="H871" s="9">
        <v>15000</v>
      </c>
      <c r="I871" s="9">
        <v>41091</v>
      </c>
      <c r="J871" s="17">
        <v>4109</v>
      </c>
    </row>
    <row r="872" spans="1:10" x14ac:dyDescent="0.3">
      <c r="A872" s="14" t="s">
        <v>10</v>
      </c>
      <c r="B872" s="4" t="s">
        <v>16</v>
      </c>
      <c r="C872" s="4" t="s">
        <v>12</v>
      </c>
      <c r="D872" s="4" t="s">
        <v>54</v>
      </c>
      <c r="E872" s="13">
        <f t="shared" ca="1" si="13"/>
        <v>45822</v>
      </c>
      <c r="F872" s="4" t="s">
        <v>36</v>
      </c>
      <c r="G872" s="5">
        <v>9</v>
      </c>
      <c r="H872" s="6">
        <v>55000</v>
      </c>
      <c r="I872" s="6">
        <v>509723</v>
      </c>
      <c r="J872" s="16">
        <v>112139</v>
      </c>
    </row>
    <row r="873" spans="1:10" x14ac:dyDescent="0.3">
      <c r="A873" s="15" t="s">
        <v>15</v>
      </c>
      <c r="B873" s="7" t="s">
        <v>29</v>
      </c>
      <c r="C873" s="7" t="s">
        <v>26</v>
      </c>
      <c r="D873" s="7" t="s">
        <v>98</v>
      </c>
      <c r="E873" s="13">
        <f t="shared" ca="1" si="13"/>
        <v>45755</v>
      </c>
      <c r="F873" s="7" t="s">
        <v>33</v>
      </c>
      <c r="G873" s="8">
        <v>6</v>
      </c>
      <c r="H873" s="9">
        <v>45000</v>
      </c>
      <c r="I873" s="9">
        <v>293550</v>
      </c>
      <c r="J873" s="17">
        <v>52839</v>
      </c>
    </row>
    <row r="874" spans="1:10" x14ac:dyDescent="0.3">
      <c r="A874" s="14" t="s">
        <v>41</v>
      </c>
      <c r="B874" s="4" t="s">
        <v>51</v>
      </c>
      <c r="C874" s="4" t="s">
        <v>12</v>
      </c>
      <c r="D874" s="4" t="s">
        <v>113</v>
      </c>
      <c r="E874" s="13">
        <f t="shared" ca="1" si="13"/>
        <v>45859</v>
      </c>
      <c r="F874" s="4" t="s">
        <v>33</v>
      </c>
      <c r="G874" s="5">
        <v>9</v>
      </c>
      <c r="H874" s="6">
        <v>45000</v>
      </c>
      <c r="I874" s="6">
        <v>403556</v>
      </c>
      <c r="J874" s="16">
        <v>72640</v>
      </c>
    </row>
    <row r="875" spans="1:10" x14ac:dyDescent="0.3">
      <c r="A875" s="15" t="s">
        <v>18</v>
      </c>
      <c r="B875" s="7" t="s">
        <v>29</v>
      </c>
      <c r="C875" s="7" t="s">
        <v>26</v>
      </c>
      <c r="D875" s="7" t="s">
        <v>129</v>
      </c>
      <c r="E875" s="13">
        <f t="shared" ca="1" si="13"/>
        <v>45883</v>
      </c>
      <c r="F875" s="7" t="s">
        <v>33</v>
      </c>
      <c r="G875" s="8">
        <v>8</v>
      </c>
      <c r="H875" s="9">
        <v>45000</v>
      </c>
      <c r="I875" s="9">
        <v>394518</v>
      </c>
      <c r="J875" s="17">
        <v>71013</v>
      </c>
    </row>
    <row r="876" spans="1:10" x14ac:dyDescent="0.3">
      <c r="A876" s="14" t="s">
        <v>15</v>
      </c>
      <c r="B876" s="4" t="s">
        <v>22</v>
      </c>
      <c r="C876" s="4" t="s">
        <v>23</v>
      </c>
      <c r="D876" s="4" t="s">
        <v>98</v>
      </c>
      <c r="E876" s="13">
        <f t="shared" ca="1" si="13"/>
        <v>45861</v>
      </c>
      <c r="F876" s="4" t="s">
        <v>21</v>
      </c>
      <c r="G876" s="5">
        <v>4</v>
      </c>
      <c r="H876" s="6">
        <v>12500</v>
      </c>
      <c r="I876" s="6">
        <v>51281</v>
      </c>
      <c r="J876" s="16">
        <v>4102</v>
      </c>
    </row>
    <row r="877" spans="1:10" x14ac:dyDescent="0.3">
      <c r="A877" s="15" t="s">
        <v>10</v>
      </c>
      <c r="B877" s="7" t="s">
        <v>88</v>
      </c>
      <c r="C877" s="7" t="s">
        <v>12</v>
      </c>
      <c r="D877" s="7" t="s">
        <v>207</v>
      </c>
      <c r="E877" s="13">
        <f t="shared" ca="1" si="13"/>
        <v>45944</v>
      </c>
      <c r="F877" s="7" t="s">
        <v>21</v>
      </c>
      <c r="G877" s="8">
        <v>3</v>
      </c>
      <c r="H877" s="9">
        <v>12500</v>
      </c>
      <c r="I877" s="9">
        <v>40991</v>
      </c>
      <c r="J877" s="17">
        <v>3279</v>
      </c>
    </row>
    <row r="878" spans="1:10" x14ac:dyDescent="0.3">
      <c r="A878" s="14" t="s">
        <v>18</v>
      </c>
      <c r="B878" s="4" t="s">
        <v>19</v>
      </c>
      <c r="C878" s="4" t="s">
        <v>12</v>
      </c>
      <c r="D878" s="4" t="s">
        <v>191</v>
      </c>
      <c r="E878" s="13">
        <f t="shared" ca="1" si="13"/>
        <v>45939</v>
      </c>
      <c r="F878" s="4" t="s">
        <v>36</v>
      </c>
      <c r="G878" s="5">
        <v>6</v>
      </c>
      <c r="H878" s="6">
        <v>55000</v>
      </c>
      <c r="I878" s="6">
        <v>361266</v>
      </c>
      <c r="J878" s="16">
        <v>79479</v>
      </c>
    </row>
    <row r="879" spans="1:10" x14ac:dyDescent="0.3">
      <c r="A879" s="15" t="s">
        <v>15</v>
      </c>
      <c r="B879" s="7" t="s">
        <v>11</v>
      </c>
      <c r="C879" s="7" t="s">
        <v>12</v>
      </c>
      <c r="D879" s="7" t="s">
        <v>28</v>
      </c>
      <c r="E879" s="13">
        <f t="shared" ca="1" si="13"/>
        <v>45688</v>
      </c>
      <c r="F879" s="7" t="s">
        <v>40</v>
      </c>
      <c r="G879" s="8">
        <v>6</v>
      </c>
      <c r="H879" s="9">
        <v>15000</v>
      </c>
      <c r="I879" s="9">
        <v>81755</v>
      </c>
      <c r="J879" s="17">
        <v>8176</v>
      </c>
    </row>
    <row r="880" spans="1:10" x14ac:dyDescent="0.3">
      <c r="A880" s="14" t="s">
        <v>15</v>
      </c>
      <c r="B880" s="4" t="s">
        <v>16</v>
      </c>
      <c r="C880" s="4" t="s">
        <v>12</v>
      </c>
      <c r="D880" s="4" t="s">
        <v>224</v>
      </c>
      <c r="E880" s="13">
        <f t="shared" ca="1" si="13"/>
        <v>45676</v>
      </c>
      <c r="F880" s="4" t="s">
        <v>21</v>
      </c>
      <c r="G880" s="5">
        <v>6</v>
      </c>
      <c r="H880" s="6">
        <v>12500</v>
      </c>
      <c r="I880" s="6">
        <v>70267</v>
      </c>
      <c r="J880" s="16">
        <v>5621</v>
      </c>
    </row>
    <row r="881" spans="1:10" x14ac:dyDescent="0.3">
      <c r="A881" s="15" t="s">
        <v>18</v>
      </c>
      <c r="B881" s="7" t="s">
        <v>38</v>
      </c>
      <c r="C881" s="7" t="s">
        <v>23</v>
      </c>
      <c r="D881" s="7" t="s">
        <v>205</v>
      </c>
      <c r="E881" s="13">
        <f t="shared" ca="1" si="13"/>
        <v>45781</v>
      </c>
      <c r="F881" s="7" t="s">
        <v>40</v>
      </c>
      <c r="G881" s="8">
        <v>8</v>
      </c>
      <c r="H881" s="9">
        <v>15000</v>
      </c>
      <c r="I881" s="9">
        <v>118506</v>
      </c>
      <c r="J881" s="17">
        <v>11851</v>
      </c>
    </row>
    <row r="882" spans="1:10" x14ac:dyDescent="0.3">
      <c r="A882" s="14" t="s">
        <v>18</v>
      </c>
      <c r="B882" s="4" t="s">
        <v>56</v>
      </c>
      <c r="C882" s="4" t="s">
        <v>23</v>
      </c>
      <c r="D882" s="4" t="s">
        <v>202</v>
      </c>
      <c r="E882" s="13">
        <f t="shared" ca="1" si="13"/>
        <v>45955</v>
      </c>
      <c r="F882" s="4" t="s">
        <v>21</v>
      </c>
      <c r="G882" s="5">
        <v>9</v>
      </c>
      <c r="H882" s="6">
        <v>12500</v>
      </c>
      <c r="I882" s="6">
        <v>109673</v>
      </c>
      <c r="J882" s="16">
        <v>8774</v>
      </c>
    </row>
    <row r="883" spans="1:10" x14ac:dyDescent="0.3">
      <c r="A883" s="15" t="s">
        <v>15</v>
      </c>
      <c r="B883" s="7" t="s">
        <v>81</v>
      </c>
      <c r="C883" s="7" t="s">
        <v>26</v>
      </c>
      <c r="D883" s="7" t="s">
        <v>250</v>
      </c>
      <c r="E883" s="13">
        <f t="shared" ca="1" si="13"/>
        <v>45944</v>
      </c>
      <c r="F883" s="7" t="s">
        <v>14</v>
      </c>
      <c r="G883" s="8">
        <v>4</v>
      </c>
      <c r="H883" s="9">
        <v>18500</v>
      </c>
      <c r="I883" s="9">
        <v>71634</v>
      </c>
      <c r="J883" s="17">
        <v>8596</v>
      </c>
    </row>
    <row r="884" spans="1:10" x14ac:dyDescent="0.3">
      <c r="A884" s="14" t="s">
        <v>41</v>
      </c>
      <c r="B884" s="4" t="s">
        <v>46</v>
      </c>
      <c r="C884" s="4" t="s">
        <v>26</v>
      </c>
      <c r="D884" s="4" t="s">
        <v>154</v>
      </c>
      <c r="E884" s="13">
        <f t="shared" ca="1" si="13"/>
        <v>45874</v>
      </c>
      <c r="F884" s="4" t="s">
        <v>33</v>
      </c>
      <c r="G884" s="5">
        <v>9</v>
      </c>
      <c r="H884" s="6">
        <v>45000</v>
      </c>
      <c r="I884" s="6">
        <v>418302</v>
      </c>
      <c r="J884" s="16">
        <v>75294</v>
      </c>
    </row>
    <row r="885" spans="1:10" x14ac:dyDescent="0.3">
      <c r="A885" s="15" t="s">
        <v>37</v>
      </c>
      <c r="B885" s="7" t="s">
        <v>84</v>
      </c>
      <c r="C885" s="7" t="s">
        <v>12</v>
      </c>
      <c r="D885" s="7" t="s">
        <v>80</v>
      </c>
      <c r="E885" s="13">
        <f t="shared" ca="1" si="13"/>
        <v>45783</v>
      </c>
      <c r="F885" s="7" t="s">
        <v>14</v>
      </c>
      <c r="G885" s="8">
        <v>3</v>
      </c>
      <c r="H885" s="9">
        <v>18500</v>
      </c>
      <c r="I885" s="9">
        <v>54094</v>
      </c>
      <c r="J885" s="17">
        <v>6491</v>
      </c>
    </row>
    <row r="886" spans="1:10" x14ac:dyDescent="0.3">
      <c r="A886" s="14" t="s">
        <v>41</v>
      </c>
      <c r="B886" s="4" t="s">
        <v>81</v>
      </c>
      <c r="C886" s="4" t="s">
        <v>26</v>
      </c>
      <c r="D886" s="4" t="s">
        <v>244</v>
      </c>
      <c r="E886" s="13">
        <f t="shared" ca="1" si="13"/>
        <v>45940</v>
      </c>
      <c r="F886" s="4" t="s">
        <v>40</v>
      </c>
      <c r="G886" s="5">
        <v>10</v>
      </c>
      <c r="H886" s="6">
        <v>15000</v>
      </c>
      <c r="I886" s="6">
        <v>154542</v>
      </c>
      <c r="J886" s="16">
        <v>15454</v>
      </c>
    </row>
    <row r="887" spans="1:10" x14ac:dyDescent="0.3">
      <c r="A887" s="15" t="s">
        <v>37</v>
      </c>
      <c r="B887" s="7" t="s">
        <v>51</v>
      </c>
      <c r="C887" s="7" t="s">
        <v>12</v>
      </c>
      <c r="D887" s="7" t="s">
        <v>256</v>
      </c>
      <c r="E887" s="13">
        <f t="shared" ca="1" si="13"/>
        <v>45877</v>
      </c>
      <c r="F887" s="7" t="s">
        <v>40</v>
      </c>
      <c r="G887" s="8">
        <v>6</v>
      </c>
      <c r="H887" s="9">
        <v>15000</v>
      </c>
      <c r="I887" s="9">
        <v>82297</v>
      </c>
      <c r="J887" s="17">
        <v>8230</v>
      </c>
    </row>
    <row r="888" spans="1:10" x14ac:dyDescent="0.3">
      <c r="A888" s="14" t="s">
        <v>41</v>
      </c>
      <c r="B888" s="4" t="s">
        <v>31</v>
      </c>
      <c r="C888" s="4" t="s">
        <v>12</v>
      </c>
      <c r="D888" s="4" t="s">
        <v>144</v>
      </c>
      <c r="E888" s="13">
        <f t="shared" ca="1" si="13"/>
        <v>46008</v>
      </c>
      <c r="F888" s="4" t="s">
        <v>21</v>
      </c>
      <c r="G888" s="5">
        <v>8</v>
      </c>
      <c r="H888" s="6">
        <v>12500</v>
      </c>
      <c r="I888" s="6">
        <v>98091</v>
      </c>
      <c r="J888" s="16">
        <v>7847</v>
      </c>
    </row>
    <row r="889" spans="1:10" x14ac:dyDescent="0.3">
      <c r="A889" s="15" t="s">
        <v>10</v>
      </c>
      <c r="B889" s="7" t="s">
        <v>25</v>
      </c>
      <c r="C889" s="7" t="s">
        <v>26</v>
      </c>
      <c r="D889" s="7" t="s">
        <v>177</v>
      </c>
      <c r="E889" s="13">
        <f t="shared" ca="1" si="13"/>
        <v>45744</v>
      </c>
      <c r="F889" s="7" t="s">
        <v>21</v>
      </c>
      <c r="G889" s="8">
        <v>3</v>
      </c>
      <c r="H889" s="9">
        <v>12500</v>
      </c>
      <c r="I889" s="9">
        <v>35677</v>
      </c>
      <c r="J889" s="17">
        <v>2854</v>
      </c>
    </row>
    <row r="890" spans="1:10" x14ac:dyDescent="0.3">
      <c r="A890" s="14" t="s">
        <v>18</v>
      </c>
      <c r="B890" s="4" t="s">
        <v>16</v>
      </c>
      <c r="C890" s="4" t="s">
        <v>12</v>
      </c>
      <c r="D890" s="4" t="s">
        <v>180</v>
      </c>
      <c r="E890" s="13">
        <f t="shared" ca="1" si="13"/>
        <v>45955</v>
      </c>
      <c r="F890" s="4" t="s">
        <v>33</v>
      </c>
      <c r="G890" s="5">
        <v>9</v>
      </c>
      <c r="H890" s="6">
        <v>45000</v>
      </c>
      <c r="I890" s="6">
        <v>421956</v>
      </c>
      <c r="J890" s="16">
        <v>75952</v>
      </c>
    </row>
    <row r="891" spans="1:10" x14ac:dyDescent="0.3">
      <c r="A891" s="15" t="s">
        <v>18</v>
      </c>
      <c r="B891" s="7" t="s">
        <v>84</v>
      </c>
      <c r="C891" s="7" t="s">
        <v>12</v>
      </c>
      <c r="D891" s="7" t="s">
        <v>158</v>
      </c>
      <c r="E891" s="13">
        <f t="shared" ca="1" si="13"/>
        <v>46020</v>
      </c>
      <c r="F891" s="7" t="s">
        <v>40</v>
      </c>
      <c r="G891" s="8">
        <v>2</v>
      </c>
      <c r="H891" s="9">
        <v>15000</v>
      </c>
      <c r="I891" s="9">
        <v>28239</v>
      </c>
      <c r="J891" s="17">
        <v>2824</v>
      </c>
    </row>
    <row r="892" spans="1:10" x14ac:dyDescent="0.3">
      <c r="A892" s="14" t="s">
        <v>18</v>
      </c>
      <c r="B892" s="4" t="s">
        <v>88</v>
      </c>
      <c r="C892" s="4" t="s">
        <v>12</v>
      </c>
      <c r="D892" s="4" t="s">
        <v>163</v>
      </c>
      <c r="E892" s="13">
        <f t="shared" ca="1" si="13"/>
        <v>45966</v>
      </c>
      <c r="F892" s="4" t="s">
        <v>40</v>
      </c>
      <c r="G892" s="5">
        <v>5</v>
      </c>
      <c r="H892" s="6">
        <v>15000</v>
      </c>
      <c r="I892" s="6">
        <v>72662</v>
      </c>
      <c r="J892" s="16">
        <v>7266</v>
      </c>
    </row>
    <row r="893" spans="1:10" x14ac:dyDescent="0.3">
      <c r="A893" s="15" t="s">
        <v>41</v>
      </c>
      <c r="B893" s="7" t="s">
        <v>19</v>
      </c>
      <c r="C893" s="7" t="s">
        <v>12</v>
      </c>
      <c r="D893" s="7" t="s">
        <v>50</v>
      </c>
      <c r="E893" s="13">
        <f t="shared" ca="1" si="13"/>
        <v>45952</v>
      </c>
      <c r="F893" s="7" t="s">
        <v>33</v>
      </c>
      <c r="G893" s="8">
        <v>9</v>
      </c>
      <c r="H893" s="9">
        <v>45000</v>
      </c>
      <c r="I893" s="9">
        <v>388334</v>
      </c>
      <c r="J893" s="17">
        <v>69900</v>
      </c>
    </row>
    <row r="894" spans="1:10" x14ac:dyDescent="0.3">
      <c r="A894" s="14" t="s">
        <v>41</v>
      </c>
      <c r="B894" s="4" t="s">
        <v>31</v>
      </c>
      <c r="C894" s="4" t="s">
        <v>12</v>
      </c>
      <c r="D894" s="4" t="s">
        <v>201</v>
      </c>
      <c r="E894" s="13">
        <f t="shared" ca="1" si="13"/>
        <v>45880</v>
      </c>
      <c r="F894" s="4" t="s">
        <v>33</v>
      </c>
      <c r="G894" s="5">
        <v>7</v>
      </c>
      <c r="H894" s="6">
        <v>45000</v>
      </c>
      <c r="I894" s="6">
        <v>305160</v>
      </c>
      <c r="J894" s="16">
        <v>54929</v>
      </c>
    </row>
    <row r="895" spans="1:10" x14ac:dyDescent="0.3">
      <c r="A895" s="15" t="s">
        <v>37</v>
      </c>
      <c r="B895" s="7" t="s">
        <v>19</v>
      </c>
      <c r="C895" s="7" t="s">
        <v>12</v>
      </c>
      <c r="D895" s="7" t="s">
        <v>253</v>
      </c>
      <c r="E895" s="13">
        <f t="shared" ca="1" si="13"/>
        <v>45914</v>
      </c>
      <c r="F895" s="7" t="s">
        <v>14</v>
      </c>
      <c r="G895" s="8">
        <v>10</v>
      </c>
      <c r="H895" s="9">
        <v>18500</v>
      </c>
      <c r="I895" s="9">
        <v>185781</v>
      </c>
      <c r="J895" s="17">
        <v>22294</v>
      </c>
    </row>
    <row r="896" spans="1:10" x14ac:dyDescent="0.3">
      <c r="A896" s="14" t="s">
        <v>10</v>
      </c>
      <c r="B896" s="4" t="s">
        <v>25</v>
      </c>
      <c r="C896" s="4" t="s">
        <v>26</v>
      </c>
      <c r="D896" s="4" t="s">
        <v>235</v>
      </c>
      <c r="E896" s="13">
        <f t="shared" ca="1" si="13"/>
        <v>45935</v>
      </c>
      <c r="F896" s="4" t="s">
        <v>14</v>
      </c>
      <c r="G896" s="5">
        <v>4</v>
      </c>
      <c r="H896" s="6">
        <v>18500</v>
      </c>
      <c r="I896" s="6">
        <v>79396</v>
      </c>
      <c r="J896" s="16">
        <v>9528</v>
      </c>
    </row>
    <row r="897" spans="1:10" x14ac:dyDescent="0.3">
      <c r="A897" s="15" t="s">
        <v>18</v>
      </c>
      <c r="B897" s="7" t="s">
        <v>46</v>
      </c>
      <c r="C897" s="7" t="s">
        <v>26</v>
      </c>
      <c r="D897" s="7" t="s">
        <v>215</v>
      </c>
      <c r="E897" s="13">
        <f t="shared" ca="1" si="13"/>
        <v>45960</v>
      </c>
      <c r="F897" s="7" t="s">
        <v>21</v>
      </c>
      <c r="G897" s="8">
        <v>3</v>
      </c>
      <c r="H897" s="9">
        <v>12500</v>
      </c>
      <c r="I897" s="9">
        <v>38462</v>
      </c>
      <c r="J897" s="17">
        <v>3077</v>
      </c>
    </row>
    <row r="898" spans="1:10" x14ac:dyDescent="0.3">
      <c r="A898" s="14" t="s">
        <v>10</v>
      </c>
      <c r="B898" s="4" t="s">
        <v>25</v>
      </c>
      <c r="C898" s="4" t="s">
        <v>26</v>
      </c>
      <c r="D898" s="4" t="s">
        <v>32</v>
      </c>
      <c r="E898" s="13">
        <f t="shared" ca="1" si="13"/>
        <v>45989</v>
      </c>
      <c r="F898" s="4" t="s">
        <v>21</v>
      </c>
      <c r="G898" s="5">
        <v>2</v>
      </c>
      <c r="H898" s="6">
        <v>12500</v>
      </c>
      <c r="I898" s="6">
        <v>23442</v>
      </c>
      <c r="J898" s="16">
        <v>1875</v>
      </c>
    </row>
    <row r="899" spans="1:10" x14ac:dyDescent="0.3">
      <c r="A899" s="15" t="s">
        <v>41</v>
      </c>
      <c r="B899" s="7" t="s">
        <v>81</v>
      </c>
      <c r="C899" s="7" t="s">
        <v>26</v>
      </c>
      <c r="D899" s="7" t="s">
        <v>219</v>
      </c>
      <c r="E899" s="13">
        <f t="shared" ref="E899:E962" ca="1" si="14">DATE(2025,1,1)+RANDBETWEEN(0,364)</f>
        <v>45779</v>
      </c>
      <c r="F899" s="7" t="s">
        <v>21</v>
      </c>
      <c r="G899" s="8">
        <v>1</v>
      </c>
      <c r="H899" s="9">
        <v>12500</v>
      </c>
      <c r="I899" s="9">
        <v>12537</v>
      </c>
      <c r="J899" s="17">
        <v>1003</v>
      </c>
    </row>
    <row r="900" spans="1:10" x14ac:dyDescent="0.3">
      <c r="A900" s="14" t="s">
        <v>18</v>
      </c>
      <c r="B900" s="4" t="s">
        <v>16</v>
      </c>
      <c r="C900" s="4" t="s">
        <v>12</v>
      </c>
      <c r="D900" s="4" t="s">
        <v>149</v>
      </c>
      <c r="E900" s="13">
        <f t="shared" ca="1" si="14"/>
        <v>45717</v>
      </c>
      <c r="F900" s="4" t="s">
        <v>36</v>
      </c>
      <c r="G900" s="5">
        <v>3</v>
      </c>
      <c r="H900" s="6">
        <v>55000</v>
      </c>
      <c r="I900" s="6">
        <v>156524</v>
      </c>
      <c r="J900" s="16">
        <v>34435</v>
      </c>
    </row>
    <row r="901" spans="1:10" x14ac:dyDescent="0.3">
      <c r="A901" s="15" t="s">
        <v>37</v>
      </c>
      <c r="B901" s="7" t="s">
        <v>81</v>
      </c>
      <c r="C901" s="7" t="s">
        <v>26</v>
      </c>
      <c r="D901" s="7" t="s">
        <v>92</v>
      </c>
      <c r="E901" s="13">
        <f t="shared" ca="1" si="14"/>
        <v>45665</v>
      </c>
      <c r="F901" s="7" t="s">
        <v>40</v>
      </c>
      <c r="G901" s="8">
        <v>2</v>
      </c>
      <c r="H901" s="9">
        <v>15000</v>
      </c>
      <c r="I901" s="9">
        <v>29038</v>
      </c>
      <c r="J901" s="17">
        <v>2904</v>
      </c>
    </row>
    <row r="902" spans="1:10" x14ac:dyDescent="0.3">
      <c r="A902" s="14" t="s">
        <v>41</v>
      </c>
      <c r="B902" s="4" t="s">
        <v>16</v>
      </c>
      <c r="C902" s="4" t="s">
        <v>12</v>
      </c>
      <c r="D902" s="4" t="s">
        <v>243</v>
      </c>
      <c r="E902" s="13">
        <f t="shared" ca="1" si="14"/>
        <v>45699</v>
      </c>
      <c r="F902" s="4" t="s">
        <v>40</v>
      </c>
      <c r="G902" s="5">
        <v>1</v>
      </c>
      <c r="H902" s="6">
        <v>15000</v>
      </c>
      <c r="I902" s="6">
        <v>14611</v>
      </c>
      <c r="J902" s="16">
        <v>1461</v>
      </c>
    </row>
    <row r="903" spans="1:10" x14ac:dyDescent="0.3">
      <c r="A903" s="15" t="s">
        <v>10</v>
      </c>
      <c r="B903" s="7" t="s">
        <v>11</v>
      </c>
      <c r="C903" s="7" t="s">
        <v>12</v>
      </c>
      <c r="D903" s="7" t="s">
        <v>168</v>
      </c>
      <c r="E903" s="13">
        <f t="shared" ca="1" si="14"/>
        <v>45962</v>
      </c>
      <c r="F903" s="7" t="s">
        <v>21</v>
      </c>
      <c r="G903" s="8">
        <v>6</v>
      </c>
      <c r="H903" s="9">
        <v>12500</v>
      </c>
      <c r="I903" s="9">
        <v>73365</v>
      </c>
      <c r="J903" s="17">
        <v>5869</v>
      </c>
    </row>
    <row r="904" spans="1:10" x14ac:dyDescent="0.3">
      <c r="A904" s="14" t="s">
        <v>10</v>
      </c>
      <c r="B904" s="4" t="s">
        <v>29</v>
      </c>
      <c r="C904" s="4" t="s">
        <v>26</v>
      </c>
      <c r="D904" s="4" t="s">
        <v>178</v>
      </c>
      <c r="E904" s="13">
        <f t="shared" ca="1" si="14"/>
        <v>45849</v>
      </c>
      <c r="F904" s="4" t="s">
        <v>36</v>
      </c>
      <c r="G904" s="5">
        <v>9</v>
      </c>
      <c r="H904" s="6">
        <v>55000</v>
      </c>
      <c r="I904" s="6">
        <v>487148</v>
      </c>
      <c r="J904" s="16">
        <v>107173</v>
      </c>
    </row>
    <row r="905" spans="1:10" x14ac:dyDescent="0.3">
      <c r="A905" s="15" t="s">
        <v>37</v>
      </c>
      <c r="B905" s="7" t="s">
        <v>84</v>
      </c>
      <c r="C905" s="7" t="s">
        <v>12</v>
      </c>
      <c r="D905" s="7" t="s">
        <v>70</v>
      </c>
      <c r="E905" s="13">
        <f t="shared" ca="1" si="14"/>
        <v>45992</v>
      </c>
      <c r="F905" s="7" t="s">
        <v>40</v>
      </c>
      <c r="G905" s="8">
        <v>4</v>
      </c>
      <c r="H905" s="9">
        <v>15000</v>
      </c>
      <c r="I905" s="9">
        <v>60922</v>
      </c>
      <c r="J905" s="17">
        <v>6092</v>
      </c>
    </row>
    <row r="906" spans="1:10" x14ac:dyDescent="0.3">
      <c r="A906" s="14" t="s">
        <v>18</v>
      </c>
      <c r="B906" s="4" t="s">
        <v>29</v>
      </c>
      <c r="C906" s="4" t="s">
        <v>26</v>
      </c>
      <c r="D906" s="4" t="s">
        <v>99</v>
      </c>
      <c r="E906" s="13">
        <f t="shared" ca="1" si="14"/>
        <v>45791</v>
      </c>
      <c r="F906" s="4" t="s">
        <v>33</v>
      </c>
      <c r="G906" s="5">
        <v>3</v>
      </c>
      <c r="H906" s="6">
        <v>45000</v>
      </c>
      <c r="I906" s="6">
        <v>147495</v>
      </c>
      <c r="J906" s="16">
        <v>26549</v>
      </c>
    </row>
    <row r="907" spans="1:10" x14ac:dyDescent="0.3">
      <c r="A907" s="15" t="s">
        <v>10</v>
      </c>
      <c r="B907" s="7" t="s">
        <v>77</v>
      </c>
      <c r="C907" s="7" t="s">
        <v>12</v>
      </c>
      <c r="D907" s="7" t="s">
        <v>134</v>
      </c>
      <c r="E907" s="13">
        <f t="shared" ca="1" si="14"/>
        <v>45899</v>
      </c>
      <c r="F907" s="7" t="s">
        <v>36</v>
      </c>
      <c r="G907" s="8">
        <v>3</v>
      </c>
      <c r="H907" s="9">
        <v>55000</v>
      </c>
      <c r="I907" s="9">
        <v>168674</v>
      </c>
      <c r="J907" s="17">
        <v>37108</v>
      </c>
    </row>
    <row r="908" spans="1:10" x14ac:dyDescent="0.3">
      <c r="A908" s="14" t="s">
        <v>15</v>
      </c>
      <c r="B908" s="4" t="s">
        <v>38</v>
      </c>
      <c r="C908" s="4" t="s">
        <v>23</v>
      </c>
      <c r="D908" s="4" t="s">
        <v>208</v>
      </c>
      <c r="E908" s="13">
        <f t="shared" ca="1" si="14"/>
        <v>45921</v>
      </c>
      <c r="F908" s="4" t="s">
        <v>40</v>
      </c>
      <c r="G908" s="5">
        <v>4</v>
      </c>
      <c r="H908" s="6">
        <v>15000</v>
      </c>
      <c r="I908" s="6">
        <v>59008</v>
      </c>
      <c r="J908" s="16">
        <v>5901</v>
      </c>
    </row>
    <row r="909" spans="1:10" x14ac:dyDescent="0.3">
      <c r="A909" s="15" t="s">
        <v>10</v>
      </c>
      <c r="B909" s="7" t="s">
        <v>31</v>
      </c>
      <c r="C909" s="7" t="s">
        <v>12</v>
      </c>
      <c r="D909" s="7" t="s">
        <v>209</v>
      </c>
      <c r="E909" s="13">
        <f t="shared" ca="1" si="14"/>
        <v>45856</v>
      </c>
      <c r="F909" s="7" t="s">
        <v>33</v>
      </c>
      <c r="G909" s="8">
        <v>1</v>
      </c>
      <c r="H909" s="9">
        <v>45000</v>
      </c>
      <c r="I909" s="9">
        <v>49037</v>
      </c>
      <c r="J909" s="17">
        <v>8827</v>
      </c>
    </row>
    <row r="910" spans="1:10" x14ac:dyDescent="0.3">
      <c r="A910" s="14" t="s">
        <v>18</v>
      </c>
      <c r="B910" s="4" t="s">
        <v>22</v>
      </c>
      <c r="C910" s="4" t="s">
        <v>23</v>
      </c>
      <c r="D910" s="4" t="s">
        <v>87</v>
      </c>
      <c r="E910" s="13">
        <f t="shared" ca="1" si="14"/>
        <v>46013</v>
      </c>
      <c r="F910" s="4" t="s">
        <v>14</v>
      </c>
      <c r="G910" s="5">
        <v>9</v>
      </c>
      <c r="H910" s="6">
        <v>18500</v>
      </c>
      <c r="I910" s="6">
        <v>155391</v>
      </c>
      <c r="J910" s="16">
        <v>18647</v>
      </c>
    </row>
    <row r="911" spans="1:10" x14ac:dyDescent="0.3">
      <c r="A911" s="15" t="s">
        <v>15</v>
      </c>
      <c r="B911" s="7" t="s">
        <v>84</v>
      </c>
      <c r="C911" s="7" t="s">
        <v>12</v>
      </c>
      <c r="D911" s="7" t="s">
        <v>45</v>
      </c>
      <c r="E911" s="13">
        <f t="shared" ca="1" si="14"/>
        <v>45955</v>
      </c>
      <c r="F911" s="7" t="s">
        <v>14</v>
      </c>
      <c r="G911" s="8">
        <v>6</v>
      </c>
      <c r="H911" s="9">
        <v>18500</v>
      </c>
      <c r="I911" s="9">
        <v>119939</v>
      </c>
      <c r="J911" s="17">
        <v>14393</v>
      </c>
    </row>
    <row r="912" spans="1:10" x14ac:dyDescent="0.3">
      <c r="A912" s="14" t="s">
        <v>37</v>
      </c>
      <c r="B912" s="4" t="s">
        <v>19</v>
      </c>
      <c r="C912" s="4" t="s">
        <v>12</v>
      </c>
      <c r="D912" s="4" t="s">
        <v>149</v>
      </c>
      <c r="E912" s="13">
        <f t="shared" ca="1" si="14"/>
        <v>45691</v>
      </c>
      <c r="F912" s="4" t="s">
        <v>40</v>
      </c>
      <c r="G912" s="5">
        <v>1</v>
      </c>
      <c r="H912" s="6">
        <v>15000</v>
      </c>
      <c r="I912" s="6">
        <v>16372</v>
      </c>
      <c r="J912" s="16">
        <v>1637</v>
      </c>
    </row>
    <row r="913" spans="1:10" x14ac:dyDescent="0.3">
      <c r="A913" s="15" t="s">
        <v>15</v>
      </c>
      <c r="B913" s="7" t="s">
        <v>56</v>
      </c>
      <c r="C913" s="7" t="s">
        <v>23</v>
      </c>
      <c r="D913" s="7" t="s">
        <v>219</v>
      </c>
      <c r="E913" s="13">
        <f t="shared" ca="1" si="14"/>
        <v>45971</v>
      </c>
      <c r="F913" s="7" t="s">
        <v>36</v>
      </c>
      <c r="G913" s="8">
        <v>7</v>
      </c>
      <c r="H913" s="9">
        <v>55000</v>
      </c>
      <c r="I913" s="9">
        <v>408721</v>
      </c>
      <c r="J913" s="17">
        <v>89919</v>
      </c>
    </row>
    <row r="914" spans="1:10" x14ac:dyDescent="0.3">
      <c r="A914" s="14" t="s">
        <v>10</v>
      </c>
      <c r="B914" s="4" t="s">
        <v>11</v>
      </c>
      <c r="C914" s="4" t="s">
        <v>12</v>
      </c>
      <c r="D914" s="4" t="s">
        <v>153</v>
      </c>
      <c r="E914" s="13">
        <f t="shared" ca="1" si="14"/>
        <v>45866</v>
      </c>
      <c r="F914" s="4" t="s">
        <v>36</v>
      </c>
      <c r="G914" s="5">
        <v>9</v>
      </c>
      <c r="H914" s="6">
        <v>55000</v>
      </c>
      <c r="I914" s="6">
        <v>456990</v>
      </c>
      <c r="J914" s="16">
        <v>100538</v>
      </c>
    </row>
    <row r="915" spans="1:10" x14ac:dyDescent="0.3">
      <c r="A915" s="15" t="s">
        <v>18</v>
      </c>
      <c r="B915" s="7" t="s">
        <v>25</v>
      </c>
      <c r="C915" s="7" t="s">
        <v>26</v>
      </c>
      <c r="D915" s="7" t="s">
        <v>44</v>
      </c>
      <c r="E915" s="13">
        <f t="shared" ca="1" si="14"/>
        <v>45786</v>
      </c>
      <c r="F915" s="7" t="s">
        <v>21</v>
      </c>
      <c r="G915" s="8">
        <v>9</v>
      </c>
      <c r="H915" s="9">
        <v>12500</v>
      </c>
      <c r="I915" s="9">
        <v>110991</v>
      </c>
      <c r="J915" s="17">
        <v>8879</v>
      </c>
    </row>
    <row r="916" spans="1:10" x14ac:dyDescent="0.3">
      <c r="A916" s="14" t="s">
        <v>37</v>
      </c>
      <c r="B916" s="4" t="s">
        <v>38</v>
      </c>
      <c r="C916" s="4" t="s">
        <v>23</v>
      </c>
      <c r="D916" s="4" t="s">
        <v>85</v>
      </c>
      <c r="E916" s="13">
        <f t="shared" ca="1" si="14"/>
        <v>45715</v>
      </c>
      <c r="F916" s="4" t="s">
        <v>40</v>
      </c>
      <c r="G916" s="5">
        <v>1</v>
      </c>
      <c r="H916" s="6">
        <v>15000</v>
      </c>
      <c r="I916" s="6">
        <v>15334</v>
      </c>
      <c r="J916" s="16">
        <v>1533</v>
      </c>
    </row>
    <row r="917" spans="1:10" x14ac:dyDescent="0.3">
      <c r="A917" s="15" t="s">
        <v>37</v>
      </c>
      <c r="B917" s="7" t="s">
        <v>84</v>
      </c>
      <c r="C917" s="7" t="s">
        <v>12</v>
      </c>
      <c r="D917" s="7" t="s">
        <v>188</v>
      </c>
      <c r="E917" s="13">
        <f t="shared" ca="1" si="14"/>
        <v>45959</v>
      </c>
      <c r="F917" s="7" t="s">
        <v>21</v>
      </c>
      <c r="G917" s="8">
        <v>6</v>
      </c>
      <c r="H917" s="9">
        <v>12500</v>
      </c>
      <c r="I917" s="9">
        <v>79171</v>
      </c>
      <c r="J917" s="17">
        <v>6334</v>
      </c>
    </row>
    <row r="918" spans="1:10" x14ac:dyDescent="0.3">
      <c r="A918" s="14" t="s">
        <v>10</v>
      </c>
      <c r="B918" s="4" t="s">
        <v>56</v>
      </c>
      <c r="C918" s="4" t="s">
        <v>23</v>
      </c>
      <c r="D918" s="4" t="s">
        <v>236</v>
      </c>
      <c r="E918" s="13">
        <f t="shared" ca="1" si="14"/>
        <v>45885</v>
      </c>
      <c r="F918" s="4" t="s">
        <v>36</v>
      </c>
      <c r="G918" s="5">
        <v>4</v>
      </c>
      <c r="H918" s="6">
        <v>55000</v>
      </c>
      <c r="I918" s="6">
        <v>209518</v>
      </c>
      <c r="J918" s="16">
        <v>46094</v>
      </c>
    </row>
    <row r="919" spans="1:10" x14ac:dyDescent="0.3">
      <c r="A919" s="15" t="s">
        <v>37</v>
      </c>
      <c r="B919" s="7" t="s">
        <v>88</v>
      </c>
      <c r="C919" s="7" t="s">
        <v>12</v>
      </c>
      <c r="D919" s="7" t="s">
        <v>57</v>
      </c>
      <c r="E919" s="13">
        <f t="shared" ca="1" si="14"/>
        <v>45759</v>
      </c>
      <c r="F919" s="7" t="s">
        <v>36</v>
      </c>
      <c r="G919" s="8">
        <v>2</v>
      </c>
      <c r="H919" s="9">
        <v>55000</v>
      </c>
      <c r="I919" s="9">
        <v>117141</v>
      </c>
      <c r="J919" s="17">
        <v>25771</v>
      </c>
    </row>
    <row r="920" spans="1:10" x14ac:dyDescent="0.3">
      <c r="A920" s="14" t="s">
        <v>37</v>
      </c>
      <c r="B920" s="4" t="s">
        <v>77</v>
      </c>
      <c r="C920" s="4" t="s">
        <v>12</v>
      </c>
      <c r="D920" s="4" t="s">
        <v>243</v>
      </c>
      <c r="E920" s="13">
        <f t="shared" ca="1" si="14"/>
        <v>45717</v>
      </c>
      <c r="F920" s="4" t="s">
        <v>40</v>
      </c>
      <c r="G920" s="5">
        <v>5</v>
      </c>
      <c r="H920" s="6">
        <v>15000</v>
      </c>
      <c r="I920" s="6">
        <v>81193</v>
      </c>
      <c r="J920" s="16">
        <v>8119</v>
      </c>
    </row>
    <row r="921" spans="1:10" x14ac:dyDescent="0.3">
      <c r="A921" s="15" t="s">
        <v>41</v>
      </c>
      <c r="B921" s="7" t="s">
        <v>25</v>
      </c>
      <c r="C921" s="7" t="s">
        <v>26</v>
      </c>
      <c r="D921" s="7" t="s">
        <v>67</v>
      </c>
      <c r="E921" s="13">
        <f t="shared" ca="1" si="14"/>
        <v>45842</v>
      </c>
      <c r="F921" s="7" t="s">
        <v>33</v>
      </c>
      <c r="G921" s="8">
        <v>3</v>
      </c>
      <c r="H921" s="9">
        <v>45000</v>
      </c>
      <c r="I921" s="9">
        <v>127281</v>
      </c>
      <c r="J921" s="17">
        <v>22911</v>
      </c>
    </row>
    <row r="922" spans="1:10" x14ac:dyDescent="0.3">
      <c r="A922" s="14" t="s">
        <v>18</v>
      </c>
      <c r="B922" s="4" t="s">
        <v>31</v>
      </c>
      <c r="C922" s="4" t="s">
        <v>12</v>
      </c>
      <c r="D922" s="4" t="s">
        <v>185</v>
      </c>
      <c r="E922" s="13">
        <f t="shared" ca="1" si="14"/>
        <v>45872</v>
      </c>
      <c r="F922" s="4" t="s">
        <v>36</v>
      </c>
      <c r="G922" s="5">
        <v>2</v>
      </c>
      <c r="H922" s="6">
        <v>55000</v>
      </c>
      <c r="I922" s="6">
        <v>105584</v>
      </c>
      <c r="J922" s="16">
        <v>23228</v>
      </c>
    </row>
    <row r="923" spans="1:10" x14ac:dyDescent="0.3">
      <c r="A923" s="15" t="s">
        <v>18</v>
      </c>
      <c r="B923" s="7" t="s">
        <v>46</v>
      </c>
      <c r="C923" s="7" t="s">
        <v>26</v>
      </c>
      <c r="D923" s="7" t="s">
        <v>168</v>
      </c>
      <c r="E923" s="13">
        <f t="shared" ca="1" si="14"/>
        <v>45769</v>
      </c>
      <c r="F923" s="7" t="s">
        <v>40</v>
      </c>
      <c r="G923" s="8">
        <v>4</v>
      </c>
      <c r="H923" s="9">
        <v>15000</v>
      </c>
      <c r="I923" s="9">
        <v>58963</v>
      </c>
      <c r="J923" s="17">
        <v>5896</v>
      </c>
    </row>
    <row r="924" spans="1:10" x14ac:dyDescent="0.3">
      <c r="A924" s="14" t="s">
        <v>41</v>
      </c>
      <c r="B924" s="4" t="s">
        <v>84</v>
      </c>
      <c r="C924" s="4" t="s">
        <v>12</v>
      </c>
      <c r="D924" s="4" t="s">
        <v>203</v>
      </c>
      <c r="E924" s="13">
        <f t="shared" ca="1" si="14"/>
        <v>46008</v>
      </c>
      <c r="F924" s="4" t="s">
        <v>36</v>
      </c>
      <c r="G924" s="5">
        <v>1</v>
      </c>
      <c r="H924" s="6">
        <v>55000</v>
      </c>
      <c r="I924" s="6">
        <v>57157</v>
      </c>
      <c r="J924" s="16">
        <v>12575</v>
      </c>
    </row>
    <row r="925" spans="1:10" x14ac:dyDescent="0.3">
      <c r="A925" s="15" t="s">
        <v>10</v>
      </c>
      <c r="B925" s="7" t="s">
        <v>22</v>
      </c>
      <c r="C925" s="7" t="s">
        <v>23</v>
      </c>
      <c r="D925" s="7" t="s">
        <v>101</v>
      </c>
      <c r="E925" s="13">
        <f t="shared" ca="1" si="14"/>
        <v>45785</v>
      </c>
      <c r="F925" s="7" t="s">
        <v>21</v>
      </c>
      <c r="G925" s="8">
        <v>7</v>
      </c>
      <c r="H925" s="9">
        <v>12500</v>
      </c>
      <c r="I925" s="9">
        <v>78777</v>
      </c>
      <c r="J925" s="17">
        <v>6302</v>
      </c>
    </row>
    <row r="926" spans="1:10" x14ac:dyDescent="0.3">
      <c r="A926" s="14" t="s">
        <v>10</v>
      </c>
      <c r="B926" s="4" t="s">
        <v>51</v>
      </c>
      <c r="C926" s="4" t="s">
        <v>12</v>
      </c>
      <c r="D926" s="4" t="s">
        <v>170</v>
      </c>
      <c r="E926" s="13">
        <f t="shared" ca="1" si="14"/>
        <v>45893</v>
      </c>
      <c r="F926" s="4" t="s">
        <v>14</v>
      </c>
      <c r="G926" s="5">
        <v>9</v>
      </c>
      <c r="H926" s="6">
        <v>18500</v>
      </c>
      <c r="I926" s="6">
        <v>152453</v>
      </c>
      <c r="J926" s="16">
        <v>18294</v>
      </c>
    </row>
    <row r="927" spans="1:10" x14ac:dyDescent="0.3">
      <c r="A927" s="15" t="s">
        <v>10</v>
      </c>
      <c r="B927" s="7" t="s">
        <v>77</v>
      </c>
      <c r="C927" s="7" t="s">
        <v>12</v>
      </c>
      <c r="D927" s="7" t="s">
        <v>176</v>
      </c>
      <c r="E927" s="13">
        <f t="shared" ca="1" si="14"/>
        <v>45724</v>
      </c>
      <c r="F927" s="7" t="s">
        <v>14</v>
      </c>
      <c r="G927" s="8">
        <v>9</v>
      </c>
      <c r="H927" s="9">
        <v>18500</v>
      </c>
      <c r="I927" s="9">
        <v>157527</v>
      </c>
      <c r="J927" s="17">
        <v>18903</v>
      </c>
    </row>
    <row r="928" spans="1:10" x14ac:dyDescent="0.3">
      <c r="A928" s="14" t="s">
        <v>15</v>
      </c>
      <c r="B928" s="4" t="s">
        <v>38</v>
      </c>
      <c r="C928" s="4" t="s">
        <v>23</v>
      </c>
      <c r="D928" s="4" t="s">
        <v>54</v>
      </c>
      <c r="E928" s="13">
        <f t="shared" ca="1" si="14"/>
        <v>46017</v>
      </c>
      <c r="F928" s="4" t="s">
        <v>40</v>
      </c>
      <c r="G928" s="5">
        <v>1</v>
      </c>
      <c r="H928" s="6">
        <v>15000</v>
      </c>
      <c r="I928" s="6">
        <v>14576</v>
      </c>
      <c r="J928" s="16">
        <v>1458</v>
      </c>
    </row>
    <row r="929" spans="1:10" x14ac:dyDescent="0.3">
      <c r="A929" s="15" t="s">
        <v>41</v>
      </c>
      <c r="B929" s="7" t="s">
        <v>84</v>
      </c>
      <c r="C929" s="7" t="s">
        <v>12</v>
      </c>
      <c r="D929" s="7" t="s">
        <v>55</v>
      </c>
      <c r="E929" s="13">
        <f t="shared" ca="1" si="14"/>
        <v>45695</v>
      </c>
      <c r="F929" s="7" t="s">
        <v>21</v>
      </c>
      <c r="G929" s="8">
        <v>3</v>
      </c>
      <c r="H929" s="9">
        <v>12500</v>
      </c>
      <c r="I929" s="9">
        <v>40012</v>
      </c>
      <c r="J929" s="17">
        <v>3201</v>
      </c>
    </row>
    <row r="930" spans="1:10" x14ac:dyDescent="0.3">
      <c r="A930" s="14" t="s">
        <v>10</v>
      </c>
      <c r="B930" s="4" t="s">
        <v>46</v>
      </c>
      <c r="C930" s="4" t="s">
        <v>26</v>
      </c>
      <c r="D930" s="4" t="s">
        <v>181</v>
      </c>
      <c r="E930" s="13">
        <f t="shared" ca="1" si="14"/>
        <v>45760</v>
      </c>
      <c r="F930" s="4" t="s">
        <v>21</v>
      </c>
      <c r="G930" s="5">
        <v>9</v>
      </c>
      <c r="H930" s="6">
        <v>12500</v>
      </c>
      <c r="I930" s="6">
        <v>112242</v>
      </c>
      <c r="J930" s="16">
        <v>8979</v>
      </c>
    </row>
    <row r="931" spans="1:10" x14ac:dyDescent="0.3">
      <c r="A931" s="15" t="s">
        <v>37</v>
      </c>
      <c r="B931" s="7" t="s">
        <v>22</v>
      </c>
      <c r="C931" s="7" t="s">
        <v>23</v>
      </c>
      <c r="D931" s="7" t="s">
        <v>68</v>
      </c>
      <c r="E931" s="13">
        <f t="shared" ca="1" si="14"/>
        <v>45674</v>
      </c>
      <c r="F931" s="7" t="s">
        <v>21</v>
      </c>
      <c r="G931" s="8">
        <v>4</v>
      </c>
      <c r="H931" s="9">
        <v>12500</v>
      </c>
      <c r="I931" s="9">
        <v>52673</v>
      </c>
      <c r="J931" s="17">
        <v>4214</v>
      </c>
    </row>
    <row r="932" spans="1:10" x14ac:dyDescent="0.3">
      <c r="A932" s="14" t="s">
        <v>18</v>
      </c>
      <c r="B932" s="4" t="s">
        <v>77</v>
      </c>
      <c r="C932" s="4" t="s">
        <v>12</v>
      </c>
      <c r="D932" s="4" t="s">
        <v>204</v>
      </c>
      <c r="E932" s="13">
        <f t="shared" ca="1" si="14"/>
        <v>45778</v>
      </c>
      <c r="F932" s="4" t="s">
        <v>21</v>
      </c>
      <c r="G932" s="5">
        <v>5</v>
      </c>
      <c r="H932" s="6">
        <v>12500</v>
      </c>
      <c r="I932" s="6">
        <v>65073</v>
      </c>
      <c r="J932" s="16">
        <v>5206</v>
      </c>
    </row>
    <row r="933" spans="1:10" x14ac:dyDescent="0.3">
      <c r="A933" s="15" t="s">
        <v>15</v>
      </c>
      <c r="B933" s="7" t="s">
        <v>56</v>
      </c>
      <c r="C933" s="7" t="s">
        <v>23</v>
      </c>
      <c r="D933" s="7" t="s">
        <v>219</v>
      </c>
      <c r="E933" s="13">
        <f t="shared" ca="1" si="14"/>
        <v>45905</v>
      </c>
      <c r="F933" s="7" t="s">
        <v>33</v>
      </c>
      <c r="G933" s="8">
        <v>3</v>
      </c>
      <c r="H933" s="9">
        <v>45000</v>
      </c>
      <c r="I933" s="9">
        <v>145619</v>
      </c>
      <c r="J933" s="17">
        <v>26211</v>
      </c>
    </row>
    <row r="934" spans="1:10" x14ac:dyDescent="0.3">
      <c r="A934" s="14" t="s">
        <v>37</v>
      </c>
      <c r="B934" s="4" t="s">
        <v>81</v>
      </c>
      <c r="C934" s="4" t="s">
        <v>26</v>
      </c>
      <c r="D934" s="4" t="s">
        <v>165</v>
      </c>
      <c r="E934" s="13">
        <f t="shared" ca="1" si="14"/>
        <v>45842</v>
      </c>
      <c r="F934" s="4" t="s">
        <v>21</v>
      </c>
      <c r="G934" s="5">
        <v>6</v>
      </c>
      <c r="H934" s="6">
        <v>12500</v>
      </c>
      <c r="I934" s="6">
        <v>73709</v>
      </c>
      <c r="J934" s="16">
        <v>5897</v>
      </c>
    </row>
    <row r="935" spans="1:10" x14ac:dyDescent="0.3">
      <c r="A935" s="15" t="s">
        <v>10</v>
      </c>
      <c r="B935" s="7" t="s">
        <v>11</v>
      </c>
      <c r="C935" s="7" t="s">
        <v>12</v>
      </c>
      <c r="D935" s="7" t="s">
        <v>260</v>
      </c>
      <c r="E935" s="13">
        <f t="shared" ca="1" si="14"/>
        <v>45927</v>
      </c>
      <c r="F935" s="7" t="s">
        <v>40</v>
      </c>
      <c r="G935" s="8">
        <v>6</v>
      </c>
      <c r="H935" s="9">
        <v>15000</v>
      </c>
      <c r="I935" s="9">
        <v>89173</v>
      </c>
      <c r="J935" s="17">
        <v>8917</v>
      </c>
    </row>
    <row r="936" spans="1:10" x14ac:dyDescent="0.3">
      <c r="A936" s="14" t="s">
        <v>37</v>
      </c>
      <c r="B936" s="4" t="s">
        <v>46</v>
      </c>
      <c r="C936" s="4" t="s">
        <v>26</v>
      </c>
      <c r="D936" s="4" t="s">
        <v>252</v>
      </c>
      <c r="E936" s="13">
        <f t="shared" ca="1" si="14"/>
        <v>45809</v>
      </c>
      <c r="F936" s="4" t="s">
        <v>40</v>
      </c>
      <c r="G936" s="5">
        <v>4</v>
      </c>
      <c r="H936" s="6">
        <v>15000</v>
      </c>
      <c r="I936" s="6">
        <v>58295</v>
      </c>
      <c r="J936" s="16">
        <v>5830</v>
      </c>
    </row>
    <row r="937" spans="1:10" x14ac:dyDescent="0.3">
      <c r="A937" s="15" t="s">
        <v>37</v>
      </c>
      <c r="B937" s="7" t="s">
        <v>88</v>
      </c>
      <c r="C937" s="7" t="s">
        <v>12</v>
      </c>
      <c r="D937" s="7" t="s">
        <v>95</v>
      </c>
      <c r="E937" s="13">
        <f t="shared" ca="1" si="14"/>
        <v>45735</v>
      </c>
      <c r="F937" s="7" t="s">
        <v>40</v>
      </c>
      <c r="G937" s="8">
        <v>5</v>
      </c>
      <c r="H937" s="9">
        <v>15000</v>
      </c>
      <c r="I937" s="9">
        <v>75255</v>
      </c>
      <c r="J937" s="17">
        <v>7526</v>
      </c>
    </row>
    <row r="938" spans="1:10" x14ac:dyDescent="0.3">
      <c r="A938" s="14" t="s">
        <v>10</v>
      </c>
      <c r="B938" s="4" t="s">
        <v>11</v>
      </c>
      <c r="C938" s="4" t="s">
        <v>12</v>
      </c>
      <c r="D938" s="4" t="s">
        <v>194</v>
      </c>
      <c r="E938" s="13">
        <f t="shared" ca="1" si="14"/>
        <v>45748</v>
      </c>
      <c r="F938" s="4" t="s">
        <v>36</v>
      </c>
      <c r="G938" s="5">
        <v>1</v>
      </c>
      <c r="H938" s="6">
        <v>55000</v>
      </c>
      <c r="I938" s="6">
        <v>51468</v>
      </c>
      <c r="J938" s="16">
        <v>11323</v>
      </c>
    </row>
    <row r="939" spans="1:10" x14ac:dyDescent="0.3">
      <c r="A939" s="15" t="s">
        <v>10</v>
      </c>
      <c r="B939" s="7" t="s">
        <v>25</v>
      </c>
      <c r="C939" s="7" t="s">
        <v>26</v>
      </c>
      <c r="D939" s="7" t="s">
        <v>158</v>
      </c>
      <c r="E939" s="13">
        <f t="shared" ca="1" si="14"/>
        <v>45662</v>
      </c>
      <c r="F939" s="7" t="s">
        <v>36</v>
      </c>
      <c r="G939" s="8">
        <v>1</v>
      </c>
      <c r="H939" s="9">
        <v>55000</v>
      </c>
      <c r="I939" s="9">
        <v>50731</v>
      </c>
      <c r="J939" s="17">
        <v>11161</v>
      </c>
    </row>
    <row r="940" spans="1:10" x14ac:dyDescent="0.3">
      <c r="A940" s="14" t="s">
        <v>18</v>
      </c>
      <c r="B940" s="4" t="s">
        <v>88</v>
      </c>
      <c r="C940" s="4" t="s">
        <v>12</v>
      </c>
      <c r="D940" s="4" t="s">
        <v>73</v>
      </c>
      <c r="E940" s="13">
        <f t="shared" ca="1" si="14"/>
        <v>45757</v>
      </c>
      <c r="F940" s="4" t="s">
        <v>33</v>
      </c>
      <c r="G940" s="5">
        <v>2</v>
      </c>
      <c r="H940" s="6">
        <v>45000</v>
      </c>
      <c r="I940" s="6">
        <v>93345</v>
      </c>
      <c r="J940" s="16">
        <v>16802</v>
      </c>
    </row>
    <row r="941" spans="1:10" x14ac:dyDescent="0.3">
      <c r="A941" s="15" t="s">
        <v>15</v>
      </c>
      <c r="B941" s="7" t="s">
        <v>84</v>
      </c>
      <c r="C941" s="7" t="s">
        <v>12</v>
      </c>
      <c r="D941" s="7" t="s">
        <v>54</v>
      </c>
      <c r="E941" s="13">
        <f t="shared" ca="1" si="14"/>
        <v>45861</v>
      </c>
      <c r="F941" s="7" t="s">
        <v>21</v>
      </c>
      <c r="G941" s="8">
        <v>7</v>
      </c>
      <c r="H941" s="9">
        <v>12500</v>
      </c>
      <c r="I941" s="9">
        <v>93105</v>
      </c>
      <c r="J941" s="17">
        <v>7448</v>
      </c>
    </row>
    <row r="942" spans="1:10" x14ac:dyDescent="0.3">
      <c r="A942" s="14" t="s">
        <v>10</v>
      </c>
      <c r="B942" s="4" t="s">
        <v>29</v>
      </c>
      <c r="C942" s="4" t="s">
        <v>26</v>
      </c>
      <c r="D942" s="4" t="s">
        <v>140</v>
      </c>
      <c r="E942" s="13">
        <f t="shared" ca="1" si="14"/>
        <v>45710</v>
      </c>
      <c r="F942" s="4" t="s">
        <v>36</v>
      </c>
      <c r="G942" s="5">
        <v>9</v>
      </c>
      <c r="H942" s="6">
        <v>55000</v>
      </c>
      <c r="I942" s="6">
        <v>519105</v>
      </c>
      <c r="J942" s="16">
        <v>114203</v>
      </c>
    </row>
    <row r="943" spans="1:10" x14ac:dyDescent="0.3">
      <c r="A943" s="15" t="s">
        <v>37</v>
      </c>
      <c r="B943" s="7" t="s">
        <v>81</v>
      </c>
      <c r="C943" s="7" t="s">
        <v>26</v>
      </c>
      <c r="D943" s="7" t="s">
        <v>120</v>
      </c>
      <c r="E943" s="13">
        <f t="shared" ca="1" si="14"/>
        <v>45802</v>
      </c>
      <c r="F943" s="7" t="s">
        <v>40</v>
      </c>
      <c r="G943" s="8">
        <v>4</v>
      </c>
      <c r="H943" s="9">
        <v>15000</v>
      </c>
      <c r="I943" s="9">
        <v>60758</v>
      </c>
      <c r="J943" s="17">
        <v>6076</v>
      </c>
    </row>
    <row r="944" spans="1:10" x14ac:dyDescent="0.3">
      <c r="A944" s="14" t="s">
        <v>10</v>
      </c>
      <c r="B944" s="4" t="s">
        <v>31</v>
      </c>
      <c r="C944" s="4" t="s">
        <v>12</v>
      </c>
      <c r="D944" s="4" t="s">
        <v>191</v>
      </c>
      <c r="E944" s="13">
        <f t="shared" ca="1" si="14"/>
        <v>45953</v>
      </c>
      <c r="F944" s="4" t="s">
        <v>40</v>
      </c>
      <c r="G944" s="5">
        <v>5</v>
      </c>
      <c r="H944" s="6">
        <v>15000</v>
      </c>
      <c r="I944" s="6">
        <v>67888</v>
      </c>
      <c r="J944" s="16">
        <v>6789</v>
      </c>
    </row>
    <row r="945" spans="1:10" x14ac:dyDescent="0.3">
      <c r="A945" s="15" t="s">
        <v>10</v>
      </c>
      <c r="B945" s="7" t="s">
        <v>84</v>
      </c>
      <c r="C945" s="7" t="s">
        <v>12</v>
      </c>
      <c r="D945" s="7" t="s">
        <v>165</v>
      </c>
      <c r="E945" s="13">
        <f t="shared" ca="1" si="14"/>
        <v>46022</v>
      </c>
      <c r="F945" s="7" t="s">
        <v>40</v>
      </c>
      <c r="G945" s="8">
        <v>4</v>
      </c>
      <c r="H945" s="9">
        <v>15000</v>
      </c>
      <c r="I945" s="9">
        <v>61496</v>
      </c>
      <c r="J945" s="17">
        <v>6150</v>
      </c>
    </row>
    <row r="946" spans="1:10" x14ac:dyDescent="0.3">
      <c r="A946" s="14" t="s">
        <v>41</v>
      </c>
      <c r="B946" s="4" t="s">
        <v>25</v>
      </c>
      <c r="C946" s="4" t="s">
        <v>26</v>
      </c>
      <c r="D946" s="4" t="s">
        <v>161</v>
      </c>
      <c r="E946" s="13">
        <f t="shared" ca="1" si="14"/>
        <v>45687</v>
      </c>
      <c r="F946" s="4" t="s">
        <v>33</v>
      </c>
      <c r="G946" s="5">
        <v>1</v>
      </c>
      <c r="H946" s="6">
        <v>45000</v>
      </c>
      <c r="I946" s="6">
        <v>41829</v>
      </c>
      <c r="J946" s="16">
        <v>7529</v>
      </c>
    </row>
    <row r="947" spans="1:10" x14ac:dyDescent="0.3">
      <c r="A947" s="15" t="s">
        <v>37</v>
      </c>
      <c r="B947" s="7" t="s">
        <v>11</v>
      </c>
      <c r="C947" s="7" t="s">
        <v>12</v>
      </c>
      <c r="D947" s="7" t="s">
        <v>211</v>
      </c>
      <c r="E947" s="13">
        <f t="shared" ca="1" si="14"/>
        <v>45706</v>
      </c>
      <c r="F947" s="7" t="s">
        <v>21</v>
      </c>
      <c r="G947" s="8">
        <v>3</v>
      </c>
      <c r="H947" s="9">
        <v>12500</v>
      </c>
      <c r="I947" s="9">
        <v>37093</v>
      </c>
      <c r="J947" s="17">
        <v>2967</v>
      </c>
    </row>
    <row r="948" spans="1:10" x14ac:dyDescent="0.3">
      <c r="A948" s="14" t="s">
        <v>10</v>
      </c>
      <c r="B948" s="4" t="s">
        <v>11</v>
      </c>
      <c r="C948" s="4" t="s">
        <v>12</v>
      </c>
      <c r="D948" s="4" t="s">
        <v>63</v>
      </c>
      <c r="E948" s="13">
        <f t="shared" ca="1" si="14"/>
        <v>45666</v>
      </c>
      <c r="F948" s="4" t="s">
        <v>21</v>
      </c>
      <c r="G948" s="5">
        <v>7</v>
      </c>
      <c r="H948" s="6">
        <v>12500</v>
      </c>
      <c r="I948" s="6">
        <v>89847</v>
      </c>
      <c r="J948" s="16">
        <v>7188</v>
      </c>
    </row>
    <row r="949" spans="1:10" x14ac:dyDescent="0.3">
      <c r="A949" s="15" t="s">
        <v>15</v>
      </c>
      <c r="B949" s="7" t="s">
        <v>88</v>
      </c>
      <c r="C949" s="7" t="s">
        <v>12</v>
      </c>
      <c r="D949" s="7" t="s">
        <v>238</v>
      </c>
      <c r="E949" s="13">
        <f t="shared" ca="1" si="14"/>
        <v>45895</v>
      </c>
      <c r="F949" s="7" t="s">
        <v>36</v>
      </c>
      <c r="G949" s="8">
        <v>6</v>
      </c>
      <c r="H949" s="9">
        <v>55000</v>
      </c>
      <c r="I949" s="9">
        <v>362733</v>
      </c>
      <c r="J949" s="17">
        <v>79801</v>
      </c>
    </row>
    <row r="950" spans="1:10" x14ac:dyDescent="0.3">
      <c r="A950" s="14" t="s">
        <v>18</v>
      </c>
      <c r="B950" s="4" t="s">
        <v>88</v>
      </c>
      <c r="C950" s="4" t="s">
        <v>12</v>
      </c>
      <c r="D950" s="4" t="s">
        <v>231</v>
      </c>
      <c r="E950" s="13">
        <f t="shared" ca="1" si="14"/>
        <v>45663</v>
      </c>
      <c r="F950" s="4" t="s">
        <v>14</v>
      </c>
      <c r="G950" s="5">
        <v>7</v>
      </c>
      <c r="H950" s="6">
        <v>18500</v>
      </c>
      <c r="I950" s="6">
        <v>138729</v>
      </c>
      <c r="J950" s="16">
        <v>16647</v>
      </c>
    </row>
    <row r="951" spans="1:10" x14ac:dyDescent="0.3">
      <c r="A951" s="15" t="s">
        <v>15</v>
      </c>
      <c r="B951" s="7" t="s">
        <v>51</v>
      </c>
      <c r="C951" s="7" t="s">
        <v>12</v>
      </c>
      <c r="D951" s="7" t="s">
        <v>125</v>
      </c>
      <c r="E951" s="13">
        <f t="shared" ca="1" si="14"/>
        <v>45665</v>
      </c>
      <c r="F951" s="7" t="s">
        <v>36</v>
      </c>
      <c r="G951" s="8">
        <v>2</v>
      </c>
      <c r="H951" s="9">
        <v>55000</v>
      </c>
      <c r="I951" s="9">
        <v>112581</v>
      </c>
      <c r="J951" s="17">
        <v>24768</v>
      </c>
    </row>
    <row r="952" spans="1:10" x14ac:dyDescent="0.3">
      <c r="A952" s="14" t="s">
        <v>18</v>
      </c>
      <c r="B952" s="4" t="s">
        <v>51</v>
      </c>
      <c r="C952" s="4" t="s">
        <v>12</v>
      </c>
      <c r="D952" s="4" t="s">
        <v>192</v>
      </c>
      <c r="E952" s="13">
        <f t="shared" ca="1" si="14"/>
        <v>45930</v>
      </c>
      <c r="F952" s="4" t="s">
        <v>40</v>
      </c>
      <c r="G952" s="5">
        <v>5</v>
      </c>
      <c r="H952" s="6">
        <v>15000</v>
      </c>
      <c r="I952" s="6">
        <v>78509</v>
      </c>
      <c r="J952" s="16">
        <v>7851</v>
      </c>
    </row>
    <row r="953" spans="1:10" x14ac:dyDescent="0.3">
      <c r="A953" s="15" t="s">
        <v>10</v>
      </c>
      <c r="B953" s="7" t="s">
        <v>25</v>
      </c>
      <c r="C953" s="7" t="s">
        <v>26</v>
      </c>
      <c r="D953" s="7" t="s">
        <v>65</v>
      </c>
      <c r="E953" s="13">
        <f t="shared" ca="1" si="14"/>
        <v>45869</v>
      </c>
      <c r="F953" s="7" t="s">
        <v>21</v>
      </c>
      <c r="G953" s="8">
        <v>3</v>
      </c>
      <c r="H953" s="9">
        <v>12500</v>
      </c>
      <c r="I953" s="9">
        <v>40749</v>
      </c>
      <c r="J953" s="17">
        <v>3260</v>
      </c>
    </row>
    <row r="954" spans="1:10" x14ac:dyDescent="0.3">
      <c r="A954" s="14" t="s">
        <v>15</v>
      </c>
      <c r="B954" s="4" t="s">
        <v>56</v>
      </c>
      <c r="C954" s="4" t="s">
        <v>23</v>
      </c>
      <c r="D954" s="4" t="s">
        <v>244</v>
      </c>
      <c r="E954" s="13">
        <f t="shared" ca="1" si="14"/>
        <v>45749</v>
      </c>
      <c r="F954" s="4" t="s">
        <v>33</v>
      </c>
      <c r="G954" s="5">
        <v>2</v>
      </c>
      <c r="H954" s="6">
        <v>45000</v>
      </c>
      <c r="I954" s="6">
        <v>98255</v>
      </c>
      <c r="J954" s="16">
        <v>17686</v>
      </c>
    </row>
    <row r="955" spans="1:10" x14ac:dyDescent="0.3">
      <c r="A955" s="15" t="s">
        <v>37</v>
      </c>
      <c r="B955" s="7" t="s">
        <v>38</v>
      </c>
      <c r="C955" s="7" t="s">
        <v>23</v>
      </c>
      <c r="D955" s="7" t="s">
        <v>234</v>
      </c>
      <c r="E955" s="13">
        <f t="shared" ca="1" si="14"/>
        <v>45668</v>
      </c>
      <c r="F955" s="7" t="s">
        <v>36</v>
      </c>
      <c r="G955" s="8">
        <v>3</v>
      </c>
      <c r="H955" s="9">
        <v>55000</v>
      </c>
      <c r="I955" s="9">
        <v>164846</v>
      </c>
      <c r="J955" s="17">
        <v>36266</v>
      </c>
    </row>
    <row r="956" spans="1:10" x14ac:dyDescent="0.3">
      <c r="A956" s="14" t="s">
        <v>10</v>
      </c>
      <c r="B956" s="4" t="s">
        <v>19</v>
      </c>
      <c r="C956" s="4" t="s">
        <v>12</v>
      </c>
      <c r="D956" s="4" t="s">
        <v>250</v>
      </c>
      <c r="E956" s="13">
        <f t="shared" ca="1" si="14"/>
        <v>45707</v>
      </c>
      <c r="F956" s="4" t="s">
        <v>21</v>
      </c>
      <c r="G956" s="5">
        <v>10</v>
      </c>
      <c r="H956" s="6">
        <v>12500</v>
      </c>
      <c r="I956" s="6">
        <v>137251</v>
      </c>
      <c r="J956" s="16">
        <v>10980</v>
      </c>
    </row>
    <row r="957" spans="1:10" x14ac:dyDescent="0.3">
      <c r="A957" s="15" t="s">
        <v>10</v>
      </c>
      <c r="B957" s="7" t="s">
        <v>38</v>
      </c>
      <c r="C957" s="7" t="s">
        <v>23</v>
      </c>
      <c r="D957" s="7" t="s">
        <v>95</v>
      </c>
      <c r="E957" s="13">
        <f t="shared" ca="1" si="14"/>
        <v>45812</v>
      </c>
      <c r="F957" s="7" t="s">
        <v>21</v>
      </c>
      <c r="G957" s="8">
        <v>2</v>
      </c>
      <c r="H957" s="9">
        <v>12500</v>
      </c>
      <c r="I957" s="9">
        <v>26158</v>
      </c>
      <c r="J957" s="17">
        <v>2093</v>
      </c>
    </row>
    <row r="958" spans="1:10" x14ac:dyDescent="0.3">
      <c r="A958" s="14" t="s">
        <v>18</v>
      </c>
      <c r="B958" s="4" t="s">
        <v>46</v>
      </c>
      <c r="C958" s="4" t="s">
        <v>26</v>
      </c>
      <c r="D958" s="4" t="s">
        <v>113</v>
      </c>
      <c r="E958" s="13">
        <f t="shared" ca="1" si="14"/>
        <v>45961</v>
      </c>
      <c r="F958" s="4" t="s">
        <v>14</v>
      </c>
      <c r="G958" s="5">
        <v>6</v>
      </c>
      <c r="H958" s="6">
        <v>18500</v>
      </c>
      <c r="I958" s="6">
        <v>116663</v>
      </c>
      <c r="J958" s="16">
        <v>14000</v>
      </c>
    </row>
    <row r="959" spans="1:10" x14ac:dyDescent="0.3">
      <c r="A959" s="15" t="s">
        <v>15</v>
      </c>
      <c r="B959" s="7" t="s">
        <v>29</v>
      </c>
      <c r="C959" s="7" t="s">
        <v>26</v>
      </c>
      <c r="D959" s="7" t="s">
        <v>114</v>
      </c>
      <c r="E959" s="13">
        <f t="shared" ca="1" si="14"/>
        <v>45853</v>
      </c>
      <c r="F959" s="7" t="s">
        <v>21</v>
      </c>
      <c r="G959" s="8">
        <v>10</v>
      </c>
      <c r="H959" s="9">
        <v>12500</v>
      </c>
      <c r="I959" s="9">
        <v>128282</v>
      </c>
      <c r="J959" s="17">
        <v>10263</v>
      </c>
    </row>
    <row r="960" spans="1:10" x14ac:dyDescent="0.3">
      <c r="A960" s="14" t="s">
        <v>10</v>
      </c>
      <c r="B960" s="4" t="s">
        <v>56</v>
      </c>
      <c r="C960" s="4" t="s">
        <v>23</v>
      </c>
      <c r="D960" s="4" t="s">
        <v>261</v>
      </c>
      <c r="E960" s="13">
        <f t="shared" ca="1" si="14"/>
        <v>45783</v>
      </c>
      <c r="F960" s="4" t="s">
        <v>36</v>
      </c>
      <c r="G960" s="5">
        <v>4</v>
      </c>
      <c r="H960" s="6">
        <v>55000</v>
      </c>
      <c r="I960" s="6">
        <v>220492</v>
      </c>
      <c r="J960" s="16">
        <v>48508</v>
      </c>
    </row>
    <row r="961" spans="1:10" x14ac:dyDescent="0.3">
      <c r="A961" s="15" t="s">
        <v>41</v>
      </c>
      <c r="B961" s="7" t="s">
        <v>56</v>
      </c>
      <c r="C961" s="7" t="s">
        <v>23</v>
      </c>
      <c r="D961" s="7" t="s">
        <v>129</v>
      </c>
      <c r="E961" s="13">
        <f t="shared" ca="1" si="14"/>
        <v>45980</v>
      </c>
      <c r="F961" s="7" t="s">
        <v>40</v>
      </c>
      <c r="G961" s="8">
        <v>7</v>
      </c>
      <c r="H961" s="9">
        <v>15000</v>
      </c>
      <c r="I961" s="9">
        <v>106279</v>
      </c>
      <c r="J961" s="17">
        <v>10628</v>
      </c>
    </row>
    <row r="962" spans="1:10" x14ac:dyDescent="0.3">
      <c r="A962" s="14" t="s">
        <v>41</v>
      </c>
      <c r="B962" s="4" t="s">
        <v>29</v>
      </c>
      <c r="C962" s="4" t="s">
        <v>26</v>
      </c>
      <c r="D962" s="4" t="s">
        <v>94</v>
      </c>
      <c r="E962" s="13">
        <f t="shared" ca="1" si="14"/>
        <v>45757</v>
      </c>
      <c r="F962" s="4" t="s">
        <v>33</v>
      </c>
      <c r="G962" s="5">
        <v>2</v>
      </c>
      <c r="H962" s="6">
        <v>45000</v>
      </c>
      <c r="I962" s="6">
        <v>87079</v>
      </c>
      <c r="J962" s="16">
        <v>15674</v>
      </c>
    </row>
    <row r="963" spans="1:10" x14ac:dyDescent="0.3">
      <c r="A963" s="15" t="s">
        <v>18</v>
      </c>
      <c r="B963" s="7" t="s">
        <v>51</v>
      </c>
      <c r="C963" s="7" t="s">
        <v>12</v>
      </c>
      <c r="D963" s="7" t="s">
        <v>209</v>
      </c>
      <c r="E963" s="13">
        <f t="shared" ref="E963:E1026" ca="1" si="15">DATE(2025,1,1)+RANDBETWEEN(0,364)</f>
        <v>46013</v>
      </c>
      <c r="F963" s="7" t="s">
        <v>14</v>
      </c>
      <c r="G963" s="8">
        <v>6</v>
      </c>
      <c r="H963" s="9">
        <v>18500</v>
      </c>
      <c r="I963" s="9">
        <v>119937</v>
      </c>
      <c r="J963" s="17">
        <v>14392</v>
      </c>
    </row>
    <row r="964" spans="1:10" x14ac:dyDescent="0.3">
      <c r="A964" s="14" t="s">
        <v>10</v>
      </c>
      <c r="B964" s="4" t="s">
        <v>46</v>
      </c>
      <c r="C964" s="4" t="s">
        <v>26</v>
      </c>
      <c r="D964" s="4" t="s">
        <v>220</v>
      </c>
      <c r="E964" s="13">
        <f t="shared" ca="1" si="15"/>
        <v>45887</v>
      </c>
      <c r="F964" s="4" t="s">
        <v>33</v>
      </c>
      <c r="G964" s="5">
        <v>2</v>
      </c>
      <c r="H964" s="6">
        <v>45000</v>
      </c>
      <c r="I964" s="6">
        <v>92849</v>
      </c>
      <c r="J964" s="16">
        <v>16713</v>
      </c>
    </row>
    <row r="965" spans="1:10" x14ac:dyDescent="0.3">
      <c r="A965" s="15" t="s">
        <v>15</v>
      </c>
      <c r="B965" s="7" t="s">
        <v>22</v>
      </c>
      <c r="C965" s="7" t="s">
        <v>23</v>
      </c>
      <c r="D965" s="7" t="s">
        <v>107</v>
      </c>
      <c r="E965" s="13">
        <f t="shared" ca="1" si="15"/>
        <v>45667</v>
      </c>
      <c r="F965" s="7" t="s">
        <v>14</v>
      </c>
      <c r="G965" s="8">
        <v>1</v>
      </c>
      <c r="H965" s="9">
        <v>18500</v>
      </c>
      <c r="I965" s="9">
        <v>18117</v>
      </c>
      <c r="J965" s="17">
        <v>2174</v>
      </c>
    </row>
    <row r="966" spans="1:10" x14ac:dyDescent="0.3">
      <c r="A966" s="14" t="s">
        <v>18</v>
      </c>
      <c r="B966" s="4" t="s">
        <v>25</v>
      </c>
      <c r="C966" s="4" t="s">
        <v>26</v>
      </c>
      <c r="D966" s="4" t="s">
        <v>140</v>
      </c>
      <c r="E966" s="13">
        <f t="shared" ca="1" si="15"/>
        <v>45972</v>
      </c>
      <c r="F966" s="4" t="s">
        <v>40</v>
      </c>
      <c r="G966" s="5">
        <v>3</v>
      </c>
      <c r="H966" s="6">
        <v>15000</v>
      </c>
      <c r="I966" s="6">
        <v>49083</v>
      </c>
      <c r="J966" s="16">
        <v>4908</v>
      </c>
    </row>
    <row r="967" spans="1:10" x14ac:dyDescent="0.3">
      <c r="A967" s="15" t="s">
        <v>18</v>
      </c>
      <c r="B967" s="7" t="s">
        <v>51</v>
      </c>
      <c r="C967" s="7" t="s">
        <v>12</v>
      </c>
      <c r="D967" s="7" t="s">
        <v>61</v>
      </c>
      <c r="E967" s="13">
        <f t="shared" ca="1" si="15"/>
        <v>45763</v>
      </c>
      <c r="F967" s="7" t="s">
        <v>36</v>
      </c>
      <c r="G967" s="8">
        <v>3</v>
      </c>
      <c r="H967" s="9">
        <v>55000</v>
      </c>
      <c r="I967" s="9">
        <v>152032</v>
      </c>
      <c r="J967" s="17">
        <v>33447</v>
      </c>
    </row>
    <row r="968" spans="1:10" x14ac:dyDescent="0.3">
      <c r="A968" s="14" t="s">
        <v>18</v>
      </c>
      <c r="B968" s="4" t="s">
        <v>46</v>
      </c>
      <c r="C968" s="4" t="s">
        <v>26</v>
      </c>
      <c r="D968" s="4" t="s">
        <v>93</v>
      </c>
      <c r="E968" s="13">
        <f t="shared" ca="1" si="15"/>
        <v>45812</v>
      </c>
      <c r="F968" s="4" t="s">
        <v>40</v>
      </c>
      <c r="G968" s="5">
        <v>5</v>
      </c>
      <c r="H968" s="6">
        <v>15000</v>
      </c>
      <c r="I968" s="6">
        <v>68861</v>
      </c>
      <c r="J968" s="16">
        <v>6886</v>
      </c>
    </row>
    <row r="969" spans="1:10" x14ac:dyDescent="0.3">
      <c r="A969" s="15" t="s">
        <v>37</v>
      </c>
      <c r="B969" s="7" t="s">
        <v>77</v>
      </c>
      <c r="C969" s="7" t="s">
        <v>12</v>
      </c>
      <c r="D969" s="7" t="s">
        <v>239</v>
      </c>
      <c r="E969" s="13">
        <f t="shared" ca="1" si="15"/>
        <v>45762</v>
      </c>
      <c r="F969" s="7" t="s">
        <v>21</v>
      </c>
      <c r="G969" s="8">
        <v>7</v>
      </c>
      <c r="H969" s="9">
        <v>12500</v>
      </c>
      <c r="I969" s="9">
        <v>93807</v>
      </c>
      <c r="J969" s="17">
        <v>7505</v>
      </c>
    </row>
    <row r="970" spans="1:10" x14ac:dyDescent="0.3">
      <c r="A970" s="14" t="s">
        <v>10</v>
      </c>
      <c r="B970" s="4" t="s">
        <v>84</v>
      </c>
      <c r="C970" s="4" t="s">
        <v>12</v>
      </c>
      <c r="D970" s="4" t="s">
        <v>172</v>
      </c>
      <c r="E970" s="13">
        <f t="shared" ca="1" si="15"/>
        <v>45924</v>
      </c>
      <c r="F970" s="4" t="s">
        <v>33</v>
      </c>
      <c r="G970" s="5">
        <v>4</v>
      </c>
      <c r="H970" s="6">
        <v>45000</v>
      </c>
      <c r="I970" s="6">
        <v>192527</v>
      </c>
      <c r="J970" s="16">
        <v>34655</v>
      </c>
    </row>
    <row r="971" spans="1:10" x14ac:dyDescent="0.3">
      <c r="A971" s="15" t="s">
        <v>41</v>
      </c>
      <c r="B971" s="7" t="s">
        <v>38</v>
      </c>
      <c r="C971" s="7" t="s">
        <v>23</v>
      </c>
      <c r="D971" s="7" t="s">
        <v>98</v>
      </c>
      <c r="E971" s="13">
        <f t="shared" ca="1" si="15"/>
        <v>45959</v>
      </c>
      <c r="F971" s="7" t="s">
        <v>40</v>
      </c>
      <c r="G971" s="8">
        <v>6</v>
      </c>
      <c r="H971" s="9">
        <v>15000</v>
      </c>
      <c r="I971" s="9">
        <v>93786</v>
      </c>
      <c r="J971" s="17">
        <v>9379</v>
      </c>
    </row>
    <row r="972" spans="1:10" x14ac:dyDescent="0.3">
      <c r="A972" s="14" t="s">
        <v>37</v>
      </c>
      <c r="B972" s="4" t="s">
        <v>31</v>
      </c>
      <c r="C972" s="4" t="s">
        <v>12</v>
      </c>
      <c r="D972" s="4" t="s">
        <v>78</v>
      </c>
      <c r="E972" s="13">
        <f t="shared" ca="1" si="15"/>
        <v>45686</v>
      </c>
      <c r="F972" s="4" t="s">
        <v>21</v>
      </c>
      <c r="G972" s="5">
        <v>10</v>
      </c>
      <c r="H972" s="6">
        <v>12500</v>
      </c>
      <c r="I972" s="6">
        <v>118034</v>
      </c>
      <c r="J972" s="16">
        <v>9443</v>
      </c>
    </row>
    <row r="973" spans="1:10" x14ac:dyDescent="0.3">
      <c r="A973" s="15" t="s">
        <v>15</v>
      </c>
      <c r="B973" s="7" t="s">
        <v>22</v>
      </c>
      <c r="C973" s="7" t="s">
        <v>23</v>
      </c>
      <c r="D973" s="7" t="s">
        <v>240</v>
      </c>
      <c r="E973" s="13">
        <f t="shared" ca="1" si="15"/>
        <v>45938</v>
      </c>
      <c r="F973" s="7" t="s">
        <v>14</v>
      </c>
      <c r="G973" s="8">
        <v>8</v>
      </c>
      <c r="H973" s="9">
        <v>18500</v>
      </c>
      <c r="I973" s="9">
        <v>140832</v>
      </c>
      <c r="J973" s="17">
        <v>16900</v>
      </c>
    </row>
    <row r="974" spans="1:10" x14ac:dyDescent="0.3">
      <c r="A974" s="14" t="s">
        <v>15</v>
      </c>
      <c r="B974" s="4" t="s">
        <v>16</v>
      </c>
      <c r="C974" s="4" t="s">
        <v>12</v>
      </c>
      <c r="D974" s="4" t="s">
        <v>112</v>
      </c>
      <c r="E974" s="13">
        <f t="shared" ca="1" si="15"/>
        <v>45722</v>
      </c>
      <c r="F974" s="4" t="s">
        <v>36</v>
      </c>
      <c r="G974" s="5">
        <v>6</v>
      </c>
      <c r="H974" s="6">
        <v>55000</v>
      </c>
      <c r="I974" s="6">
        <v>359530</v>
      </c>
      <c r="J974" s="16">
        <v>79097</v>
      </c>
    </row>
    <row r="975" spans="1:10" x14ac:dyDescent="0.3">
      <c r="A975" s="15" t="s">
        <v>15</v>
      </c>
      <c r="B975" s="7" t="s">
        <v>16</v>
      </c>
      <c r="C975" s="7" t="s">
        <v>12</v>
      </c>
      <c r="D975" s="7" t="s">
        <v>86</v>
      </c>
      <c r="E975" s="13">
        <f t="shared" ca="1" si="15"/>
        <v>45916</v>
      </c>
      <c r="F975" s="7" t="s">
        <v>36</v>
      </c>
      <c r="G975" s="8">
        <v>7</v>
      </c>
      <c r="H975" s="9">
        <v>55000</v>
      </c>
      <c r="I975" s="9">
        <v>406761</v>
      </c>
      <c r="J975" s="17">
        <v>89487</v>
      </c>
    </row>
    <row r="976" spans="1:10" x14ac:dyDescent="0.3">
      <c r="A976" s="14" t="s">
        <v>15</v>
      </c>
      <c r="B976" s="4" t="s">
        <v>56</v>
      </c>
      <c r="C976" s="4" t="s">
        <v>23</v>
      </c>
      <c r="D976" s="4" t="s">
        <v>82</v>
      </c>
      <c r="E976" s="13">
        <f t="shared" ca="1" si="15"/>
        <v>45847</v>
      </c>
      <c r="F976" s="4" t="s">
        <v>40</v>
      </c>
      <c r="G976" s="5">
        <v>3</v>
      </c>
      <c r="H976" s="6">
        <v>15000</v>
      </c>
      <c r="I976" s="6">
        <v>44269</v>
      </c>
      <c r="J976" s="16">
        <v>4427</v>
      </c>
    </row>
    <row r="977" spans="1:10" x14ac:dyDescent="0.3">
      <c r="A977" s="15" t="s">
        <v>10</v>
      </c>
      <c r="B977" s="7" t="s">
        <v>81</v>
      </c>
      <c r="C977" s="7" t="s">
        <v>26</v>
      </c>
      <c r="D977" s="7" t="s">
        <v>66</v>
      </c>
      <c r="E977" s="13">
        <f t="shared" ca="1" si="15"/>
        <v>45902</v>
      </c>
      <c r="F977" s="7" t="s">
        <v>21</v>
      </c>
      <c r="G977" s="8">
        <v>2</v>
      </c>
      <c r="H977" s="9">
        <v>12500</v>
      </c>
      <c r="I977" s="9">
        <v>23611</v>
      </c>
      <c r="J977" s="17">
        <v>1889</v>
      </c>
    </row>
    <row r="978" spans="1:10" x14ac:dyDescent="0.3">
      <c r="A978" s="14" t="s">
        <v>15</v>
      </c>
      <c r="B978" s="4" t="s">
        <v>16</v>
      </c>
      <c r="C978" s="4" t="s">
        <v>12</v>
      </c>
      <c r="D978" s="4" t="s">
        <v>124</v>
      </c>
      <c r="E978" s="13">
        <f t="shared" ca="1" si="15"/>
        <v>45721</v>
      </c>
      <c r="F978" s="4" t="s">
        <v>33</v>
      </c>
      <c r="G978" s="5">
        <v>4</v>
      </c>
      <c r="H978" s="6">
        <v>45000</v>
      </c>
      <c r="I978" s="6">
        <v>196515</v>
      </c>
      <c r="J978" s="16">
        <v>35373</v>
      </c>
    </row>
    <row r="979" spans="1:10" x14ac:dyDescent="0.3">
      <c r="A979" s="15" t="s">
        <v>37</v>
      </c>
      <c r="B979" s="7" t="s">
        <v>88</v>
      </c>
      <c r="C979" s="7" t="s">
        <v>12</v>
      </c>
      <c r="D979" s="7" t="s">
        <v>83</v>
      </c>
      <c r="E979" s="13">
        <f t="shared" ca="1" si="15"/>
        <v>45931</v>
      </c>
      <c r="F979" s="7" t="s">
        <v>36</v>
      </c>
      <c r="G979" s="8">
        <v>6</v>
      </c>
      <c r="H979" s="9">
        <v>55000</v>
      </c>
      <c r="I979" s="9">
        <v>352601</v>
      </c>
      <c r="J979" s="17">
        <v>77572</v>
      </c>
    </row>
    <row r="980" spans="1:10" x14ac:dyDescent="0.3">
      <c r="A980" s="14" t="s">
        <v>10</v>
      </c>
      <c r="B980" s="4" t="s">
        <v>88</v>
      </c>
      <c r="C980" s="4" t="s">
        <v>12</v>
      </c>
      <c r="D980" s="4" t="s">
        <v>194</v>
      </c>
      <c r="E980" s="13">
        <f t="shared" ca="1" si="15"/>
        <v>45799</v>
      </c>
      <c r="F980" s="4" t="s">
        <v>40</v>
      </c>
      <c r="G980" s="5">
        <v>5</v>
      </c>
      <c r="H980" s="6">
        <v>15000</v>
      </c>
      <c r="I980" s="6">
        <v>78323</v>
      </c>
      <c r="J980" s="16">
        <v>7832</v>
      </c>
    </row>
    <row r="981" spans="1:10" x14ac:dyDescent="0.3">
      <c r="A981" s="15" t="s">
        <v>18</v>
      </c>
      <c r="B981" s="7" t="s">
        <v>88</v>
      </c>
      <c r="C981" s="7" t="s">
        <v>12</v>
      </c>
      <c r="D981" s="7" t="s">
        <v>226</v>
      </c>
      <c r="E981" s="13">
        <f t="shared" ca="1" si="15"/>
        <v>45829</v>
      </c>
      <c r="F981" s="7" t="s">
        <v>36</v>
      </c>
      <c r="G981" s="8">
        <v>8</v>
      </c>
      <c r="H981" s="9">
        <v>55000</v>
      </c>
      <c r="I981" s="9">
        <v>444924</v>
      </c>
      <c r="J981" s="17">
        <v>97883</v>
      </c>
    </row>
    <row r="982" spans="1:10" x14ac:dyDescent="0.3">
      <c r="A982" s="14" t="s">
        <v>18</v>
      </c>
      <c r="B982" s="4" t="s">
        <v>77</v>
      </c>
      <c r="C982" s="4" t="s">
        <v>12</v>
      </c>
      <c r="D982" s="4" t="s">
        <v>74</v>
      </c>
      <c r="E982" s="13">
        <f t="shared" ca="1" si="15"/>
        <v>45940</v>
      </c>
      <c r="F982" s="4" t="s">
        <v>14</v>
      </c>
      <c r="G982" s="5">
        <v>10</v>
      </c>
      <c r="H982" s="6">
        <v>18500</v>
      </c>
      <c r="I982" s="6">
        <v>188143</v>
      </c>
      <c r="J982" s="16">
        <v>22577</v>
      </c>
    </row>
    <row r="983" spans="1:10" x14ac:dyDescent="0.3">
      <c r="A983" s="15" t="s">
        <v>10</v>
      </c>
      <c r="B983" s="7" t="s">
        <v>81</v>
      </c>
      <c r="C983" s="7" t="s">
        <v>26</v>
      </c>
      <c r="D983" s="7" t="s">
        <v>53</v>
      </c>
      <c r="E983" s="13">
        <f t="shared" ca="1" si="15"/>
        <v>45930</v>
      </c>
      <c r="F983" s="7" t="s">
        <v>36</v>
      </c>
      <c r="G983" s="8">
        <v>3</v>
      </c>
      <c r="H983" s="9">
        <v>55000</v>
      </c>
      <c r="I983" s="9">
        <v>173915</v>
      </c>
      <c r="J983" s="17">
        <v>38261</v>
      </c>
    </row>
    <row r="984" spans="1:10" x14ac:dyDescent="0.3">
      <c r="A984" s="14" t="s">
        <v>18</v>
      </c>
      <c r="B984" s="4" t="s">
        <v>38</v>
      </c>
      <c r="C984" s="4" t="s">
        <v>23</v>
      </c>
      <c r="D984" s="4" t="s">
        <v>75</v>
      </c>
      <c r="E984" s="13">
        <f t="shared" ca="1" si="15"/>
        <v>45696</v>
      </c>
      <c r="F984" s="4" t="s">
        <v>21</v>
      </c>
      <c r="G984" s="5">
        <v>7</v>
      </c>
      <c r="H984" s="6">
        <v>12500</v>
      </c>
      <c r="I984" s="6">
        <v>83510</v>
      </c>
      <c r="J984" s="16">
        <v>6681</v>
      </c>
    </row>
    <row r="985" spans="1:10" x14ac:dyDescent="0.3">
      <c r="A985" s="15" t="s">
        <v>18</v>
      </c>
      <c r="B985" s="7" t="s">
        <v>25</v>
      </c>
      <c r="C985" s="7" t="s">
        <v>26</v>
      </c>
      <c r="D985" s="7" t="s">
        <v>243</v>
      </c>
      <c r="E985" s="13">
        <f t="shared" ca="1" si="15"/>
        <v>45713</v>
      </c>
      <c r="F985" s="7" t="s">
        <v>33</v>
      </c>
      <c r="G985" s="8">
        <v>7</v>
      </c>
      <c r="H985" s="9">
        <v>45000</v>
      </c>
      <c r="I985" s="9">
        <v>285260</v>
      </c>
      <c r="J985" s="17">
        <v>51347</v>
      </c>
    </row>
    <row r="986" spans="1:10" x14ac:dyDescent="0.3">
      <c r="A986" s="14" t="s">
        <v>15</v>
      </c>
      <c r="B986" s="4" t="s">
        <v>56</v>
      </c>
      <c r="C986" s="4" t="s">
        <v>23</v>
      </c>
      <c r="D986" s="4" t="s">
        <v>209</v>
      </c>
      <c r="E986" s="13">
        <f t="shared" ca="1" si="15"/>
        <v>45956</v>
      </c>
      <c r="F986" s="4" t="s">
        <v>40</v>
      </c>
      <c r="G986" s="5">
        <v>10</v>
      </c>
      <c r="H986" s="6">
        <v>15000</v>
      </c>
      <c r="I986" s="6">
        <v>150212</v>
      </c>
      <c r="J986" s="16">
        <v>15021</v>
      </c>
    </row>
    <row r="987" spans="1:10" x14ac:dyDescent="0.3">
      <c r="A987" s="15" t="s">
        <v>41</v>
      </c>
      <c r="B987" s="7" t="s">
        <v>38</v>
      </c>
      <c r="C987" s="7" t="s">
        <v>23</v>
      </c>
      <c r="D987" s="7" t="s">
        <v>76</v>
      </c>
      <c r="E987" s="13">
        <f t="shared" ca="1" si="15"/>
        <v>45670</v>
      </c>
      <c r="F987" s="7" t="s">
        <v>40</v>
      </c>
      <c r="G987" s="8">
        <v>8</v>
      </c>
      <c r="H987" s="9">
        <v>15000</v>
      </c>
      <c r="I987" s="9">
        <v>127409</v>
      </c>
      <c r="J987" s="17">
        <v>12741</v>
      </c>
    </row>
    <row r="988" spans="1:10" x14ac:dyDescent="0.3">
      <c r="A988" s="14" t="s">
        <v>41</v>
      </c>
      <c r="B988" s="4" t="s">
        <v>11</v>
      </c>
      <c r="C988" s="4" t="s">
        <v>12</v>
      </c>
      <c r="D988" s="4" t="s">
        <v>135</v>
      </c>
      <c r="E988" s="13">
        <f t="shared" ca="1" si="15"/>
        <v>46007</v>
      </c>
      <c r="F988" s="4" t="s">
        <v>33</v>
      </c>
      <c r="G988" s="5">
        <v>2</v>
      </c>
      <c r="H988" s="6">
        <v>45000</v>
      </c>
      <c r="I988" s="6">
        <v>83751</v>
      </c>
      <c r="J988" s="16">
        <v>15075</v>
      </c>
    </row>
    <row r="989" spans="1:10" x14ac:dyDescent="0.3">
      <c r="A989" s="15" t="s">
        <v>10</v>
      </c>
      <c r="B989" s="7" t="s">
        <v>56</v>
      </c>
      <c r="C989" s="7" t="s">
        <v>23</v>
      </c>
      <c r="D989" s="7" t="s">
        <v>231</v>
      </c>
      <c r="E989" s="13">
        <f t="shared" ca="1" si="15"/>
        <v>45923</v>
      </c>
      <c r="F989" s="7" t="s">
        <v>21</v>
      </c>
      <c r="G989" s="8">
        <v>4</v>
      </c>
      <c r="H989" s="9">
        <v>12500</v>
      </c>
      <c r="I989" s="9">
        <v>54318</v>
      </c>
      <c r="J989" s="17">
        <v>4345</v>
      </c>
    </row>
    <row r="990" spans="1:10" x14ac:dyDescent="0.3">
      <c r="A990" s="14" t="s">
        <v>37</v>
      </c>
      <c r="B990" s="4" t="s">
        <v>84</v>
      </c>
      <c r="C990" s="4" t="s">
        <v>12</v>
      </c>
      <c r="D990" s="4" t="s">
        <v>259</v>
      </c>
      <c r="E990" s="13">
        <f t="shared" ca="1" si="15"/>
        <v>45792</v>
      </c>
      <c r="F990" s="4" t="s">
        <v>14</v>
      </c>
      <c r="G990" s="5">
        <v>2</v>
      </c>
      <c r="H990" s="6">
        <v>18500</v>
      </c>
      <c r="I990" s="6">
        <v>34674</v>
      </c>
      <c r="J990" s="16">
        <v>4161</v>
      </c>
    </row>
    <row r="991" spans="1:10" x14ac:dyDescent="0.3">
      <c r="A991" s="15" t="s">
        <v>41</v>
      </c>
      <c r="B991" s="7" t="s">
        <v>38</v>
      </c>
      <c r="C991" s="7" t="s">
        <v>23</v>
      </c>
      <c r="D991" s="7" t="s">
        <v>114</v>
      </c>
      <c r="E991" s="13">
        <f t="shared" ca="1" si="15"/>
        <v>45728</v>
      </c>
      <c r="F991" s="7" t="s">
        <v>33</v>
      </c>
      <c r="G991" s="8">
        <v>8</v>
      </c>
      <c r="H991" s="9">
        <v>45000</v>
      </c>
      <c r="I991" s="9">
        <v>369653</v>
      </c>
      <c r="J991" s="17">
        <v>66538</v>
      </c>
    </row>
    <row r="992" spans="1:10" x14ac:dyDescent="0.3">
      <c r="A992" s="14" t="s">
        <v>15</v>
      </c>
      <c r="B992" s="4" t="s">
        <v>51</v>
      </c>
      <c r="C992" s="4" t="s">
        <v>12</v>
      </c>
      <c r="D992" s="4" t="s">
        <v>239</v>
      </c>
      <c r="E992" s="13">
        <f t="shared" ca="1" si="15"/>
        <v>45944</v>
      </c>
      <c r="F992" s="4" t="s">
        <v>40</v>
      </c>
      <c r="G992" s="5">
        <v>10</v>
      </c>
      <c r="H992" s="6">
        <v>15000</v>
      </c>
      <c r="I992" s="6">
        <v>154126</v>
      </c>
      <c r="J992" s="16">
        <v>15413</v>
      </c>
    </row>
    <row r="993" spans="1:10" x14ac:dyDescent="0.3">
      <c r="A993" s="15" t="s">
        <v>15</v>
      </c>
      <c r="B993" s="7" t="s">
        <v>81</v>
      </c>
      <c r="C993" s="7" t="s">
        <v>26</v>
      </c>
      <c r="D993" s="7" t="s">
        <v>193</v>
      </c>
      <c r="E993" s="13">
        <f t="shared" ca="1" si="15"/>
        <v>45694</v>
      </c>
      <c r="F993" s="7" t="s">
        <v>36</v>
      </c>
      <c r="G993" s="8">
        <v>10</v>
      </c>
      <c r="H993" s="9">
        <v>55000</v>
      </c>
      <c r="I993" s="9">
        <v>542892</v>
      </c>
      <c r="J993" s="17">
        <v>119436</v>
      </c>
    </row>
    <row r="994" spans="1:10" x14ac:dyDescent="0.3">
      <c r="A994" s="14" t="s">
        <v>37</v>
      </c>
      <c r="B994" s="4" t="s">
        <v>31</v>
      </c>
      <c r="C994" s="4" t="s">
        <v>12</v>
      </c>
      <c r="D994" s="4" t="s">
        <v>89</v>
      </c>
      <c r="E994" s="13">
        <f t="shared" ca="1" si="15"/>
        <v>45964</v>
      </c>
      <c r="F994" s="4" t="s">
        <v>36</v>
      </c>
      <c r="G994" s="5">
        <v>1</v>
      </c>
      <c r="H994" s="6">
        <v>55000</v>
      </c>
      <c r="I994" s="6">
        <v>56281</v>
      </c>
      <c r="J994" s="16">
        <v>12382</v>
      </c>
    </row>
    <row r="995" spans="1:10" x14ac:dyDescent="0.3">
      <c r="A995" s="15" t="s">
        <v>10</v>
      </c>
      <c r="B995" s="7" t="s">
        <v>29</v>
      </c>
      <c r="C995" s="7" t="s">
        <v>26</v>
      </c>
      <c r="D995" s="7" t="s">
        <v>101</v>
      </c>
      <c r="E995" s="13">
        <f t="shared" ca="1" si="15"/>
        <v>45769</v>
      </c>
      <c r="F995" s="7" t="s">
        <v>33</v>
      </c>
      <c r="G995" s="8">
        <v>5</v>
      </c>
      <c r="H995" s="9">
        <v>45000</v>
      </c>
      <c r="I995" s="9">
        <v>227399</v>
      </c>
      <c r="J995" s="17">
        <v>40932</v>
      </c>
    </row>
    <row r="996" spans="1:10" x14ac:dyDescent="0.3">
      <c r="A996" s="14" t="s">
        <v>10</v>
      </c>
      <c r="B996" s="4" t="s">
        <v>22</v>
      </c>
      <c r="C996" s="4" t="s">
        <v>23</v>
      </c>
      <c r="D996" s="4" t="s">
        <v>200</v>
      </c>
      <c r="E996" s="13">
        <f t="shared" ca="1" si="15"/>
        <v>45740</v>
      </c>
      <c r="F996" s="4" t="s">
        <v>36</v>
      </c>
      <c r="G996" s="5">
        <v>6</v>
      </c>
      <c r="H996" s="6">
        <v>55000</v>
      </c>
      <c r="I996" s="6">
        <v>299668</v>
      </c>
      <c r="J996" s="16">
        <v>65927</v>
      </c>
    </row>
    <row r="997" spans="1:10" x14ac:dyDescent="0.3">
      <c r="A997" s="15" t="s">
        <v>10</v>
      </c>
      <c r="B997" s="7" t="s">
        <v>25</v>
      </c>
      <c r="C997" s="7" t="s">
        <v>26</v>
      </c>
      <c r="D997" s="7" t="s">
        <v>39</v>
      </c>
      <c r="E997" s="13">
        <f t="shared" ca="1" si="15"/>
        <v>45978</v>
      </c>
      <c r="F997" s="7" t="s">
        <v>40</v>
      </c>
      <c r="G997" s="8">
        <v>3</v>
      </c>
      <c r="H997" s="9">
        <v>15000</v>
      </c>
      <c r="I997" s="9">
        <v>43357</v>
      </c>
      <c r="J997" s="17">
        <v>4336</v>
      </c>
    </row>
    <row r="998" spans="1:10" x14ac:dyDescent="0.3">
      <c r="A998" s="14" t="s">
        <v>41</v>
      </c>
      <c r="B998" s="4" t="s">
        <v>56</v>
      </c>
      <c r="C998" s="4" t="s">
        <v>23</v>
      </c>
      <c r="D998" s="4" t="s">
        <v>163</v>
      </c>
      <c r="E998" s="13">
        <f t="shared" ca="1" si="15"/>
        <v>45784</v>
      </c>
      <c r="F998" s="4" t="s">
        <v>21</v>
      </c>
      <c r="G998" s="5">
        <v>2</v>
      </c>
      <c r="H998" s="6">
        <v>12500</v>
      </c>
      <c r="I998" s="6">
        <v>22548</v>
      </c>
      <c r="J998" s="16">
        <v>1804</v>
      </c>
    </row>
    <row r="999" spans="1:10" x14ac:dyDescent="0.3">
      <c r="A999" s="15" t="s">
        <v>10</v>
      </c>
      <c r="B999" s="7" t="s">
        <v>11</v>
      </c>
      <c r="C999" s="7" t="s">
        <v>12</v>
      </c>
      <c r="D999" s="7" t="s">
        <v>125</v>
      </c>
      <c r="E999" s="13">
        <f t="shared" ca="1" si="15"/>
        <v>45839</v>
      </c>
      <c r="F999" s="7" t="s">
        <v>14</v>
      </c>
      <c r="G999" s="8">
        <v>10</v>
      </c>
      <c r="H999" s="9">
        <v>18500</v>
      </c>
      <c r="I999" s="9">
        <v>182936</v>
      </c>
      <c r="J999" s="17">
        <v>21952</v>
      </c>
    </row>
    <row r="1000" spans="1:10" x14ac:dyDescent="0.3">
      <c r="A1000" s="14" t="s">
        <v>41</v>
      </c>
      <c r="B1000" s="4" t="s">
        <v>22</v>
      </c>
      <c r="C1000" s="4" t="s">
        <v>23</v>
      </c>
      <c r="D1000" s="4" t="s">
        <v>153</v>
      </c>
      <c r="E1000" s="13">
        <f t="shared" ca="1" si="15"/>
        <v>45943</v>
      </c>
      <c r="F1000" s="4" t="s">
        <v>14</v>
      </c>
      <c r="G1000" s="5">
        <v>1</v>
      </c>
      <c r="H1000" s="6">
        <v>18500</v>
      </c>
      <c r="I1000" s="6">
        <v>18759</v>
      </c>
      <c r="J1000" s="16">
        <v>2251</v>
      </c>
    </row>
    <row r="1001" spans="1:10" x14ac:dyDescent="0.3">
      <c r="A1001" s="15" t="s">
        <v>18</v>
      </c>
      <c r="B1001" s="7" t="s">
        <v>77</v>
      </c>
      <c r="C1001" s="7" t="s">
        <v>12</v>
      </c>
      <c r="D1001" s="7" t="s">
        <v>244</v>
      </c>
      <c r="E1001" s="13">
        <f t="shared" ca="1" si="15"/>
        <v>45806</v>
      </c>
      <c r="F1001" s="7" t="s">
        <v>33</v>
      </c>
      <c r="G1001" s="8">
        <v>5</v>
      </c>
      <c r="H1001" s="9">
        <v>45000</v>
      </c>
      <c r="I1001" s="9">
        <v>221439</v>
      </c>
      <c r="J1001" s="17">
        <v>39859</v>
      </c>
    </row>
    <row r="1002" spans="1:10" x14ac:dyDescent="0.3">
      <c r="A1002" s="14" t="s">
        <v>15</v>
      </c>
      <c r="B1002" s="4" t="s">
        <v>25</v>
      </c>
      <c r="C1002" s="4" t="s">
        <v>26</v>
      </c>
      <c r="D1002" s="4" t="s">
        <v>205</v>
      </c>
      <c r="E1002" s="13">
        <f t="shared" ca="1" si="15"/>
        <v>45772</v>
      </c>
      <c r="F1002" s="4" t="s">
        <v>14</v>
      </c>
      <c r="G1002" s="5">
        <v>5</v>
      </c>
      <c r="H1002" s="6">
        <v>18500</v>
      </c>
      <c r="I1002" s="6">
        <v>95452</v>
      </c>
      <c r="J1002" s="16">
        <v>11454</v>
      </c>
    </row>
    <row r="1003" spans="1:10" x14ac:dyDescent="0.3">
      <c r="A1003" s="15" t="s">
        <v>15</v>
      </c>
      <c r="B1003" s="7" t="s">
        <v>11</v>
      </c>
      <c r="C1003" s="7" t="s">
        <v>12</v>
      </c>
      <c r="D1003" s="7" t="s">
        <v>219</v>
      </c>
      <c r="E1003" s="13">
        <f t="shared" ca="1" si="15"/>
        <v>45664</v>
      </c>
      <c r="F1003" s="7" t="s">
        <v>21</v>
      </c>
      <c r="G1003" s="8">
        <v>3</v>
      </c>
      <c r="H1003" s="9">
        <v>12500</v>
      </c>
      <c r="I1003" s="9">
        <v>39213</v>
      </c>
      <c r="J1003" s="17">
        <v>3137</v>
      </c>
    </row>
    <row r="1004" spans="1:10" x14ac:dyDescent="0.3">
      <c r="A1004" s="14" t="s">
        <v>37</v>
      </c>
      <c r="B1004" s="4" t="s">
        <v>31</v>
      </c>
      <c r="C1004" s="4" t="s">
        <v>12</v>
      </c>
      <c r="D1004" s="4" t="s">
        <v>256</v>
      </c>
      <c r="E1004" s="13">
        <f t="shared" ca="1" si="15"/>
        <v>45678</v>
      </c>
      <c r="F1004" s="4" t="s">
        <v>21</v>
      </c>
      <c r="G1004" s="5">
        <v>2</v>
      </c>
      <c r="H1004" s="6">
        <v>12500</v>
      </c>
      <c r="I1004" s="6">
        <v>25387</v>
      </c>
      <c r="J1004" s="16">
        <v>2031</v>
      </c>
    </row>
    <row r="1005" spans="1:10" x14ac:dyDescent="0.3">
      <c r="A1005" s="15" t="s">
        <v>15</v>
      </c>
      <c r="B1005" s="7" t="s">
        <v>19</v>
      </c>
      <c r="C1005" s="7" t="s">
        <v>12</v>
      </c>
      <c r="D1005" s="7" t="s">
        <v>133</v>
      </c>
      <c r="E1005" s="13">
        <f t="shared" ca="1" si="15"/>
        <v>45807</v>
      </c>
      <c r="F1005" s="7" t="s">
        <v>14</v>
      </c>
      <c r="G1005" s="8">
        <v>4</v>
      </c>
      <c r="H1005" s="9">
        <v>18500</v>
      </c>
      <c r="I1005" s="9">
        <v>71184</v>
      </c>
      <c r="J1005" s="17">
        <v>8542</v>
      </c>
    </row>
    <row r="1006" spans="1:10" x14ac:dyDescent="0.3">
      <c r="A1006" s="14" t="s">
        <v>41</v>
      </c>
      <c r="B1006" s="4" t="s">
        <v>77</v>
      </c>
      <c r="C1006" s="4" t="s">
        <v>12</v>
      </c>
      <c r="D1006" s="4" t="s">
        <v>32</v>
      </c>
      <c r="E1006" s="13">
        <f t="shared" ca="1" si="15"/>
        <v>46019</v>
      </c>
      <c r="F1006" s="4" t="s">
        <v>33</v>
      </c>
      <c r="G1006" s="5">
        <v>2</v>
      </c>
      <c r="H1006" s="6">
        <v>45000</v>
      </c>
      <c r="I1006" s="6">
        <v>83837</v>
      </c>
      <c r="J1006" s="16">
        <v>15091</v>
      </c>
    </row>
    <row r="1007" spans="1:10" x14ac:dyDescent="0.3">
      <c r="A1007" s="15" t="s">
        <v>41</v>
      </c>
      <c r="B1007" s="7" t="s">
        <v>38</v>
      </c>
      <c r="C1007" s="7" t="s">
        <v>23</v>
      </c>
      <c r="D1007" s="7" t="s">
        <v>225</v>
      </c>
      <c r="E1007" s="13">
        <f t="shared" ca="1" si="15"/>
        <v>45868</v>
      </c>
      <c r="F1007" s="7" t="s">
        <v>14</v>
      </c>
      <c r="G1007" s="8">
        <v>4</v>
      </c>
      <c r="H1007" s="9">
        <v>18500</v>
      </c>
      <c r="I1007" s="9">
        <v>69601</v>
      </c>
      <c r="J1007" s="17">
        <v>8352</v>
      </c>
    </row>
    <row r="1008" spans="1:10" x14ac:dyDescent="0.3">
      <c r="A1008" s="14" t="s">
        <v>18</v>
      </c>
      <c r="B1008" s="4" t="s">
        <v>88</v>
      </c>
      <c r="C1008" s="4" t="s">
        <v>12</v>
      </c>
      <c r="D1008" s="4" t="s">
        <v>231</v>
      </c>
      <c r="E1008" s="13">
        <f t="shared" ca="1" si="15"/>
        <v>45985</v>
      </c>
      <c r="F1008" s="4" t="s">
        <v>33</v>
      </c>
      <c r="G1008" s="5">
        <v>8</v>
      </c>
      <c r="H1008" s="6">
        <v>45000</v>
      </c>
      <c r="I1008" s="6">
        <v>349571</v>
      </c>
      <c r="J1008" s="16">
        <v>62923</v>
      </c>
    </row>
    <row r="1009" spans="1:10" x14ac:dyDescent="0.3">
      <c r="A1009" s="15" t="s">
        <v>37</v>
      </c>
      <c r="B1009" s="7" t="s">
        <v>16</v>
      </c>
      <c r="C1009" s="7" t="s">
        <v>12</v>
      </c>
      <c r="D1009" s="7" t="s">
        <v>155</v>
      </c>
      <c r="E1009" s="13">
        <f t="shared" ca="1" si="15"/>
        <v>45776</v>
      </c>
      <c r="F1009" s="7" t="s">
        <v>33</v>
      </c>
      <c r="G1009" s="8">
        <v>3</v>
      </c>
      <c r="H1009" s="9">
        <v>45000</v>
      </c>
      <c r="I1009" s="9">
        <v>139838</v>
      </c>
      <c r="J1009" s="17">
        <v>25171</v>
      </c>
    </row>
    <row r="1010" spans="1:10" x14ac:dyDescent="0.3">
      <c r="A1010" s="14" t="s">
        <v>15</v>
      </c>
      <c r="B1010" s="4" t="s">
        <v>19</v>
      </c>
      <c r="C1010" s="4" t="s">
        <v>12</v>
      </c>
      <c r="D1010" s="4" t="s">
        <v>152</v>
      </c>
      <c r="E1010" s="13">
        <f t="shared" ca="1" si="15"/>
        <v>45915</v>
      </c>
      <c r="F1010" s="4" t="s">
        <v>21</v>
      </c>
      <c r="G1010" s="5">
        <v>7</v>
      </c>
      <c r="H1010" s="6">
        <v>12500</v>
      </c>
      <c r="I1010" s="6">
        <v>85154</v>
      </c>
      <c r="J1010" s="16">
        <v>6812</v>
      </c>
    </row>
    <row r="1011" spans="1:10" x14ac:dyDescent="0.3">
      <c r="A1011" s="15" t="s">
        <v>41</v>
      </c>
      <c r="B1011" s="7" t="s">
        <v>19</v>
      </c>
      <c r="C1011" s="7" t="s">
        <v>12</v>
      </c>
      <c r="D1011" s="7" t="s">
        <v>255</v>
      </c>
      <c r="E1011" s="13">
        <f t="shared" ca="1" si="15"/>
        <v>45745</v>
      </c>
      <c r="F1011" s="7" t="s">
        <v>36</v>
      </c>
      <c r="G1011" s="8">
        <v>5</v>
      </c>
      <c r="H1011" s="9">
        <v>55000</v>
      </c>
      <c r="I1011" s="9">
        <v>270765</v>
      </c>
      <c r="J1011" s="17">
        <v>59568</v>
      </c>
    </row>
    <row r="1012" spans="1:10" x14ac:dyDescent="0.3">
      <c r="A1012" s="14" t="s">
        <v>18</v>
      </c>
      <c r="B1012" s="4" t="s">
        <v>22</v>
      </c>
      <c r="C1012" s="4" t="s">
        <v>23</v>
      </c>
      <c r="D1012" s="4" t="s">
        <v>53</v>
      </c>
      <c r="E1012" s="13">
        <f t="shared" ca="1" si="15"/>
        <v>45849</v>
      </c>
      <c r="F1012" s="4" t="s">
        <v>14</v>
      </c>
      <c r="G1012" s="5">
        <v>8</v>
      </c>
      <c r="H1012" s="6">
        <v>18500</v>
      </c>
      <c r="I1012" s="6">
        <v>146897</v>
      </c>
      <c r="J1012" s="16">
        <v>17628</v>
      </c>
    </row>
    <row r="1013" spans="1:10" x14ac:dyDescent="0.3">
      <c r="A1013" s="15" t="s">
        <v>10</v>
      </c>
      <c r="B1013" s="7" t="s">
        <v>84</v>
      </c>
      <c r="C1013" s="7" t="s">
        <v>12</v>
      </c>
      <c r="D1013" s="7" t="s">
        <v>243</v>
      </c>
      <c r="E1013" s="13">
        <f t="shared" ca="1" si="15"/>
        <v>45991</v>
      </c>
      <c r="F1013" s="7" t="s">
        <v>40</v>
      </c>
      <c r="G1013" s="8">
        <v>6</v>
      </c>
      <c r="H1013" s="9">
        <v>15000</v>
      </c>
      <c r="I1013" s="9">
        <v>95924</v>
      </c>
      <c r="J1013" s="17">
        <v>9592</v>
      </c>
    </row>
    <row r="1014" spans="1:10" x14ac:dyDescent="0.3">
      <c r="A1014" s="14" t="s">
        <v>41</v>
      </c>
      <c r="B1014" s="4" t="s">
        <v>38</v>
      </c>
      <c r="C1014" s="4" t="s">
        <v>23</v>
      </c>
      <c r="D1014" s="4" t="s">
        <v>189</v>
      </c>
      <c r="E1014" s="13">
        <f t="shared" ca="1" si="15"/>
        <v>45684</v>
      </c>
      <c r="F1014" s="4" t="s">
        <v>36</v>
      </c>
      <c r="G1014" s="5">
        <v>3</v>
      </c>
      <c r="H1014" s="6">
        <v>55000</v>
      </c>
      <c r="I1014" s="6">
        <v>164613</v>
      </c>
      <c r="J1014" s="16">
        <v>36215</v>
      </c>
    </row>
    <row r="1015" spans="1:10" x14ac:dyDescent="0.3">
      <c r="A1015" s="15" t="s">
        <v>18</v>
      </c>
      <c r="B1015" s="7" t="s">
        <v>46</v>
      </c>
      <c r="C1015" s="7" t="s">
        <v>26</v>
      </c>
      <c r="D1015" s="7" t="s">
        <v>253</v>
      </c>
      <c r="E1015" s="13">
        <f t="shared" ca="1" si="15"/>
        <v>45826</v>
      </c>
      <c r="F1015" s="7" t="s">
        <v>14</v>
      </c>
      <c r="G1015" s="8">
        <v>2</v>
      </c>
      <c r="H1015" s="9">
        <v>18500</v>
      </c>
      <c r="I1015" s="9">
        <v>35055</v>
      </c>
      <c r="J1015" s="17">
        <v>4207</v>
      </c>
    </row>
    <row r="1016" spans="1:10" x14ac:dyDescent="0.3">
      <c r="A1016" s="14" t="s">
        <v>18</v>
      </c>
      <c r="B1016" s="4" t="s">
        <v>29</v>
      </c>
      <c r="C1016" s="4" t="s">
        <v>26</v>
      </c>
      <c r="D1016" s="4" t="s">
        <v>159</v>
      </c>
      <c r="E1016" s="13">
        <f t="shared" ca="1" si="15"/>
        <v>45977</v>
      </c>
      <c r="F1016" s="4" t="s">
        <v>36</v>
      </c>
      <c r="G1016" s="5">
        <v>4</v>
      </c>
      <c r="H1016" s="6">
        <v>55000</v>
      </c>
      <c r="I1016" s="6">
        <v>224698</v>
      </c>
      <c r="J1016" s="16">
        <v>49434</v>
      </c>
    </row>
    <row r="1017" spans="1:10" x14ac:dyDescent="0.3">
      <c r="A1017" s="15" t="s">
        <v>37</v>
      </c>
      <c r="B1017" s="7" t="s">
        <v>19</v>
      </c>
      <c r="C1017" s="7" t="s">
        <v>12</v>
      </c>
      <c r="D1017" s="7" t="s">
        <v>181</v>
      </c>
      <c r="E1017" s="13">
        <f t="shared" ca="1" si="15"/>
        <v>45764</v>
      </c>
      <c r="F1017" s="7" t="s">
        <v>36</v>
      </c>
      <c r="G1017" s="8">
        <v>5</v>
      </c>
      <c r="H1017" s="9">
        <v>55000</v>
      </c>
      <c r="I1017" s="9">
        <v>282758</v>
      </c>
      <c r="J1017" s="17">
        <v>62207</v>
      </c>
    </row>
    <row r="1018" spans="1:10" x14ac:dyDescent="0.3">
      <c r="A1018" s="14" t="s">
        <v>41</v>
      </c>
      <c r="B1018" s="4" t="s">
        <v>38</v>
      </c>
      <c r="C1018" s="4" t="s">
        <v>23</v>
      </c>
      <c r="D1018" s="4" t="s">
        <v>185</v>
      </c>
      <c r="E1018" s="13">
        <f t="shared" ca="1" si="15"/>
        <v>46005</v>
      </c>
      <c r="F1018" s="4" t="s">
        <v>14</v>
      </c>
      <c r="G1018" s="5">
        <v>7</v>
      </c>
      <c r="H1018" s="6">
        <v>18500</v>
      </c>
      <c r="I1018" s="6">
        <v>117680</v>
      </c>
      <c r="J1018" s="16">
        <v>14122</v>
      </c>
    </row>
    <row r="1019" spans="1:10" x14ac:dyDescent="0.3">
      <c r="A1019" s="15" t="s">
        <v>41</v>
      </c>
      <c r="B1019" s="7" t="s">
        <v>25</v>
      </c>
      <c r="C1019" s="7" t="s">
        <v>26</v>
      </c>
      <c r="D1019" s="7" t="s">
        <v>171</v>
      </c>
      <c r="E1019" s="13">
        <f t="shared" ca="1" si="15"/>
        <v>45982</v>
      </c>
      <c r="F1019" s="7" t="s">
        <v>33</v>
      </c>
      <c r="G1019" s="8">
        <v>8</v>
      </c>
      <c r="H1019" s="9">
        <v>45000</v>
      </c>
      <c r="I1019" s="9">
        <v>336208</v>
      </c>
      <c r="J1019" s="17">
        <v>60517</v>
      </c>
    </row>
    <row r="1020" spans="1:10" x14ac:dyDescent="0.3">
      <c r="A1020" s="14" t="s">
        <v>10</v>
      </c>
      <c r="B1020" s="4" t="s">
        <v>25</v>
      </c>
      <c r="C1020" s="4" t="s">
        <v>26</v>
      </c>
      <c r="D1020" s="4" t="s">
        <v>177</v>
      </c>
      <c r="E1020" s="13">
        <f t="shared" ca="1" si="15"/>
        <v>45915</v>
      </c>
      <c r="F1020" s="4" t="s">
        <v>36</v>
      </c>
      <c r="G1020" s="5">
        <v>10</v>
      </c>
      <c r="H1020" s="6">
        <v>55000</v>
      </c>
      <c r="I1020" s="6">
        <v>595750</v>
      </c>
      <c r="J1020" s="16">
        <v>131065</v>
      </c>
    </row>
    <row r="1021" spans="1:10" x14ac:dyDescent="0.3">
      <c r="A1021" s="15" t="s">
        <v>10</v>
      </c>
      <c r="B1021" s="7" t="s">
        <v>38</v>
      </c>
      <c r="C1021" s="7" t="s">
        <v>23</v>
      </c>
      <c r="D1021" s="7" t="s">
        <v>149</v>
      </c>
      <c r="E1021" s="13">
        <f t="shared" ca="1" si="15"/>
        <v>45946</v>
      </c>
      <c r="F1021" s="7" t="s">
        <v>14</v>
      </c>
      <c r="G1021" s="8">
        <v>10</v>
      </c>
      <c r="H1021" s="9">
        <v>18500</v>
      </c>
      <c r="I1021" s="9">
        <v>170035</v>
      </c>
      <c r="J1021" s="17">
        <v>20404</v>
      </c>
    </row>
    <row r="1022" spans="1:10" x14ac:dyDescent="0.3">
      <c r="A1022" s="14" t="s">
        <v>18</v>
      </c>
      <c r="B1022" s="4" t="s">
        <v>25</v>
      </c>
      <c r="C1022" s="4" t="s">
        <v>26</v>
      </c>
      <c r="D1022" s="4" t="s">
        <v>145</v>
      </c>
      <c r="E1022" s="13">
        <f t="shared" ca="1" si="15"/>
        <v>45667</v>
      </c>
      <c r="F1022" s="4" t="s">
        <v>21</v>
      </c>
      <c r="G1022" s="5">
        <v>8</v>
      </c>
      <c r="H1022" s="6">
        <v>12500</v>
      </c>
      <c r="I1022" s="6">
        <v>102383</v>
      </c>
      <c r="J1022" s="16">
        <v>8191</v>
      </c>
    </row>
    <row r="1023" spans="1:10" x14ac:dyDescent="0.3">
      <c r="A1023" s="15" t="s">
        <v>10</v>
      </c>
      <c r="B1023" s="7" t="s">
        <v>46</v>
      </c>
      <c r="C1023" s="7" t="s">
        <v>26</v>
      </c>
      <c r="D1023" s="7" t="s">
        <v>203</v>
      </c>
      <c r="E1023" s="13">
        <f t="shared" ca="1" si="15"/>
        <v>46007</v>
      </c>
      <c r="F1023" s="7" t="s">
        <v>36</v>
      </c>
      <c r="G1023" s="8">
        <v>7</v>
      </c>
      <c r="H1023" s="9">
        <v>55000</v>
      </c>
      <c r="I1023" s="9">
        <v>365287</v>
      </c>
      <c r="J1023" s="17">
        <v>80363</v>
      </c>
    </row>
    <row r="1024" spans="1:10" x14ac:dyDescent="0.3">
      <c r="A1024" s="14" t="s">
        <v>41</v>
      </c>
      <c r="B1024" s="4" t="s">
        <v>11</v>
      </c>
      <c r="C1024" s="4" t="s">
        <v>12</v>
      </c>
      <c r="D1024" s="4" t="s">
        <v>83</v>
      </c>
      <c r="E1024" s="13">
        <f t="shared" ca="1" si="15"/>
        <v>45715</v>
      </c>
      <c r="F1024" s="4" t="s">
        <v>21</v>
      </c>
      <c r="G1024" s="5">
        <v>4</v>
      </c>
      <c r="H1024" s="6">
        <v>12500</v>
      </c>
      <c r="I1024" s="6">
        <v>45280</v>
      </c>
      <c r="J1024" s="16">
        <v>3622</v>
      </c>
    </row>
    <row r="1025" spans="1:10" x14ac:dyDescent="0.3">
      <c r="A1025" s="15" t="s">
        <v>37</v>
      </c>
      <c r="B1025" s="7" t="s">
        <v>88</v>
      </c>
      <c r="C1025" s="7" t="s">
        <v>12</v>
      </c>
      <c r="D1025" s="7" t="s">
        <v>141</v>
      </c>
      <c r="E1025" s="13">
        <f t="shared" ca="1" si="15"/>
        <v>45920</v>
      </c>
      <c r="F1025" s="7" t="s">
        <v>21</v>
      </c>
      <c r="G1025" s="8">
        <v>1</v>
      </c>
      <c r="H1025" s="9">
        <v>12500</v>
      </c>
      <c r="I1025" s="9">
        <v>11550</v>
      </c>
      <c r="J1025" s="17">
        <v>924</v>
      </c>
    </row>
    <row r="1026" spans="1:10" x14ac:dyDescent="0.3">
      <c r="A1026" s="14" t="s">
        <v>37</v>
      </c>
      <c r="B1026" s="4" t="s">
        <v>46</v>
      </c>
      <c r="C1026" s="4" t="s">
        <v>26</v>
      </c>
      <c r="D1026" s="4" t="s">
        <v>43</v>
      </c>
      <c r="E1026" s="13">
        <f t="shared" ca="1" si="15"/>
        <v>45983</v>
      </c>
      <c r="F1026" s="4" t="s">
        <v>14</v>
      </c>
      <c r="G1026" s="5">
        <v>3</v>
      </c>
      <c r="H1026" s="6">
        <v>18500</v>
      </c>
      <c r="I1026" s="6">
        <v>60748</v>
      </c>
      <c r="J1026" s="16">
        <v>7290</v>
      </c>
    </row>
    <row r="1027" spans="1:10" x14ac:dyDescent="0.3">
      <c r="A1027" s="15" t="s">
        <v>10</v>
      </c>
      <c r="B1027" s="7" t="s">
        <v>25</v>
      </c>
      <c r="C1027" s="7" t="s">
        <v>26</v>
      </c>
      <c r="D1027" s="7" t="s">
        <v>187</v>
      </c>
      <c r="E1027" s="13">
        <f t="shared" ref="E1027:E1090" ca="1" si="16">DATE(2025,1,1)+RANDBETWEEN(0,364)</f>
        <v>45730</v>
      </c>
      <c r="F1027" s="7" t="s">
        <v>14</v>
      </c>
      <c r="G1027" s="8">
        <v>9</v>
      </c>
      <c r="H1027" s="9">
        <v>18500</v>
      </c>
      <c r="I1027" s="9">
        <v>155745</v>
      </c>
      <c r="J1027" s="17">
        <v>18689</v>
      </c>
    </row>
    <row r="1028" spans="1:10" x14ac:dyDescent="0.3">
      <c r="A1028" s="14" t="s">
        <v>37</v>
      </c>
      <c r="B1028" s="4" t="s">
        <v>16</v>
      </c>
      <c r="C1028" s="4" t="s">
        <v>12</v>
      </c>
      <c r="D1028" s="4" t="s">
        <v>50</v>
      </c>
      <c r="E1028" s="13">
        <f t="shared" ca="1" si="16"/>
        <v>45933</v>
      </c>
      <c r="F1028" s="4" t="s">
        <v>14</v>
      </c>
      <c r="G1028" s="5">
        <v>5</v>
      </c>
      <c r="H1028" s="6">
        <v>18500</v>
      </c>
      <c r="I1028" s="6">
        <v>100934</v>
      </c>
      <c r="J1028" s="16">
        <v>12112</v>
      </c>
    </row>
    <row r="1029" spans="1:10" x14ac:dyDescent="0.3">
      <c r="A1029" s="15" t="s">
        <v>37</v>
      </c>
      <c r="B1029" s="7" t="s">
        <v>31</v>
      </c>
      <c r="C1029" s="7" t="s">
        <v>12</v>
      </c>
      <c r="D1029" s="7" t="s">
        <v>182</v>
      </c>
      <c r="E1029" s="13">
        <f t="shared" ca="1" si="16"/>
        <v>45767</v>
      </c>
      <c r="F1029" s="7" t="s">
        <v>36</v>
      </c>
      <c r="G1029" s="8">
        <v>1</v>
      </c>
      <c r="H1029" s="9">
        <v>55000</v>
      </c>
      <c r="I1029" s="9">
        <v>59686</v>
      </c>
      <c r="J1029" s="17">
        <v>13131</v>
      </c>
    </row>
    <row r="1030" spans="1:10" x14ac:dyDescent="0.3">
      <c r="A1030" s="14" t="s">
        <v>18</v>
      </c>
      <c r="B1030" s="4" t="s">
        <v>56</v>
      </c>
      <c r="C1030" s="4" t="s">
        <v>23</v>
      </c>
      <c r="D1030" s="4" t="s">
        <v>256</v>
      </c>
      <c r="E1030" s="13">
        <f t="shared" ca="1" si="16"/>
        <v>45698</v>
      </c>
      <c r="F1030" s="4" t="s">
        <v>40</v>
      </c>
      <c r="G1030" s="5">
        <v>5</v>
      </c>
      <c r="H1030" s="6">
        <v>15000</v>
      </c>
      <c r="I1030" s="6">
        <v>78786</v>
      </c>
      <c r="J1030" s="16">
        <v>7879</v>
      </c>
    </row>
    <row r="1031" spans="1:10" x14ac:dyDescent="0.3">
      <c r="A1031" s="15" t="s">
        <v>37</v>
      </c>
      <c r="B1031" s="7" t="s">
        <v>77</v>
      </c>
      <c r="C1031" s="7" t="s">
        <v>12</v>
      </c>
      <c r="D1031" s="7" t="s">
        <v>43</v>
      </c>
      <c r="E1031" s="13">
        <f t="shared" ca="1" si="16"/>
        <v>45753</v>
      </c>
      <c r="F1031" s="7" t="s">
        <v>14</v>
      </c>
      <c r="G1031" s="8">
        <v>8</v>
      </c>
      <c r="H1031" s="9">
        <v>18500</v>
      </c>
      <c r="I1031" s="9">
        <v>133328</v>
      </c>
      <c r="J1031" s="17">
        <v>15999</v>
      </c>
    </row>
    <row r="1032" spans="1:10" x14ac:dyDescent="0.3">
      <c r="A1032" s="14" t="s">
        <v>15</v>
      </c>
      <c r="B1032" s="4" t="s">
        <v>31</v>
      </c>
      <c r="C1032" s="4" t="s">
        <v>12</v>
      </c>
      <c r="D1032" s="4" t="s">
        <v>174</v>
      </c>
      <c r="E1032" s="13">
        <f t="shared" ca="1" si="16"/>
        <v>45992</v>
      </c>
      <c r="F1032" s="4" t="s">
        <v>33</v>
      </c>
      <c r="G1032" s="5">
        <v>2</v>
      </c>
      <c r="H1032" s="6">
        <v>45000</v>
      </c>
      <c r="I1032" s="6">
        <v>90677</v>
      </c>
      <c r="J1032" s="16">
        <v>16322</v>
      </c>
    </row>
    <row r="1033" spans="1:10" x14ac:dyDescent="0.3">
      <c r="A1033" s="15" t="s">
        <v>10</v>
      </c>
      <c r="B1033" s="7" t="s">
        <v>38</v>
      </c>
      <c r="C1033" s="7" t="s">
        <v>23</v>
      </c>
      <c r="D1033" s="7" t="s">
        <v>210</v>
      </c>
      <c r="E1033" s="13">
        <f t="shared" ca="1" si="16"/>
        <v>46022</v>
      </c>
      <c r="F1033" s="7" t="s">
        <v>21</v>
      </c>
      <c r="G1033" s="8">
        <v>1</v>
      </c>
      <c r="H1033" s="9">
        <v>12500</v>
      </c>
      <c r="I1033" s="9">
        <v>12823</v>
      </c>
      <c r="J1033" s="17">
        <v>1026</v>
      </c>
    </row>
    <row r="1034" spans="1:10" x14ac:dyDescent="0.3">
      <c r="A1034" s="14" t="s">
        <v>18</v>
      </c>
      <c r="B1034" s="4" t="s">
        <v>22</v>
      </c>
      <c r="C1034" s="4" t="s">
        <v>23</v>
      </c>
      <c r="D1034" s="4" t="s">
        <v>224</v>
      </c>
      <c r="E1034" s="13">
        <f t="shared" ca="1" si="16"/>
        <v>45762</v>
      </c>
      <c r="F1034" s="4" t="s">
        <v>14</v>
      </c>
      <c r="G1034" s="5">
        <v>8</v>
      </c>
      <c r="H1034" s="6">
        <v>18500</v>
      </c>
      <c r="I1034" s="6">
        <v>149247</v>
      </c>
      <c r="J1034" s="16">
        <v>17910</v>
      </c>
    </row>
    <row r="1035" spans="1:10" x14ac:dyDescent="0.3">
      <c r="A1035" s="15" t="s">
        <v>41</v>
      </c>
      <c r="B1035" s="7" t="s">
        <v>77</v>
      </c>
      <c r="C1035" s="7" t="s">
        <v>12</v>
      </c>
      <c r="D1035" s="7" t="s">
        <v>261</v>
      </c>
      <c r="E1035" s="13">
        <f t="shared" ca="1" si="16"/>
        <v>45753</v>
      </c>
      <c r="F1035" s="7" t="s">
        <v>33</v>
      </c>
      <c r="G1035" s="8">
        <v>5</v>
      </c>
      <c r="H1035" s="9">
        <v>45000</v>
      </c>
      <c r="I1035" s="9">
        <v>217460</v>
      </c>
      <c r="J1035" s="17">
        <v>39143</v>
      </c>
    </row>
    <row r="1036" spans="1:10" x14ac:dyDescent="0.3">
      <c r="A1036" s="14" t="s">
        <v>41</v>
      </c>
      <c r="B1036" s="4" t="s">
        <v>51</v>
      </c>
      <c r="C1036" s="4" t="s">
        <v>12</v>
      </c>
      <c r="D1036" s="4" t="s">
        <v>87</v>
      </c>
      <c r="E1036" s="13">
        <f t="shared" ca="1" si="16"/>
        <v>45723</v>
      </c>
      <c r="F1036" s="4" t="s">
        <v>33</v>
      </c>
      <c r="G1036" s="5">
        <v>5</v>
      </c>
      <c r="H1036" s="6">
        <v>45000</v>
      </c>
      <c r="I1036" s="6">
        <v>245126</v>
      </c>
      <c r="J1036" s="16">
        <v>44123</v>
      </c>
    </row>
    <row r="1037" spans="1:10" x14ac:dyDescent="0.3">
      <c r="A1037" s="15" t="s">
        <v>41</v>
      </c>
      <c r="B1037" s="7" t="s">
        <v>88</v>
      </c>
      <c r="C1037" s="7" t="s">
        <v>12</v>
      </c>
      <c r="D1037" s="7" t="s">
        <v>130</v>
      </c>
      <c r="E1037" s="13">
        <f t="shared" ca="1" si="16"/>
        <v>45682</v>
      </c>
      <c r="F1037" s="7" t="s">
        <v>33</v>
      </c>
      <c r="G1037" s="8">
        <v>3</v>
      </c>
      <c r="H1037" s="9">
        <v>45000</v>
      </c>
      <c r="I1037" s="9">
        <v>143016</v>
      </c>
      <c r="J1037" s="17">
        <v>25743</v>
      </c>
    </row>
    <row r="1038" spans="1:10" x14ac:dyDescent="0.3">
      <c r="A1038" s="14" t="s">
        <v>15</v>
      </c>
      <c r="B1038" s="4" t="s">
        <v>11</v>
      </c>
      <c r="C1038" s="4" t="s">
        <v>12</v>
      </c>
      <c r="D1038" s="4" t="s">
        <v>153</v>
      </c>
      <c r="E1038" s="13">
        <f t="shared" ca="1" si="16"/>
        <v>45781</v>
      </c>
      <c r="F1038" s="4" t="s">
        <v>21</v>
      </c>
      <c r="G1038" s="5">
        <v>2</v>
      </c>
      <c r="H1038" s="6">
        <v>12500</v>
      </c>
      <c r="I1038" s="6">
        <v>27470</v>
      </c>
      <c r="J1038" s="16">
        <v>2198</v>
      </c>
    </row>
    <row r="1039" spans="1:10" x14ac:dyDescent="0.3">
      <c r="A1039" s="15" t="s">
        <v>10</v>
      </c>
      <c r="B1039" s="7" t="s">
        <v>29</v>
      </c>
      <c r="C1039" s="7" t="s">
        <v>26</v>
      </c>
      <c r="D1039" s="7" t="s">
        <v>220</v>
      </c>
      <c r="E1039" s="13">
        <f t="shared" ca="1" si="16"/>
        <v>45860</v>
      </c>
      <c r="F1039" s="7" t="s">
        <v>14</v>
      </c>
      <c r="G1039" s="8">
        <v>8</v>
      </c>
      <c r="H1039" s="9">
        <v>18500</v>
      </c>
      <c r="I1039" s="9">
        <v>134528</v>
      </c>
      <c r="J1039" s="17">
        <v>16143</v>
      </c>
    </row>
    <row r="1040" spans="1:10" x14ac:dyDescent="0.3">
      <c r="A1040" s="14" t="s">
        <v>37</v>
      </c>
      <c r="B1040" s="4" t="s">
        <v>81</v>
      </c>
      <c r="C1040" s="4" t="s">
        <v>26</v>
      </c>
      <c r="D1040" s="4" t="s">
        <v>74</v>
      </c>
      <c r="E1040" s="13">
        <f t="shared" ca="1" si="16"/>
        <v>46014</v>
      </c>
      <c r="F1040" s="4" t="s">
        <v>21</v>
      </c>
      <c r="G1040" s="5">
        <v>6</v>
      </c>
      <c r="H1040" s="6">
        <v>12500</v>
      </c>
      <c r="I1040" s="6">
        <v>82001</v>
      </c>
      <c r="J1040" s="16">
        <v>6560</v>
      </c>
    </row>
    <row r="1041" spans="1:10" x14ac:dyDescent="0.3">
      <c r="A1041" s="15" t="s">
        <v>41</v>
      </c>
      <c r="B1041" s="7" t="s">
        <v>77</v>
      </c>
      <c r="C1041" s="7" t="s">
        <v>12</v>
      </c>
      <c r="D1041" s="7" t="s">
        <v>177</v>
      </c>
      <c r="E1041" s="13">
        <f t="shared" ca="1" si="16"/>
        <v>46019</v>
      </c>
      <c r="F1041" s="7" t="s">
        <v>21</v>
      </c>
      <c r="G1041" s="8">
        <v>6</v>
      </c>
      <c r="H1041" s="9">
        <v>12500</v>
      </c>
      <c r="I1041" s="9">
        <v>68752</v>
      </c>
      <c r="J1041" s="17">
        <v>5500</v>
      </c>
    </row>
    <row r="1042" spans="1:10" x14ac:dyDescent="0.3">
      <c r="A1042" s="14" t="s">
        <v>41</v>
      </c>
      <c r="B1042" s="4" t="s">
        <v>11</v>
      </c>
      <c r="C1042" s="4" t="s">
        <v>12</v>
      </c>
      <c r="D1042" s="4" t="s">
        <v>160</v>
      </c>
      <c r="E1042" s="13">
        <f t="shared" ca="1" si="16"/>
        <v>45744</v>
      </c>
      <c r="F1042" s="4" t="s">
        <v>14</v>
      </c>
      <c r="G1042" s="5">
        <v>8</v>
      </c>
      <c r="H1042" s="6">
        <v>18500</v>
      </c>
      <c r="I1042" s="6">
        <v>134493</v>
      </c>
      <c r="J1042" s="16">
        <v>16139</v>
      </c>
    </row>
    <row r="1043" spans="1:10" x14ac:dyDescent="0.3">
      <c r="A1043" s="15" t="s">
        <v>37</v>
      </c>
      <c r="B1043" s="7" t="s">
        <v>51</v>
      </c>
      <c r="C1043" s="7" t="s">
        <v>12</v>
      </c>
      <c r="D1043" s="7" t="s">
        <v>260</v>
      </c>
      <c r="E1043" s="13">
        <f t="shared" ca="1" si="16"/>
        <v>45814</v>
      </c>
      <c r="F1043" s="7" t="s">
        <v>33</v>
      </c>
      <c r="G1043" s="8">
        <v>10</v>
      </c>
      <c r="H1043" s="9">
        <v>45000</v>
      </c>
      <c r="I1043" s="9">
        <v>492969</v>
      </c>
      <c r="J1043" s="17">
        <v>88734</v>
      </c>
    </row>
    <row r="1044" spans="1:10" x14ac:dyDescent="0.3">
      <c r="A1044" s="14" t="s">
        <v>10</v>
      </c>
      <c r="B1044" s="4" t="s">
        <v>88</v>
      </c>
      <c r="C1044" s="4" t="s">
        <v>12</v>
      </c>
      <c r="D1044" s="4" t="s">
        <v>122</v>
      </c>
      <c r="E1044" s="13">
        <f t="shared" ca="1" si="16"/>
        <v>45825</v>
      </c>
      <c r="F1044" s="4" t="s">
        <v>14</v>
      </c>
      <c r="G1044" s="5">
        <v>8</v>
      </c>
      <c r="H1044" s="6">
        <v>18500</v>
      </c>
      <c r="I1044" s="6">
        <v>155019</v>
      </c>
      <c r="J1044" s="16">
        <v>18602</v>
      </c>
    </row>
    <row r="1045" spans="1:10" x14ac:dyDescent="0.3">
      <c r="A1045" s="15" t="s">
        <v>15</v>
      </c>
      <c r="B1045" s="7" t="s">
        <v>31</v>
      </c>
      <c r="C1045" s="7" t="s">
        <v>12</v>
      </c>
      <c r="D1045" s="7" t="s">
        <v>119</v>
      </c>
      <c r="E1045" s="13">
        <f t="shared" ca="1" si="16"/>
        <v>45681</v>
      </c>
      <c r="F1045" s="7" t="s">
        <v>36</v>
      </c>
      <c r="G1045" s="8">
        <v>9</v>
      </c>
      <c r="H1045" s="9">
        <v>55000</v>
      </c>
      <c r="I1045" s="9">
        <v>544058</v>
      </c>
      <c r="J1045" s="17">
        <v>119693</v>
      </c>
    </row>
    <row r="1046" spans="1:10" x14ac:dyDescent="0.3">
      <c r="A1046" s="14" t="s">
        <v>10</v>
      </c>
      <c r="B1046" s="4" t="s">
        <v>29</v>
      </c>
      <c r="C1046" s="4" t="s">
        <v>26</v>
      </c>
      <c r="D1046" s="4" t="s">
        <v>87</v>
      </c>
      <c r="E1046" s="13">
        <f t="shared" ca="1" si="16"/>
        <v>45867</v>
      </c>
      <c r="F1046" s="4" t="s">
        <v>14</v>
      </c>
      <c r="G1046" s="5">
        <v>8</v>
      </c>
      <c r="H1046" s="6">
        <v>18500</v>
      </c>
      <c r="I1046" s="6">
        <v>160220</v>
      </c>
      <c r="J1046" s="16">
        <v>19226</v>
      </c>
    </row>
    <row r="1047" spans="1:10" x14ac:dyDescent="0.3">
      <c r="A1047" s="15" t="s">
        <v>37</v>
      </c>
      <c r="B1047" s="7" t="s">
        <v>31</v>
      </c>
      <c r="C1047" s="7" t="s">
        <v>12</v>
      </c>
      <c r="D1047" s="7" t="s">
        <v>139</v>
      </c>
      <c r="E1047" s="13">
        <f t="shared" ca="1" si="16"/>
        <v>45759</v>
      </c>
      <c r="F1047" s="7" t="s">
        <v>36</v>
      </c>
      <c r="G1047" s="8">
        <v>4</v>
      </c>
      <c r="H1047" s="9">
        <v>55000</v>
      </c>
      <c r="I1047" s="9">
        <v>207188</v>
      </c>
      <c r="J1047" s="17">
        <v>45581</v>
      </c>
    </row>
    <row r="1048" spans="1:10" x14ac:dyDescent="0.3">
      <c r="A1048" s="14" t="s">
        <v>15</v>
      </c>
      <c r="B1048" s="4" t="s">
        <v>25</v>
      </c>
      <c r="C1048" s="4" t="s">
        <v>26</v>
      </c>
      <c r="D1048" s="4" t="s">
        <v>90</v>
      </c>
      <c r="E1048" s="13">
        <f t="shared" ca="1" si="16"/>
        <v>45842</v>
      </c>
      <c r="F1048" s="4" t="s">
        <v>14</v>
      </c>
      <c r="G1048" s="5">
        <v>2</v>
      </c>
      <c r="H1048" s="6">
        <v>18500</v>
      </c>
      <c r="I1048" s="6">
        <v>35917</v>
      </c>
      <c r="J1048" s="16">
        <v>4310</v>
      </c>
    </row>
    <row r="1049" spans="1:10" x14ac:dyDescent="0.3">
      <c r="A1049" s="15" t="s">
        <v>10</v>
      </c>
      <c r="B1049" s="7" t="s">
        <v>19</v>
      </c>
      <c r="C1049" s="7" t="s">
        <v>12</v>
      </c>
      <c r="D1049" s="7" t="s">
        <v>163</v>
      </c>
      <c r="E1049" s="13">
        <f t="shared" ca="1" si="16"/>
        <v>45703</v>
      </c>
      <c r="F1049" s="7" t="s">
        <v>21</v>
      </c>
      <c r="G1049" s="8">
        <v>6</v>
      </c>
      <c r="H1049" s="9">
        <v>12500</v>
      </c>
      <c r="I1049" s="9">
        <v>79753</v>
      </c>
      <c r="J1049" s="17">
        <v>6380</v>
      </c>
    </row>
    <row r="1050" spans="1:10" x14ac:dyDescent="0.3">
      <c r="A1050" s="14" t="s">
        <v>18</v>
      </c>
      <c r="B1050" s="4" t="s">
        <v>31</v>
      </c>
      <c r="C1050" s="4" t="s">
        <v>12</v>
      </c>
      <c r="D1050" s="4" t="s">
        <v>237</v>
      </c>
      <c r="E1050" s="13">
        <f t="shared" ca="1" si="16"/>
        <v>45798</v>
      </c>
      <c r="F1050" s="4" t="s">
        <v>40</v>
      </c>
      <c r="G1050" s="5">
        <v>10</v>
      </c>
      <c r="H1050" s="6">
        <v>15000</v>
      </c>
      <c r="I1050" s="6">
        <v>143953</v>
      </c>
      <c r="J1050" s="16">
        <v>14395</v>
      </c>
    </row>
    <row r="1051" spans="1:10" x14ac:dyDescent="0.3">
      <c r="A1051" s="15" t="s">
        <v>10</v>
      </c>
      <c r="B1051" s="7" t="s">
        <v>84</v>
      </c>
      <c r="C1051" s="7" t="s">
        <v>12</v>
      </c>
      <c r="D1051" s="7" t="s">
        <v>58</v>
      </c>
      <c r="E1051" s="13">
        <f t="shared" ca="1" si="16"/>
        <v>45964</v>
      </c>
      <c r="F1051" s="7" t="s">
        <v>33</v>
      </c>
      <c r="G1051" s="8">
        <v>2</v>
      </c>
      <c r="H1051" s="9">
        <v>45000</v>
      </c>
      <c r="I1051" s="9">
        <v>84935</v>
      </c>
      <c r="J1051" s="17">
        <v>15288</v>
      </c>
    </row>
    <row r="1052" spans="1:10" x14ac:dyDescent="0.3">
      <c r="A1052" s="14" t="s">
        <v>37</v>
      </c>
      <c r="B1052" s="4" t="s">
        <v>77</v>
      </c>
      <c r="C1052" s="4" t="s">
        <v>12</v>
      </c>
      <c r="D1052" s="4" t="s">
        <v>147</v>
      </c>
      <c r="E1052" s="13">
        <f t="shared" ca="1" si="16"/>
        <v>45777</v>
      </c>
      <c r="F1052" s="4" t="s">
        <v>14</v>
      </c>
      <c r="G1052" s="5">
        <v>9</v>
      </c>
      <c r="H1052" s="6">
        <v>18500</v>
      </c>
      <c r="I1052" s="6">
        <v>171808</v>
      </c>
      <c r="J1052" s="16">
        <v>20617</v>
      </c>
    </row>
    <row r="1053" spans="1:10" x14ac:dyDescent="0.3">
      <c r="A1053" s="15" t="s">
        <v>37</v>
      </c>
      <c r="B1053" s="7" t="s">
        <v>31</v>
      </c>
      <c r="C1053" s="7" t="s">
        <v>12</v>
      </c>
      <c r="D1053" s="7" t="s">
        <v>240</v>
      </c>
      <c r="E1053" s="13">
        <f t="shared" ca="1" si="16"/>
        <v>45690</v>
      </c>
      <c r="F1053" s="7" t="s">
        <v>40</v>
      </c>
      <c r="G1053" s="8">
        <v>10</v>
      </c>
      <c r="H1053" s="9">
        <v>15000</v>
      </c>
      <c r="I1053" s="9">
        <v>136778</v>
      </c>
      <c r="J1053" s="17">
        <v>13678</v>
      </c>
    </row>
    <row r="1054" spans="1:10" x14ac:dyDescent="0.3">
      <c r="A1054" s="14" t="s">
        <v>15</v>
      </c>
      <c r="B1054" s="4" t="s">
        <v>46</v>
      </c>
      <c r="C1054" s="4" t="s">
        <v>26</v>
      </c>
      <c r="D1054" s="4" t="s">
        <v>259</v>
      </c>
      <c r="E1054" s="13">
        <f t="shared" ca="1" si="16"/>
        <v>45785</v>
      </c>
      <c r="F1054" s="4" t="s">
        <v>21</v>
      </c>
      <c r="G1054" s="5">
        <v>2</v>
      </c>
      <c r="H1054" s="6">
        <v>12500</v>
      </c>
      <c r="I1054" s="6">
        <v>25071</v>
      </c>
      <c r="J1054" s="16">
        <v>2006</v>
      </c>
    </row>
    <row r="1055" spans="1:10" x14ac:dyDescent="0.3">
      <c r="A1055" s="15" t="s">
        <v>37</v>
      </c>
      <c r="B1055" s="7" t="s">
        <v>84</v>
      </c>
      <c r="C1055" s="7" t="s">
        <v>12</v>
      </c>
      <c r="D1055" s="7" t="s">
        <v>171</v>
      </c>
      <c r="E1055" s="13">
        <f t="shared" ca="1" si="16"/>
        <v>45734</v>
      </c>
      <c r="F1055" s="7" t="s">
        <v>14</v>
      </c>
      <c r="G1055" s="8">
        <v>4</v>
      </c>
      <c r="H1055" s="9">
        <v>18500</v>
      </c>
      <c r="I1055" s="9">
        <v>78551</v>
      </c>
      <c r="J1055" s="17">
        <v>9426</v>
      </c>
    </row>
    <row r="1056" spans="1:10" x14ac:dyDescent="0.3">
      <c r="A1056" s="14" t="s">
        <v>18</v>
      </c>
      <c r="B1056" s="4" t="s">
        <v>11</v>
      </c>
      <c r="C1056" s="4" t="s">
        <v>12</v>
      </c>
      <c r="D1056" s="4" t="s">
        <v>105</v>
      </c>
      <c r="E1056" s="13">
        <f t="shared" ca="1" si="16"/>
        <v>45673</v>
      </c>
      <c r="F1056" s="4" t="s">
        <v>36</v>
      </c>
      <c r="G1056" s="5">
        <v>6</v>
      </c>
      <c r="H1056" s="6">
        <v>55000</v>
      </c>
      <c r="I1056" s="6">
        <v>360582</v>
      </c>
      <c r="J1056" s="16">
        <v>79328</v>
      </c>
    </row>
    <row r="1057" spans="1:10" x14ac:dyDescent="0.3">
      <c r="A1057" s="15" t="s">
        <v>41</v>
      </c>
      <c r="B1057" s="7" t="s">
        <v>31</v>
      </c>
      <c r="C1057" s="7" t="s">
        <v>12</v>
      </c>
      <c r="D1057" s="7" t="s">
        <v>143</v>
      </c>
      <c r="E1057" s="13">
        <f t="shared" ca="1" si="16"/>
        <v>45814</v>
      </c>
      <c r="F1057" s="7" t="s">
        <v>36</v>
      </c>
      <c r="G1057" s="8">
        <v>7</v>
      </c>
      <c r="H1057" s="9">
        <v>55000</v>
      </c>
      <c r="I1057" s="9">
        <v>400867</v>
      </c>
      <c r="J1057" s="17">
        <v>88191</v>
      </c>
    </row>
    <row r="1058" spans="1:10" x14ac:dyDescent="0.3">
      <c r="A1058" s="14" t="s">
        <v>15</v>
      </c>
      <c r="B1058" s="4" t="s">
        <v>51</v>
      </c>
      <c r="C1058" s="4" t="s">
        <v>12</v>
      </c>
      <c r="D1058" s="4" t="s">
        <v>58</v>
      </c>
      <c r="E1058" s="13">
        <f t="shared" ca="1" si="16"/>
        <v>45901</v>
      </c>
      <c r="F1058" s="4" t="s">
        <v>36</v>
      </c>
      <c r="G1058" s="5">
        <v>5</v>
      </c>
      <c r="H1058" s="6">
        <v>55000</v>
      </c>
      <c r="I1058" s="6">
        <v>257291</v>
      </c>
      <c r="J1058" s="16">
        <v>56604</v>
      </c>
    </row>
    <row r="1059" spans="1:10" x14ac:dyDescent="0.3">
      <c r="A1059" s="15" t="s">
        <v>37</v>
      </c>
      <c r="B1059" s="7" t="s">
        <v>56</v>
      </c>
      <c r="C1059" s="7" t="s">
        <v>23</v>
      </c>
      <c r="D1059" s="7" t="s">
        <v>217</v>
      </c>
      <c r="E1059" s="13">
        <f t="shared" ca="1" si="16"/>
        <v>45897</v>
      </c>
      <c r="F1059" s="7" t="s">
        <v>14</v>
      </c>
      <c r="G1059" s="8">
        <v>2</v>
      </c>
      <c r="H1059" s="9">
        <v>18500</v>
      </c>
      <c r="I1059" s="9">
        <v>38294</v>
      </c>
      <c r="J1059" s="17">
        <v>4595</v>
      </c>
    </row>
    <row r="1060" spans="1:10" x14ac:dyDescent="0.3">
      <c r="A1060" s="14" t="s">
        <v>15</v>
      </c>
      <c r="B1060" s="4" t="s">
        <v>29</v>
      </c>
      <c r="C1060" s="4" t="s">
        <v>26</v>
      </c>
      <c r="D1060" s="4" t="s">
        <v>161</v>
      </c>
      <c r="E1060" s="13">
        <f t="shared" ca="1" si="16"/>
        <v>45901</v>
      </c>
      <c r="F1060" s="4" t="s">
        <v>36</v>
      </c>
      <c r="G1060" s="5">
        <v>6</v>
      </c>
      <c r="H1060" s="6">
        <v>55000</v>
      </c>
      <c r="I1060" s="6">
        <v>353107</v>
      </c>
      <c r="J1060" s="16">
        <v>77684</v>
      </c>
    </row>
    <row r="1061" spans="1:10" x14ac:dyDescent="0.3">
      <c r="A1061" s="15" t="s">
        <v>41</v>
      </c>
      <c r="B1061" s="7" t="s">
        <v>16</v>
      </c>
      <c r="C1061" s="7" t="s">
        <v>12</v>
      </c>
      <c r="D1061" s="7" t="s">
        <v>240</v>
      </c>
      <c r="E1061" s="13">
        <f t="shared" ca="1" si="16"/>
        <v>45913</v>
      </c>
      <c r="F1061" s="7" t="s">
        <v>33</v>
      </c>
      <c r="G1061" s="8">
        <v>7</v>
      </c>
      <c r="H1061" s="9">
        <v>45000</v>
      </c>
      <c r="I1061" s="9">
        <v>284227</v>
      </c>
      <c r="J1061" s="17">
        <v>51161</v>
      </c>
    </row>
    <row r="1062" spans="1:10" x14ac:dyDescent="0.3">
      <c r="A1062" s="14" t="s">
        <v>10</v>
      </c>
      <c r="B1062" s="4" t="s">
        <v>51</v>
      </c>
      <c r="C1062" s="4" t="s">
        <v>12</v>
      </c>
      <c r="D1062" s="4" t="s">
        <v>253</v>
      </c>
      <c r="E1062" s="13">
        <f t="shared" ca="1" si="16"/>
        <v>45828</v>
      </c>
      <c r="F1062" s="4" t="s">
        <v>36</v>
      </c>
      <c r="G1062" s="5">
        <v>3</v>
      </c>
      <c r="H1062" s="6">
        <v>55000</v>
      </c>
      <c r="I1062" s="6">
        <v>178265</v>
      </c>
      <c r="J1062" s="16">
        <v>39218</v>
      </c>
    </row>
    <row r="1063" spans="1:10" x14ac:dyDescent="0.3">
      <c r="A1063" s="15" t="s">
        <v>10</v>
      </c>
      <c r="B1063" s="7" t="s">
        <v>81</v>
      </c>
      <c r="C1063" s="7" t="s">
        <v>26</v>
      </c>
      <c r="D1063" s="7" t="s">
        <v>235</v>
      </c>
      <c r="E1063" s="13">
        <f t="shared" ca="1" si="16"/>
        <v>45862</v>
      </c>
      <c r="F1063" s="7" t="s">
        <v>14</v>
      </c>
      <c r="G1063" s="8">
        <v>1</v>
      </c>
      <c r="H1063" s="9">
        <v>18500</v>
      </c>
      <c r="I1063" s="9">
        <v>18769</v>
      </c>
      <c r="J1063" s="17">
        <v>2252</v>
      </c>
    </row>
    <row r="1064" spans="1:10" x14ac:dyDescent="0.3">
      <c r="A1064" s="14" t="s">
        <v>37</v>
      </c>
      <c r="B1064" s="4" t="s">
        <v>46</v>
      </c>
      <c r="C1064" s="4" t="s">
        <v>26</v>
      </c>
      <c r="D1064" s="4" t="s">
        <v>80</v>
      </c>
      <c r="E1064" s="13">
        <f t="shared" ca="1" si="16"/>
        <v>45884</v>
      </c>
      <c r="F1064" s="4" t="s">
        <v>40</v>
      </c>
      <c r="G1064" s="5">
        <v>5</v>
      </c>
      <c r="H1064" s="6">
        <v>15000</v>
      </c>
      <c r="I1064" s="6">
        <v>72296</v>
      </c>
      <c r="J1064" s="16">
        <v>7230</v>
      </c>
    </row>
    <row r="1065" spans="1:10" x14ac:dyDescent="0.3">
      <c r="A1065" s="15" t="s">
        <v>15</v>
      </c>
      <c r="B1065" s="7" t="s">
        <v>77</v>
      </c>
      <c r="C1065" s="7" t="s">
        <v>12</v>
      </c>
      <c r="D1065" s="7" t="s">
        <v>171</v>
      </c>
      <c r="E1065" s="13">
        <f t="shared" ca="1" si="16"/>
        <v>45721</v>
      </c>
      <c r="F1065" s="7" t="s">
        <v>36</v>
      </c>
      <c r="G1065" s="8">
        <v>3</v>
      </c>
      <c r="H1065" s="9">
        <v>55000</v>
      </c>
      <c r="I1065" s="9">
        <v>165765</v>
      </c>
      <c r="J1065" s="17">
        <v>36468</v>
      </c>
    </row>
    <row r="1066" spans="1:10" x14ac:dyDescent="0.3">
      <c r="A1066" s="14" t="s">
        <v>37</v>
      </c>
      <c r="B1066" s="4" t="s">
        <v>84</v>
      </c>
      <c r="C1066" s="4" t="s">
        <v>12</v>
      </c>
      <c r="D1066" s="4" t="s">
        <v>59</v>
      </c>
      <c r="E1066" s="13">
        <f t="shared" ca="1" si="16"/>
        <v>45797</v>
      </c>
      <c r="F1066" s="4" t="s">
        <v>40</v>
      </c>
      <c r="G1066" s="5">
        <v>10</v>
      </c>
      <c r="H1066" s="6">
        <v>15000</v>
      </c>
      <c r="I1066" s="6">
        <v>152480</v>
      </c>
      <c r="J1066" s="16">
        <v>15248</v>
      </c>
    </row>
    <row r="1067" spans="1:10" x14ac:dyDescent="0.3">
      <c r="A1067" s="15" t="s">
        <v>10</v>
      </c>
      <c r="B1067" s="7" t="s">
        <v>31</v>
      </c>
      <c r="C1067" s="7" t="s">
        <v>12</v>
      </c>
      <c r="D1067" s="7" t="s">
        <v>128</v>
      </c>
      <c r="E1067" s="13">
        <f t="shared" ca="1" si="16"/>
        <v>45862</v>
      </c>
      <c r="F1067" s="7" t="s">
        <v>33</v>
      </c>
      <c r="G1067" s="8">
        <v>3</v>
      </c>
      <c r="H1067" s="9">
        <v>45000</v>
      </c>
      <c r="I1067" s="9">
        <v>128473</v>
      </c>
      <c r="J1067" s="17">
        <v>23125</v>
      </c>
    </row>
    <row r="1068" spans="1:10" x14ac:dyDescent="0.3">
      <c r="A1068" s="14" t="s">
        <v>10</v>
      </c>
      <c r="B1068" s="4" t="s">
        <v>29</v>
      </c>
      <c r="C1068" s="4" t="s">
        <v>26</v>
      </c>
      <c r="D1068" s="4" t="s">
        <v>69</v>
      </c>
      <c r="E1068" s="13">
        <f t="shared" ca="1" si="16"/>
        <v>45736</v>
      </c>
      <c r="F1068" s="4" t="s">
        <v>21</v>
      </c>
      <c r="G1068" s="5">
        <v>3</v>
      </c>
      <c r="H1068" s="6">
        <v>12500</v>
      </c>
      <c r="I1068" s="6">
        <v>34342</v>
      </c>
      <c r="J1068" s="16">
        <v>2747</v>
      </c>
    </row>
    <row r="1069" spans="1:10" x14ac:dyDescent="0.3">
      <c r="A1069" s="15" t="s">
        <v>10</v>
      </c>
      <c r="B1069" s="7" t="s">
        <v>51</v>
      </c>
      <c r="C1069" s="7" t="s">
        <v>12</v>
      </c>
      <c r="D1069" s="7" t="s">
        <v>153</v>
      </c>
      <c r="E1069" s="13">
        <f t="shared" ca="1" si="16"/>
        <v>45972</v>
      </c>
      <c r="F1069" s="7" t="s">
        <v>33</v>
      </c>
      <c r="G1069" s="8">
        <v>2</v>
      </c>
      <c r="H1069" s="9">
        <v>45000</v>
      </c>
      <c r="I1069" s="9">
        <v>86483</v>
      </c>
      <c r="J1069" s="17">
        <v>15567</v>
      </c>
    </row>
    <row r="1070" spans="1:10" x14ac:dyDescent="0.3">
      <c r="A1070" s="14" t="s">
        <v>41</v>
      </c>
      <c r="B1070" s="4" t="s">
        <v>77</v>
      </c>
      <c r="C1070" s="4" t="s">
        <v>12</v>
      </c>
      <c r="D1070" s="4" t="s">
        <v>169</v>
      </c>
      <c r="E1070" s="13">
        <f t="shared" ca="1" si="16"/>
        <v>45693</v>
      </c>
      <c r="F1070" s="4" t="s">
        <v>40</v>
      </c>
      <c r="G1070" s="5">
        <v>9</v>
      </c>
      <c r="H1070" s="6">
        <v>15000</v>
      </c>
      <c r="I1070" s="6">
        <v>135376</v>
      </c>
      <c r="J1070" s="16">
        <v>13538</v>
      </c>
    </row>
    <row r="1071" spans="1:10" x14ac:dyDescent="0.3">
      <c r="A1071" s="15" t="s">
        <v>18</v>
      </c>
      <c r="B1071" s="7" t="s">
        <v>88</v>
      </c>
      <c r="C1071" s="7" t="s">
        <v>12</v>
      </c>
      <c r="D1071" s="7" t="s">
        <v>255</v>
      </c>
      <c r="E1071" s="13">
        <f t="shared" ca="1" si="16"/>
        <v>45813</v>
      </c>
      <c r="F1071" s="7" t="s">
        <v>33</v>
      </c>
      <c r="G1071" s="8">
        <v>7</v>
      </c>
      <c r="H1071" s="9">
        <v>45000</v>
      </c>
      <c r="I1071" s="9">
        <v>324904</v>
      </c>
      <c r="J1071" s="17">
        <v>58483</v>
      </c>
    </row>
    <row r="1072" spans="1:10" x14ac:dyDescent="0.3">
      <c r="A1072" s="14" t="s">
        <v>15</v>
      </c>
      <c r="B1072" s="4" t="s">
        <v>84</v>
      </c>
      <c r="C1072" s="4" t="s">
        <v>12</v>
      </c>
      <c r="D1072" s="4" t="s">
        <v>232</v>
      </c>
      <c r="E1072" s="13">
        <f t="shared" ca="1" si="16"/>
        <v>45931</v>
      </c>
      <c r="F1072" s="4" t="s">
        <v>36</v>
      </c>
      <c r="G1072" s="5">
        <v>10</v>
      </c>
      <c r="H1072" s="6">
        <v>55000</v>
      </c>
      <c r="I1072" s="6">
        <v>522497</v>
      </c>
      <c r="J1072" s="16">
        <v>114949</v>
      </c>
    </row>
    <row r="1073" spans="1:10" x14ac:dyDescent="0.3">
      <c r="A1073" s="15" t="s">
        <v>37</v>
      </c>
      <c r="B1073" s="7" t="s">
        <v>84</v>
      </c>
      <c r="C1073" s="7" t="s">
        <v>12</v>
      </c>
      <c r="D1073" s="7" t="s">
        <v>144</v>
      </c>
      <c r="E1073" s="13">
        <f t="shared" ca="1" si="16"/>
        <v>45764</v>
      </c>
      <c r="F1073" s="7" t="s">
        <v>14</v>
      </c>
      <c r="G1073" s="8">
        <v>7</v>
      </c>
      <c r="H1073" s="9">
        <v>18500</v>
      </c>
      <c r="I1073" s="9">
        <v>136739</v>
      </c>
      <c r="J1073" s="17">
        <v>16409</v>
      </c>
    </row>
    <row r="1074" spans="1:10" x14ac:dyDescent="0.3">
      <c r="A1074" s="14" t="s">
        <v>18</v>
      </c>
      <c r="B1074" s="4" t="s">
        <v>81</v>
      </c>
      <c r="C1074" s="4" t="s">
        <v>26</v>
      </c>
      <c r="D1074" s="4" t="s">
        <v>210</v>
      </c>
      <c r="E1074" s="13">
        <f t="shared" ca="1" si="16"/>
        <v>45870</v>
      </c>
      <c r="F1074" s="4" t="s">
        <v>36</v>
      </c>
      <c r="G1074" s="5">
        <v>6</v>
      </c>
      <c r="H1074" s="6">
        <v>55000</v>
      </c>
      <c r="I1074" s="6">
        <v>328667</v>
      </c>
      <c r="J1074" s="16">
        <v>72307</v>
      </c>
    </row>
    <row r="1075" spans="1:10" x14ac:dyDescent="0.3">
      <c r="A1075" s="15" t="s">
        <v>10</v>
      </c>
      <c r="B1075" s="7" t="s">
        <v>77</v>
      </c>
      <c r="C1075" s="7" t="s">
        <v>12</v>
      </c>
      <c r="D1075" s="7" t="s">
        <v>225</v>
      </c>
      <c r="E1075" s="13">
        <f t="shared" ca="1" si="16"/>
        <v>45789</v>
      </c>
      <c r="F1075" s="7" t="s">
        <v>40</v>
      </c>
      <c r="G1075" s="8">
        <v>8</v>
      </c>
      <c r="H1075" s="9">
        <v>15000</v>
      </c>
      <c r="I1075" s="9">
        <v>120020</v>
      </c>
      <c r="J1075" s="17">
        <v>12002</v>
      </c>
    </row>
    <row r="1076" spans="1:10" x14ac:dyDescent="0.3">
      <c r="A1076" s="14" t="s">
        <v>15</v>
      </c>
      <c r="B1076" s="4" t="s">
        <v>19</v>
      </c>
      <c r="C1076" s="4" t="s">
        <v>12</v>
      </c>
      <c r="D1076" s="4" t="s">
        <v>146</v>
      </c>
      <c r="E1076" s="13">
        <f t="shared" ca="1" si="16"/>
        <v>45732</v>
      </c>
      <c r="F1076" s="4" t="s">
        <v>36</v>
      </c>
      <c r="G1076" s="5">
        <v>8</v>
      </c>
      <c r="H1076" s="6">
        <v>55000</v>
      </c>
      <c r="I1076" s="6">
        <v>462608</v>
      </c>
      <c r="J1076" s="16">
        <v>101774</v>
      </c>
    </row>
    <row r="1077" spans="1:10" x14ac:dyDescent="0.3">
      <c r="A1077" s="15" t="s">
        <v>41</v>
      </c>
      <c r="B1077" s="7" t="s">
        <v>31</v>
      </c>
      <c r="C1077" s="7" t="s">
        <v>12</v>
      </c>
      <c r="D1077" s="7" t="s">
        <v>142</v>
      </c>
      <c r="E1077" s="13">
        <f t="shared" ca="1" si="16"/>
        <v>45692</v>
      </c>
      <c r="F1077" s="7" t="s">
        <v>40</v>
      </c>
      <c r="G1077" s="8">
        <v>2</v>
      </c>
      <c r="H1077" s="9">
        <v>15000</v>
      </c>
      <c r="I1077" s="9">
        <v>27127</v>
      </c>
      <c r="J1077" s="17">
        <v>2713</v>
      </c>
    </row>
    <row r="1078" spans="1:10" x14ac:dyDescent="0.3">
      <c r="A1078" s="14" t="s">
        <v>37</v>
      </c>
      <c r="B1078" s="4" t="s">
        <v>11</v>
      </c>
      <c r="C1078" s="4" t="s">
        <v>12</v>
      </c>
      <c r="D1078" s="4" t="s">
        <v>158</v>
      </c>
      <c r="E1078" s="13">
        <f t="shared" ca="1" si="16"/>
        <v>45861</v>
      </c>
      <c r="F1078" s="4" t="s">
        <v>40</v>
      </c>
      <c r="G1078" s="5">
        <v>5</v>
      </c>
      <c r="H1078" s="6">
        <v>15000</v>
      </c>
      <c r="I1078" s="6">
        <v>68870</v>
      </c>
      <c r="J1078" s="16">
        <v>6887</v>
      </c>
    </row>
    <row r="1079" spans="1:10" x14ac:dyDescent="0.3">
      <c r="A1079" s="15" t="s">
        <v>10</v>
      </c>
      <c r="B1079" s="7" t="s">
        <v>46</v>
      </c>
      <c r="C1079" s="7" t="s">
        <v>26</v>
      </c>
      <c r="D1079" s="7" t="s">
        <v>240</v>
      </c>
      <c r="E1079" s="13">
        <f t="shared" ca="1" si="16"/>
        <v>45869</v>
      </c>
      <c r="F1079" s="7" t="s">
        <v>36</v>
      </c>
      <c r="G1079" s="8">
        <v>6</v>
      </c>
      <c r="H1079" s="9">
        <v>55000</v>
      </c>
      <c r="I1079" s="9">
        <v>342193</v>
      </c>
      <c r="J1079" s="17">
        <v>75282</v>
      </c>
    </row>
    <row r="1080" spans="1:10" x14ac:dyDescent="0.3">
      <c r="A1080" s="14" t="s">
        <v>41</v>
      </c>
      <c r="B1080" s="4" t="s">
        <v>11</v>
      </c>
      <c r="C1080" s="4" t="s">
        <v>12</v>
      </c>
      <c r="D1080" s="4" t="s">
        <v>87</v>
      </c>
      <c r="E1080" s="13">
        <f t="shared" ca="1" si="16"/>
        <v>45665</v>
      </c>
      <c r="F1080" s="4" t="s">
        <v>33</v>
      </c>
      <c r="G1080" s="5">
        <v>6</v>
      </c>
      <c r="H1080" s="6">
        <v>45000</v>
      </c>
      <c r="I1080" s="6">
        <v>281205</v>
      </c>
      <c r="J1080" s="16">
        <v>50617</v>
      </c>
    </row>
    <row r="1081" spans="1:10" x14ac:dyDescent="0.3">
      <c r="A1081" s="15" t="s">
        <v>37</v>
      </c>
      <c r="B1081" s="7" t="s">
        <v>38</v>
      </c>
      <c r="C1081" s="7" t="s">
        <v>23</v>
      </c>
      <c r="D1081" s="7" t="s">
        <v>160</v>
      </c>
      <c r="E1081" s="13">
        <f t="shared" ca="1" si="16"/>
        <v>45942</v>
      </c>
      <c r="F1081" s="7" t="s">
        <v>21</v>
      </c>
      <c r="G1081" s="8">
        <v>8</v>
      </c>
      <c r="H1081" s="9">
        <v>12500</v>
      </c>
      <c r="I1081" s="9">
        <v>95439</v>
      </c>
      <c r="J1081" s="17">
        <v>7635</v>
      </c>
    </row>
    <row r="1082" spans="1:10" x14ac:dyDescent="0.3">
      <c r="A1082" s="14" t="s">
        <v>41</v>
      </c>
      <c r="B1082" s="4" t="s">
        <v>19</v>
      </c>
      <c r="C1082" s="4" t="s">
        <v>12</v>
      </c>
      <c r="D1082" s="4" t="s">
        <v>27</v>
      </c>
      <c r="E1082" s="13">
        <f t="shared" ca="1" si="16"/>
        <v>45914</v>
      </c>
      <c r="F1082" s="4" t="s">
        <v>14</v>
      </c>
      <c r="G1082" s="5">
        <v>5</v>
      </c>
      <c r="H1082" s="6">
        <v>18500</v>
      </c>
      <c r="I1082" s="6">
        <v>94756</v>
      </c>
      <c r="J1082" s="16">
        <v>11371</v>
      </c>
    </row>
    <row r="1083" spans="1:10" x14ac:dyDescent="0.3">
      <c r="A1083" s="15" t="s">
        <v>41</v>
      </c>
      <c r="B1083" s="7" t="s">
        <v>81</v>
      </c>
      <c r="C1083" s="7" t="s">
        <v>26</v>
      </c>
      <c r="D1083" s="7" t="s">
        <v>242</v>
      </c>
      <c r="E1083" s="13">
        <f t="shared" ca="1" si="16"/>
        <v>45682</v>
      </c>
      <c r="F1083" s="7" t="s">
        <v>36</v>
      </c>
      <c r="G1083" s="8">
        <v>10</v>
      </c>
      <c r="H1083" s="9">
        <v>55000</v>
      </c>
      <c r="I1083" s="9">
        <v>564772</v>
      </c>
      <c r="J1083" s="17">
        <v>124250</v>
      </c>
    </row>
    <row r="1084" spans="1:10" x14ac:dyDescent="0.3">
      <c r="A1084" s="14" t="s">
        <v>41</v>
      </c>
      <c r="B1084" s="4" t="s">
        <v>77</v>
      </c>
      <c r="C1084" s="4" t="s">
        <v>12</v>
      </c>
      <c r="D1084" s="4" t="s">
        <v>55</v>
      </c>
      <c r="E1084" s="13">
        <f t="shared" ca="1" si="16"/>
        <v>45785</v>
      </c>
      <c r="F1084" s="4" t="s">
        <v>33</v>
      </c>
      <c r="G1084" s="5">
        <v>10</v>
      </c>
      <c r="H1084" s="6">
        <v>45000</v>
      </c>
      <c r="I1084" s="6">
        <v>462718</v>
      </c>
      <c r="J1084" s="16">
        <v>83289</v>
      </c>
    </row>
    <row r="1085" spans="1:10" x14ac:dyDescent="0.3">
      <c r="A1085" s="15" t="s">
        <v>10</v>
      </c>
      <c r="B1085" s="7" t="s">
        <v>88</v>
      </c>
      <c r="C1085" s="7" t="s">
        <v>12</v>
      </c>
      <c r="D1085" s="7" t="s">
        <v>107</v>
      </c>
      <c r="E1085" s="13">
        <f t="shared" ca="1" si="16"/>
        <v>45925</v>
      </c>
      <c r="F1085" s="7" t="s">
        <v>14</v>
      </c>
      <c r="G1085" s="8">
        <v>1</v>
      </c>
      <c r="H1085" s="9">
        <v>18500</v>
      </c>
      <c r="I1085" s="9">
        <v>18979</v>
      </c>
      <c r="J1085" s="17">
        <v>2277</v>
      </c>
    </row>
    <row r="1086" spans="1:10" x14ac:dyDescent="0.3">
      <c r="A1086" s="14" t="s">
        <v>10</v>
      </c>
      <c r="B1086" s="4" t="s">
        <v>38</v>
      </c>
      <c r="C1086" s="4" t="s">
        <v>23</v>
      </c>
      <c r="D1086" s="4" t="s">
        <v>240</v>
      </c>
      <c r="E1086" s="13">
        <f t="shared" ca="1" si="16"/>
        <v>45750</v>
      </c>
      <c r="F1086" s="4" t="s">
        <v>40</v>
      </c>
      <c r="G1086" s="5">
        <v>10</v>
      </c>
      <c r="H1086" s="6">
        <v>15000</v>
      </c>
      <c r="I1086" s="6">
        <v>140777</v>
      </c>
      <c r="J1086" s="16">
        <v>14078</v>
      </c>
    </row>
    <row r="1087" spans="1:10" x14ac:dyDescent="0.3">
      <c r="A1087" s="15" t="s">
        <v>41</v>
      </c>
      <c r="B1087" s="7" t="s">
        <v>46</v>
      </c>
      <c r="C1087" s="7" t="s">
        <v>26</v>
      </c>
      <c r="D1087" s="7" t="s">
        <v>85</v>
      </c>
      <c r="E1087" s="13">
        <f t="shared" ca="1" si="16"/>
        <v>45796</v>
      </c>
      <c r="F1087" s="7" t="s">
        <v>36</v>
      </c>
      <c r="G1087" s="8">
        <v>10</v>
      </c>
      <c r="H1087" s="9">
        <v>55000</v>
      </c>
      <c r="I1087" s="9">
        <v>551481</v>
      </c>
      <c r="J1087" s="17">
        <v>121326</v>
      </c>
    </row>
    <row r="1088" spans="1:10" x14ac:dyDescent="0.3">
      <c r="A1088" s="14" t="s">
        <v>18</v>
      </c>
      <c r="B1088" s="4" t="s">
        <v>38</v>
      </c>
      <c r="C1088" s="4" t="s">
        <v>23</v>
      </c>
      <c r="D1088" s="4" t="s">
        <v>112</v>
      </c>
      <c r="E1088" s="13">
        <f t="shared" ca="1" si="16"/>
        <v>46001</v>
      </c>
      <c r="F1088" s="4" t="s">
        <v>36</v>
      </c>
      <c r="G1088" s="5">
        <v>4</v>
      </c>
      <c r="H1088" s="6">
        <v>55000</v>
      </c>
      <c r="I1088" s="6">
        <v>208664</v>
      </c>
      <c r="J1088" s="16">
        <v>45906</v>
      </c>
    </row>
    <row r="1089" spans="1:10" x14ac:dyDescent="0.3">
      <c r="A1089" s="15" t="s">
        <v>41</v>
      </c>
      <c r="B1089" s="7" t="s">
        <v>31</v>
      </c>
      <c r="C1089" s="7" t="s">
        <v>12</v>
      </c>
      <c r="D1089" s="7" t="s">
        <v>241</v>
      </c>
      <c r="E1089" s="13">
        <f t="shared" ca="1" si="16"/>
        <v>45860</v>
      </c>
      <c r="F1089" s="7" t="s">
        <v>14</v>
      </c>
      <c r="G1089" s="8">
        <v>6</v>
      </c>
      <c r="H1089" s="9">
        <v>18500</v>
      </c>
      <c r="I1089" s="9">
        <v>114449</v>
      </c>
      <c r="J1089" s="17">
        <v>13734</v>
      </c>
    </row>
    <row r="1090" spans="1:10" x14ac:dyDescent="0.3">
      <c r="A1090" s="14" t="s">
        <v>15</v>
      </c>
      <c r="B1090" s="4" t="s">
        <v>16</v>
      </c>
      <c r="C1090" s="4" t="s">
        <v>12</v>
      </c>
      <c r="D1090" s="4" t="s">
        <v>131</v>
      </c>
      <c r="E1090" s="13">
        <f t="shared" ca="1" si="16"/>
        <v>45883</v>
      </c>
      <c r="F1090" s="4" t="s">
        <v>21</v>
      </c>
      <c r="G1090" s="5">
        <v>8</v>
      </c>
      <c r="H1090" s="6">
        <v>12500</v>
      </c>
      <c r="I1090" s="6">
        <v>102008</v>
      </c>
      <c r="J1090" s="16">
        <v>8161</v>
      </c>
    </row>
    <row r="1091" spans="1:10" x14ac:dyDescent="0.3">
      <c r="A1091" s="15" t="s">
        <v>18</v>
      </c>
      <c r="B1091" s="7" t="s">
        <v>11</v>
      </c>
      <c r="C1091" s="7" t="s">
        <v>12</v>
      </c>
      <c r="D1091" s="7" t="s">
        <v>153</v>
      </c>
      <c r="E1091" s="13">
        <f t="shared" ref="E1091:E1154" ca="1" si="17">DATE(2025,1,1)+RANDBETWEEN(0,364)</f>
        <v>45923</v>
      </c>
      <c r="F1091" s="7" t="s">
        <v>21</v>
      </c>
      <c r="G1091" s="8">
        <v>6</v>
      </c>
      <c r="H1091" s="9">
        <v>12500</v>
      </c>
      <c r="I1091" s="9">
        <v>74913</v>
      </c>
      <c r="J1091" s="17">
        <v>5993</v>
      </c>
    </row>
    <row r="1092" spans="1:10" x14ac:dyDescent="0.3">
      <c r="A1092" s="14" t="s">
        <v>18</v>
      </c>
      <c r="B1092" s="4" t="s">
        <v>25</v>
      </c>
      <c r="C1092" s="4" t="s">
        <v>26</v>
      </c>
      <c r="D1092" s="4" t="s">
        <v>207</v>
      </c>
      <c r="E1092" s="13">
        <f t="shared" ca="1" si="17"/>
        <v>46018</v>
      </c>
      <c r="F1092" s="4" t="s">
        <v>21</v>
      </c>
      <c r="G1092" s="5">
        <v>5</v>
      </c>
      <c r="H1092" s="6">
        <v>12500</v>
      </c>
      <c r="I1092" s="6">
        <v>62337</v>
      </c>
      <c r="J1092" s="16">
        <v>4987</v>
      </c>
    </row>
    <row r="1093" spans="1:10" x14ac:dyDescent="0.3">
      <c r="A1093" s="15" t="s">
        <v>41</v>
      </c>
      <c r="B1093" s="7" t="s">
        <v>38</v>
      </c>
      <c r="C1093" s="7" t="s">
        <v>23</v>
      </c>
      <c r="D1093" s="7" t="s">
        <v>64</v>
      </c>
      <c r="E1093" s="13">
        <f t="shared" ca="1" si="17"/>
        <v>45691</v>
      </c>
      <c r="F1093" s="7" t="s">
        <v>33</v>
      </c>
      <c r="G1093" s="8">
        <v>6</v>
      </c>
      <c r="H1093" s="9">
        <v>45000</v>
      </c>
      <c r="I1093" s="9">
        <v>276202</v>
      </c>
      <c r="J1093" s="17">
        <v>49716</v>
      </c>
    </row>
    <row r="1094" spans="1:10" x14ac:dyDescent="0.3">
      <c r="A1094" s="14" t="s">
        <v>15</v>
      </c>
      <c r="B1094" s="4" t="s">
        <v>84</v>
      </c>
      <c r="C1094" s="4" t="s">
        <v>12</v>
      </c>
      <c r="D1094" s="4" t="s">
        <v>53</v>
      </c>
      <c r="E1094" s="13">
        <f t="shared" ca="1" si="17"/>
        <v>45776</v>
      </c>
      <c r="F1094" s="4" t="s">
        <v>14</v>
      </c>
      <c r="G1094" s="5">
        <v>10</v>
      </c>
      <c r="H1094" s="6">
        <v>18500</v>
      </c>
      <c r="I1094" s="6">
        <v>200488</v>
      </c>
      <c r="J1094" s="16">
        <v>24059</v>
      </c>
    </row>
    <row r="1095" spans="1:10" x14ac:dyDescent="0.3">
      <c r="A1095" s="15" t="s">
        <v>10</v>
      </c>
      <c r="B1095" s="7" t="s">
        <v>38</v>
      </c>
      <c r="C1095" s="7" t="s">
        <v>23</v>
      </c>
      <c r="D1095" s="7" t="s">
        <v>180</v>
      </c>
      <c r="E1095" s="13">
        <f t="shared" ca="1" si="17"/>
        <v>45903</v>
      </c>
      <c r="F1095" s="7" t="s">
        <v>21</v>
      </c>
      <c r="G1095" s="8">
        <v>3</v>
      </c>
      <c r="H1095" s="9">
        <v>12500</v>
      </c>
      <c r="I1095" s="9">
        <v>35709</v>
      </c>
      <c r="J1095" s="17">
        <v>2857</v>
      </c>
    </row>
    <row r="1096" spans="1:10" x14ac:dyDescent="0.3">
      <c r="A1096" s="14" t="s">
        <v>18</v>
      </c>
      <c r="B1096" s="4" t="s">
        <v>51</v>
      </c>
      <c r="C1096" s="4" t="s">
        <v>12</v>
      </c>
      <c r="D1096" s="4" t="s">
        <v>107</v>
      </c>
      <c r="E1096" s="13">
        <f t="shared" ca="1" si="17"/>
        <v>45707</v>
      </c>
      <c r="F1096" s="4" t="s">
        <v>33</v>
      </c>
      <c r="G1096" s="5">
        <v>5</v>
      </c>
      <c r="H1096" s="6">
        <v>45000</v>
      </c>
      <c r="I1096" s="6">
        <v>240375</v>
      </c>
      <c r="J1096" s="16">
        <v>43268</v>
      </c>
    </row>
    <row r="1097" spans="1:10" x14ac:dyDescent="0.3">
      <c r="A1097" s="15" t="s">
        <v>41</v>
      </c>
      <c r="B1097" s="7" t="s">
        <v>22</v>
      </c>
      <c r="C1097" s="7" t="s">
        <v>23</v>
      </c>
      <c r="D1097" s="7" t="s">
        <v>228</v>
      </c>
      <c r="E1097" s="13">
        <f t="shared" ca="1" si="17"/>
        <v>45887</v>
      </c>
      <c r="F1097" s="7" t="s">
        <v>40</v>
      </c>
      <c r="G1097" s="8">
        <v>5</v>
      </c>
      <c r="H1097" s="9">
        <v>15000</v>
      </c>
      <c r="I1097" s="9">
        <v>69441</v>
      </c>
      <c r="J1097" s="17">
        <v>6944</v>
      </c>
    </row>
    <row r="1098" spans="1:10" x14ac:dyDescent="0.3">
      <c r="A1098" s="14" t="s">
        <v>37</v>
      </c>
      <c r="B1098" s="4" t="s">
        <v>25</v>
      </c>
      <c r="C1098" s="4" t="s">
        <v>26</v>
      </c>
      <c r="D1098" s="4" t="s">
        <v>53</v>
      </c>
      <c r="E1098" s="13">
        <f t="shared" ca="1" si="17"/>
        <v>45885</v>
      </c>
      <c r="F1098" s="4" t="s">
        <v>21</v>
      </c>
      <c r="G1098" s="5">
        <v>3</v>
      </c>
      <c r="H1098" s="6">
        <v>12500</v>
      </c>
      <c r="I1098" s="6">
        <v>40055</v>
      </c>
      <c r="J1098" s="16">
        <v>3204</v>
      </c>
    </row>
    <row r="1099" spans="1:10" x14ac:dyDescent="0.3">
      <c r="A1099" s="15" t="s">
        <v>15</v>
      </c>
      <c r="B1099" s="7" t="s">
        <v>51</v>
      </c>
      <c r="C1099" s="7" t="s">
        <v>12</v>
      </c>
      <c r="D1099" s="7" t="s">
        <v>73</v>
      </c>
      <c r="E1099" s="13">
        <f t="shared" ca="1" si="17"/>
        <v>45998</v>
      </c>
      <c r="F1099" s="7" t="s">
        <v>40</v>
      </c>
      <c r="G1099" s="8">
        <v>1</v>
      </c>
      <c r="H1099" s="9">
        <v>15000</v>
      </c>
      <c r="I1099" s="9">
        <v>14671</v>
      </c>
      <c r="J1099" s="17">
        <v>1467</v>
      </c>
    </row>
    <row r="1100" spans="1:10" x14ac:dyDescent="0.3">
      <c r="A1100" s="14" t="s">
        <v>37</v>
      </c>
      <c r="B1100" s="4" t="s">
        <v>16</v>
      </c>
      <c r="C1100" s="4" t="s">
        <v>12</v>
      </c>
      <c r="D1100" s="4" t="s">
        <v>234</v>
      </c>
      <c r="E1100" s="13">
        <f t="shared" ca="1" si="17"/>
        <v>45856</v>
      </c>
      <c r="F1100" s="4" t="s">
        <v>21</v>
      </c>
      <c r="G1100" s="5">
        <v>1</v>
      </c>
      <c r="H1100" s="6">
        <v>12500</v>
      </c>
      <c r="I1100" s="6">
        <v>11957</v>
      </c>
      <c r="J1100" s="16">
        <v>957</v>
      </c>
    </row>
    <row r="1101" spans="1:10" x14ac:dyDescent="0.3">
      <c r="A1101" s="15" t="s">
        <v>18</v>
      </c>
      <c r="B1101" s="7" t="s">
        <v>11</v>
      </c>
      <c r="C1101" s="7" t="s">
        <v>12</v>
      </c>
      <c r="D1101" s="7" t="s">
        <v>146</v>
      </c>
      <c r="E1101" s="13">
        <f t="shared" ca="1" si="17"/>
        <v>45803</v>
      </c>
      <c r="F1101" s="7" t="s">
        <v>21</v>
      </c>
      <c r="G1101" s="8">
        <v>1</v>
      </c>
      <c r="H1101" s="9">
        <v>12500</v>
      </c>
      <c r="I1101" s="9">
        <v>13138</v>
      </c>
      <c r="J1101" s="17">
        <v>1051</v>
      </c>
    </row>
    <row r="1102" spans="1:10" x14ac:dyDescent="0.3">
      <c r="A1102" s="14" t="s">
        <v>41</v>
      </c>
      <c r="B1102" s="4" t="s">
        <v>46</v>
      </c>
      <c r="C1102" s="4" t="s">
        <v>26</v>
      </c>
      <c r="D1102" s="4" t="s">
        <v>63</v>
      </c>
      <c r="E1102" s="13">
        <f t="shared" ca="1" si="17"/>
        <v>45954</v>
      </c>
      <c r="F1102" s="4" t="s">
        <v>14</v>
      </c>
      <c r="G1102" s="5">
        <v>3</v>
      </c>
      <c r="H1102" s="6">
        <v>18500</v>
      </c>
      <c r="I1102" s="6">
        <v>51893</v>
      </c>
      <c r="J1102" s="16">
        <v>6227</v>
      </c>
    </row>
    <row r="1103" spans="1:10" x14ac:dyDescent="0.3">
      <c r="A1103" s="15" t="s">
        <v>37</v>
      </c>
      <c r="B1103" s="7" t="s">
        <v>56</v>
      </c>
      <c r="C1103" s="7" t="s">
        <v>23</v>
      </c>
      <c r="D1103" s="7" t="s">
        <v>216</v>
      </c>
      <c r="E1103" s="13">
        <f t="shared" ca="1" si="17"/>
        <v>45772</v>
      </c>
      <c r="F1103" s="7" t="s">
        <v>33</v>
      </c>
      <c r="G1103" s="8">
        <v>9</v>
      </c>
      <c r="H1103" s="9">
        <v>45000</v>
      </c>
      <c r="I1103" s="9">
        <v>438951</v>
      </c>
      <c r="J1103" s="17">
        <v>79011</v>
      </c>
    </row>
    <row r="1104" spans="1:10" x14ac:dyDescent="0.3">
      <c r="A1104" s="14" t="s">
        <v>15</v>
      </c>
      <c r="B1104" s="4" t="s">
        <v>29</v>
      </c>
      <c r="C1104" s="4" t="s">
        <v>26</v>
      </c>
      <c r="D1104" s="4" t="s">
        <v>82</v>
      </c>
      <c r="E1104" s="13">
        <f t="shared" ca="1" si="17"/>
        <v>45826</v>
      </c>
      <c r="F1104" s="4" t="s">
        <v>21</v>
      </c>
      <c r="G1104" s="5">
        <v>9</v>
      </c>
      <c r="H1104" s="6">
        <v>12500</v>
      </c>
      <c r="I1104" s="6">
        <v>113307</v>
      </c>
      <c r="J1104" s="16">
        <v>9065</v>
      </c>
    </row>
    <row r="1105" spans="1:10" x14ac:dyDescent="0.3">
      <c r="A1105" s="15" t="s">
        <v>37</v>
      </c>
      <c r="B1105" s="7" t="s">
        <v>77</v>
      </c>
      <c r="C1105" s="7" t="s">
        <v>12</v>
      </c>
      <c r="D1105" s="7" t="s">
        <v>72</v>
      </c>
      <c r="E1105" s="13">
        <f t="shared" ca="1" si="17"/>
        <v>45735</v>
      </c>
      <c r="F1105" s="7" t="s">
        <v>33</v>
      </c>
      <c r="G1105" s="8">
        <v>4</v>
      </c>
      <c r="H1105" s="9">
        <v>45000</v>
      </c>
      <c r="I1105" s="9">
        <v>172515</v>
      </c>
      <c r="J1105" s="17">
        <v>31053</v>
      </c>
    </row>
    <row r="1106" spans="1:10" x14ac:dyDescent="0.3">
      <c r="A1106" s="14" t="s">
        <v>37</v>
      </c>
      <c r="B1106" s="4" t="s">
        <v>56</v>
      </c>
      <c r="C1106" s="4" t="s">
        <v>23</v>
      </c>
      <c r="D1106" s="4" t="s">
        <v>111</v>
      </c>
      <c r="E1106" s="13">
        <f t="shared" ca="1" si="17"/>
        <v>45964</v>
      </c>
      <c r="F1106" s="4" t="s">
        <v>40</v>
      </c>
      <c r="G1106" s="5">
        <v>8</v>
      </c>
      <c r="H1106" s="6">
        <v>15000</v>
      </c>
      <c r="I1106" s="6">
        <v>131696</v>
      </c>
      <c r="J1106" s="16">
        <v>13170</v>
      </c>
    </row>
    <row r="1107" spans="1:10" x14ac:dyDescent="0.3">
      <c r="A1107" s="15" t="s">
        <v>41</v>
      </c>
      <c r="B1107" s="7" t="s">
        <v>56</v>
      </c>
      <c r="C1107" s="7" t="s">
        <v>23</v>
      </c>
      <c r="D1107" s="7" t="s">
        <v>241</v>
      </c>
      <c r="E1107" s="13">
        <f t="shared" ca="1" si="17"/>
        <v>45678</v>
      </c>
      <c r="F1107" s="7" t="s">
        <v>40</v>
      </c>
      <c r="G1107" s="8">
        <v>4</v>
      </c>
      <c r="H1107" s="9">
        <v>15000</v>
      </c>
      <c r="I1107" s="9">
        <v>55033</v>
      </c>
      <c r="J1107" s="17">
        <v>5503</v>
      </c>
    </row>
    <row r="1108" spans="1:10" x14ac:dyDescent="0.3">
      <c r="A1108" s="14" t="s">
        <v>10</v>
      </c>
      <c r="B1108" s="4" t="s">
        <v>88</v>
      </c>
      <c r="C1108" s="4" t="s">
        <v>12</v>
      </c>
      <c r="D1108" s="4" t="s">
        <v>238</v>
      </c>
      <c r="E1108" s="13">
        <f t="shared" ca="1" si="17"/>
        <v>45721</v>
      </c>
      <c r="F1108" s="4" t="s">
        <v>21</v>
      </c>
      <c r="G1108" s="5">
        <v>7</v>
      </c>
      <c r="H1108" s="6">
        <v>12500</v>
      </c>
      <c r="I1108" s="6">
        <v>94332</v>
      </c>
      <c r="J1108" s="16">
        <v>7547</v>
      </c>
    </row>
    <row r="1109" spans="1:10" x14ac:dyDescent="0.3">
      <c r="A1109" s="15" t="s">
        <v>15</v>
      </c>
      <c r="B1109" s="7" t="s">
        <v>19</v>
      </c>
      <c r="C1109" s="7" t="s">
        <v>12</v>
      </c>
      <c r="D1109" s="7" t="s">
        <v>79</v>
      </c>
      <c r="E1109" s="13">
        <f t="shared" ca="1" si="17"/>
        <v>45837</v>
      </c>
      <c r="F1109" s="7" t="s">
        <v>33</v>
      </c>
      <c r="G1109" s="8">
        <v>4</v>
      </c>
      <c r="H1109" s="9">
        <v>45000</v>
      </c>
      <c r="I1109" s="9">
        <v>186744</v>
      </c>
      <c r="J1109" s="17">
        <v>33614</v>
      </c>
    </row>
    <row r="1110" spans="1:10" x14ac:dyDescent="0.3">
      <c r="A1110" s="14" t="s">
        <v>15</v>
      </c>
      <c r="B1110" s="4" t="s">
        <v>56</v>
      </c>
      <c r="C1110" s="4" t="s">
        <v>23</v>
      </c>
      <c r="D1110" s="4" t="s">
        <v>106</v>
      </c>
      <c r="E1110" s="13">
        <f t="shared" ca="1" si="17"/>
        <v>45686</v>
      </c>
      <c r="F1110" s="4" t="s">
        <v>33</v>
      </c>
      <c r="G1110" s="5">
        <v>1</v>
      </c>
      <c r="H1110" s="6">
        <v>45000</v>
      </c>
      <c r="I1110" s="6">
        <v>43700</v>
      </c>
      <c r="J1110" s="16">
        <v>7866</v>
      </c>
    </row>
    <row r="1111" spans="1:10" x14ac:dyDescent="0.3">
      <c r="A1111" s="15" t="s">
        <v>10</v>
      </c>
      <c r="B1111" s="7" t="s">
        <v>51</v>
      </c>
      <c r="C1111" s="7" t="s">
        <v>12</v>
      </c>
      <c r="D1111" s="7" t="s">
        <v>156</v>
      </c>
      <c r="E1111" s="13">
        <f t="shared" ca="1" si="17"/>
        <v>45941</v>
      </c>
      <c r="F1111" s="7" t="s">
        <v>14</v>
      </c>
      <c r="G1111" s="8">
        <v>5</v>
      </c>
      <c r="H1111" s="9">
        <v>18500</v>
      </c>
      <c r="I1111" s="9">
        <v>84232</v>
      </c>
      <c r="J1111" s="17">
        <v>10108</v>
      </c>
    </row>
    <row r="1112" spans="1:10" x14ac:dyDescent="0.3">
      <c r="A1112" s="14" t="s">
        <v>10</v>
      </c>
      <c r="B1112" s="4" t="s">
        <v>56</v>
      </c>
      <c r="C1112" s="4" t="s">
        <v>23</v>
      </c>
      <c r="D1112" s="4" t="s">
        <v>94</v>
      </c>
      <c r="E1112" s="13">
        <f t="shared" ca="1" si="17"/>
        <v>46010</v>
      </c>
      <c r="F1112" s="4" t="s">
        <v>33</v>
      </c>
      <c r="G1112" s="5">
        <v>1</v>
      </c>
      <c r="H1112" s="6">
        <v>45000</v>
      </c>
      <c r="I1112" s="6">
        <v>42713</v>
      </c>
      <c r="J1112" s="16">
        <v>7688</v>
      </c>
    </row>
    <row r="1113" spans="1:10" x14ac:dyDescent="0.3">
      <c r="A1113" s="15" t="s">
        <v>18</v>
      </c>
      <c r="B1113" s="7" t="s">
        <v>56</v>
      </c>
      <c r="C1113" s="7" t="s">
        <v>23</v>
      </c>
      <c r="D1113" s="7" t="s">
        <v>255</v>
      </c>
      <c r="E1113" s="13">
        <f t="shared" ca="1" si="17"/>
        <v>45942</v>
      </c>
      <c r="F1113" s="7" t="s">
        <v>33</v>
      </c>
      <c r="G1113" s="8">
        <v>6</v>
      </c>
      <c r="H1113" s="9">
        <v>45000</v>
      </c>
      <c r="I1113" s="9">
        <v>270400</v>
      </c>
      <c r="J1113" s="17">
        <v>48672</v>
      </c>
    </row>
    <row r="1114" spans="1:10" x14ac:dyDescent="0.3">
      <c r="A1114" s="14" t="s">
        <v>41</v>
      </c>
      <c r="B1114" s="4" t="s">
        <v>88</v>
      </c>
      <c r="C1114" s="4" t="s">
        <v>12</v>
      </c>
      <c r="D1114" s="4" t="s">
        <v>228</v>
      </c>
      <c r="E1114" s="13">
        <f t="shared" ca="1" si="17"/>
        <v>45843</v>
      </c>
      <c r="F1114" s="4" t="s">
        <v>33</v>
      </c>
      <c r="G1114" s="5">
        <v>2</v>
      </c>
      <c r="H1114" s="6">
        <v>45000</v>
      </c>
      <c r="I1114" s="6">
        <v>97058</v>
      </c>
      <c r="J1114" s="16">
        <v>17470</v>
      </c>
    </row>
    <row r="1115" spans="1:10" x14ac:dyDescent="0.3">
      <c r="A1115" s="15" t="s">
        <v>37</v>
      </c>
      <c r="B1115" s="7" t="s">
        <v>31</v>
      </c>
      <c r="C1115" s="7" t="s">
        <v>12</v>
      </c>
      <c r="D1115" s="7" t="s">
        <v>186</v>
      </c>
      <c r="E1115" s="13">
        <f t="shared" ca="1" si="17"/>
        <v>45910</v>
      </c>
      <c r="F1115" s="7" t="s">
        <v>36</v>
      </c>
      <c r="G1115" s="8">
        <v>2</v>
      </c>
      <c r="H1115" s="9">
        <v>55000</v>
      </c>
      <c r="I1115" s="9">
        <v>101240</v>
      </c>
      <c r="J1115" s="17">
        <v>22273</v>
      </c>
    </row>
    <row r="1116" spans="1:10" x14ac:dyDescent="0.3">
      <c r="A1116" s="14" t="s">
        <v>41</v>
      </c>
      <c r="B1116" s="4" t="s">
        <v>77</v>
      </c>
      <c r="C1116" s="4" t="s">
        <v>12</v>
      </c>
      <c r="D1116" s="4" t="s">
        <v>218</v>
      </c>
      <c r="E1116" s="13">
        <f t="shared" ca="1" si="17"/>
        <v>45999</v>
      </c>
      <c r="F1116" s="4" t="s">
        <v>40</v>
      </c>
      <c r="G1116" s="5">
        <v>2</v>
      </c>
      <c r="H1116" s="6">
        <v>15000</v>
      </c>
      <c r="I1116" s="6">
        <v>29433</v>
      </c>
      <c r="J1116" s="16">
        <v>2943</v>
      </c>
    </row>
    <row r="1117" spans="1:10" x14ac:dyDescent="0.3">
      <c r="A1117" s="15" t="s">
        <v>18</v>
      </c>
      <c r="B1117" s="7" t="s">
        <v>22</v>
      </c>
      <c r="C1117" s="7" t="s">
        <v>23</v>
      </c>
      <c r="D1117" s="7" t="s">
        <v>144</v>
      </c>
      <c r="E1117" s="13">
        <f t="shared" ca="1" si="17"/>
        <v>45859</v>
      </c>
      <c r="F1117" s="7" t="s">
        <v>14</v>
      </c>
      <c r="G1117" s="8">
        <v>8</v>
      </c>
      <c r="H1117" s="9">
        <v>18500</v>
      </c>
      <c r="I1117" s="9">
        <v>160444</v>
      </c>
      <c r="J1117" s="17">
        <v>19253</v>
      </c>
    </row>
    <row r="1118" spans="1:10" x14ac:dyDescent="0.3">
      <c r="A1118" s="14" t="s">
        <v>41</v>
      </c>
      <c r="B1118" s="4" t="s">
        <v>38</v>
      </c>
      <c r="C1118" s="4" t="s">
        <v>23</v>
      </c>
      <c r="D1118" s="4" t="s">
        <v>166</v>
      </c>
      <c r="E1118" s="13">
        <f t="shared" ca="1" si="17"/>
        <v>45968</v>
      </c>
      <c r="F1118" s="4" t="s">
        <v>33</v>
      </c>
      <c r="G1118" s="5">
        <v>1</v>
      </c>
      <c r="H1118" s="6">
        <v>45000</v>
      </c>
      <c r="I1118" s="6">
        <v>41342</v>
      </c>
      <c r="J1118" s="16">
        <v>7442</v>
      </c>
    </row>
    <row r="1119" spans="1:10" x14ac:dyDescent="0.3">
      <c r="A1119" s="15" t="s">
        <v>37</v>
      </c>
      <c r="B1119" s="7" t="s">
        <v>38</v>
      </c>
      <c r="C1119" s="7" t="s">
        <v>23</v>
      </c>
      <c r="D1119" s="7" t="s">
        <v>35</v>
      </c>
      <c r="E1119" s="13">
        <f t="shared" ca="1" si="17"/>
        <v>45841</v>
      </c>
      <c r="F1119" s="7" t="s">
        <v>36</v>
      </c>
      <c r="G1119" s="8">
        <v>9</v>
      </c>
      <c r="H1119" s="9">
        <v>55000</v>
      </c>
      <c r="I1119" s="9">
        <v>484538</v>
      </c>
      <c r="J1119" s="17">
        <v>106598</v>
      </c>
    </row>
    <row r="1120" spans="1:10" x14ac:dyDescent="0.3">
      <c r="A1120" s="14" t="s">
        <v>10</v>
      </c>
      <c r="B1120" s="4" t="s">
        <v>56</v>
      </c>
      <c r="C1120" s="4" t="s">
        <v>23</v>
      </c>
      <c r="D1120" s="4" t="s">
        <v>109</v>
      </c>
      <c r="E1120" s="13">
        <f t="shared" ca="1" si="17"/>
        <v>45720</v>
      </c>
      <c r="F1120" s="4" t="s">
        <v>33</v>
      </c>
      <c r="G1120" s="5">
        <v>1</v>
      </c>
      <c r="H1120" s="6">
        <v>45000</v>
      </c>
      <c r="I1120" s="6">
        <v>47379</v>
      </c>
      <c r="J1120" s="16">
        <v>8528</v>
      </c>
    </row>
    <row r="1121" spans="1:10" x14ac:dyDescent="0.3">
      <c r="A1121" s="15" t="s">
        <v>37</v>
      </c>
      <c r="B1121" s="7" t="s">
        <v>84</v>
      </c>
      <c r="C1121" s="7" t="s">
        <v>12</v>
      </c>
      <c r="D1121" s="7" t="s">
        <v>30</v>
      </c>
      <c r="E1121" s="13">
        <f t="shared" ca="1" si="17"/>
        <v>45687</v>
      </c>
      <c r="F1121" s="7" t="s">
        <v>21</v>
      </c>
      <c r="G1121" s="8">
        <v>5</v>
      </c>
      <c r="H1121" s="9">
        <v>12500</v>
      </c>
      <c r="I1121" s="9">
        <v>63603</v>
      </c>
      <c r="J1121" s="17">
        <v>5088</v>
      </c>
    </row>
    <row r="1122" spans="1:10" x14ac:dyDescent="0.3">
      <c r="A1122" s="14" t="s">
        <v>41</v>
      </c>
      <c r="B1122" s="4" t="s">
        <v>11</v>
      </c>
      <c r="C1122" s="4" t="s">
        <v>12</v>
      </c>
      <c r="D1122" s="4" t="s">
        <v>131</v>
      </c>
      <c r="E1122" s="13">
        <f t="shared" ca="1" si="17"/>
        <v>45999</v>
      </c>
      <c r="F1122" s="4" t="s">
        <v>21</v>
      </c>
      <c r="G1122" s="5">
        <v>1</v>
      </c>
      <c r="H1122" s="6">
        <v>12500</v>
      </c>
      <c r="I1122" s="6">
        <v>12047</v>
      </c>
      <c r="J1122" s="16">
        <v>964</v>
      </c>
    </row>
    <row r="1123" spans="1:10" x14ac:dyDescent="0.3">
      <c r="A1123" s="15" t="s">
        <v>15</v>
      </c>
      <c r="B1123" s="7" t="s">
        <v>77</v>
      </c>
      <c r="C1123" s="7" t="s">
        <v>12</v>
      </c>
      <c r="D1123" s="7" t="s">
        <v>152</v>
      </c>
      <c r="E1123" s="13">
        <f t="shared" ca="1" si="17"/>
        <v>45835</v>
      </c>
      <c r="F1123" s="7" t="s">
        <v>40</v>
      </c>
      <c r="G1123" s="8">
        <v>5</v>
      </c>
      <c r="H1123" s="9">
        <v>15000</v>
      </c>
      <c r="I1123" s="9">
        <v>76303</v>
      </c>
      <c r="J1123" s="17">
        <v>7630</v>
      </c>
    </row>
    <row r="1124" spans="1:10" x14ac:dyDescent="0.3">
      <c r="A1124" s="14" t="s">
        <v>15</v>
      </c>
      <c r="B1124" s="4" t="s">
        <v>88</v>
      </c>
      <c r="C1124" s="4" t="s">
        <v>12</v>
      </c>
      <c r="D1124" s="4" t="s">
        <v>220</v>
      </c>
      <c r="E1124" s="13">
        <f t="shared" ca="1" si="17"/>
        <v>45743</v>
      </c>
      <c r="F1124" s="4" t="s">
        <v>40</v>
      </c>
      <c r="G1124" s="5">
        <v>6</v>
      </c>
      <c r="H1124" s="6">
        <v>15000</v>
      </c>
      <c r="I1124" s="6">
        <v>94182</v>
      </c>
      <c r="J1124" s="16">
        <v>9418</v>
      </c>
    </row>
    <row r="1125" spans="1:10" x14ac:dyDescent="0.3">
      <c r="A1125" s="15" t="s">
        <v>10</v>
      </c>
      <c r="B1125" s="7" t="s">
        <v>22</v>
      </c>
      <c r="C1125" s="7" t="s">
        <v>23</v>
      </c>
      <c r="D1125" s="7" t="s">
        <v>66</v>
      </c>
      <c r="E1125" s="13">
        <f t="shared" ca="1" si="17"/>
        <v>45969</v>
      </c>
      <c r="F1125" s="7" t="s">
        <v>40</v>
      </c>
      <c r="G1125" s="8">
        <v>7</v>
      </c>
      <c r="H1125" s="9">
        <v>15000</v>
      </c>
      <c r="I1125" s="9">
        <v>98580</v>
      </c>
      <c r="J1125" s="17">
        <v>9858</v>
      </c>
    </row>
    <row r="1126" spans="1:10" x14ac:dyDescent="0.3">
      <c r="A1126" s="14" t="s">
        <v>10</v>
      </c>
      <c r="B1126" s="4" t="s">
        <v>22</v>
      </c>
      <c r="C1126" s="4" t="s">
        <v>23</v>
      </c>
      <c r="D1126" s="4" t="s">
        <v>190</v>
      </c>
      <c r="E1126" s="13">
        <f t="shared" ca="1" si="17"/>
        <v>46005</v>
      </c>
      <c r="F1126" s="4" t="s">
        <v>36</v>
      </c>
      <c r="G1126" s="5">
        <v>10</v>
      </c>
      <c r="H1126" s="6">
        <v>55000</v>
      </c>
      <c r="I1126" s="6">
        <v>508731</v>
      </c>
      <c r="J1126" s="16">
        <v>111921</v>
      </c>
    </row>
    <row r="1127" spans="1:10" x14ac:dyDescent="0.3">
      <c r="A1127" s="15" t="s">
        <v>41</v>
      </c>
      <c r="B1127" s="7" t="s">
        <v>46</v>
      </c>
      <c r="C1127" s="7" t="s">
        <v>26</v>
      </c>
      <c r="D1127" s="7" t="s">
        <v>183</v>
      </c>
      <c r="E1127" s="13">
        <f t="shared" ca="1" si="17"/>
        <v>45670</v>
      </c>
      <c r="F1127" s="7" t="s">
        <v>40</v>
      </c>
      <c r="G1127" s="8">
        <v>6</v>
      </c>
      <c r="H1127" s="9">
        <v>15000</v>
      </c>
      <c r="I1127" s="9">
        <v>96529</v>
      </c>
      <c r="J1127" s="17">
        <v>9653</v>
      </c>
    </row>
    <row r="1128" spans="1:10" x14ac:dyDescent="0.3">
      <c r="A1128" s="14" t="s">
        <v>15</v>
      </c>
      <c r="B1128" s="4" t="s">
        <v>46</v>
      </c>
      <c r="C1128" s="4" t="s">
        <v>26</v>
      </c>
      <c r="D1128" s="4" t="s">
        <v>71</v>
      </c>
      <c r="E1128" s="13">
        <f t="shared" ca="1" si="17"/>
        <v>45732</v>
      </c>
      <c r="F1128" s="4" t="s">
        <v>40</v>
      </c>
      <c r="G1128" s="5">
        <v>4</v>
      </c>
      <c r="H1128" s="6">
        <v>15000</v>
      </c>
      <c r="I1128" s="6">
        <v>59674</v>
      </c>
      <c r="J1128" s="16">
        <v>5967</v>
      </c>
    </row>
    <row r="1129" spans="1:10" x14ac:dyDescent="0.3">
      <c r="A1129" s="15" t="s">
        <v>15</v>
      </c>
      <c r="B1129" s="7" t="s">
        <v>31</v>
      </c>
      <c r="C1129" s="7" t="s">
        <v>12</v>
      </c>
      <c r="D1129" s="7" t="s">
        <v>89</v>
      </c>
      <c r="E1129" s="13">
        <f t="shared" ca="1" si="17"/>
        <v>45763</v>
      </c>
      <c r="F1129" s="7" t="s">
        <v>40</v>
      </c>
      <c r="G1129" s="8">
        <v>10</v>
      </c>
      <c r="H1129" s="9">
        <v>15000</v>
      </c>
      <c r="I1129" s="9">
        <v>150833</v>
      </c>
      <c r="J1129" s="17">
        <v>15083</v>
      </c>
    </row>
    <row r="1130" spans="1:10" x14ac:dyDescent="0.3">
      <c r="A1130" s="14" t="s">
        <v>10</v>
      </c>
      <c r="B1130" s="4" t="s">
        <v>84</v>
      </c>
      <c r="C1130" s="4" t="s">
        <v>12</v>
      </c>
      <c r="D1130" s="4" t="s">
        <v>184</v>
      </c>
      <c r="E1130" s="13">
        <f t="shared" ca="1" si="17"/>
        <v>45780</v>
      </c>
      <c r="F1130" s="4" t="s">
        <v>33</v>
      </c>
      <c r="G1130" s="5">
        <v>10</v>
      </c>
      <c r="H1130" s="6">
        <v>45000</v>
      </c>
      <c r="I1130" s="6">
        <v>476646</v>
      </c>
      <c r="J1130" s="16">
        <v>85796</v>
      </c>
    </row>
    <row r="1131" spans="1:10" x14ac:dyDescent="0.3">
      <c r="A1131" s="15" t="s">
        <v>15</v>
      </c>
      <c r="B1131" s="7" t="s">
        <v>84</v>
      </c>
      <c r="C1131" s="7" t="s">
        <v>12</v>
      </c>
      <c r="D1131" s="7" t="s">
        <v>139</v>
      </c>
      <c r="E1131" s="13">
        <f t="shared" ca="1" si="17"/>
        <v>45845</v>
      </c>
      <c r="F1131" s="7" t="s">
        <v>40</v>
      </c>
      <c r="G1131" s="8">
        <v>1</v>
      </c>
      <c r="H1131" s="9">
        <v>15000</v>
      </c>
      <c r="I1131" s="9">
        <v>16004</v>
      </c>
      <c r="J1131" s="17">
        <v>1600</v>
      </c>
    </row>
    <row r="1132" spans="1:10" x14ac:dyDescent="0.3">
      <c r="A1132" s="14" t="s">
        <v>37</v>
      </c>
      <c r="B1132" s="4" t="s">
        <v>46</v>
      </c>
      <c r="C1132" s="4" t="s">
        <v>26</v>
      </c>
      <c r="D1132" s="4" t="s">
        <v>153</v>
      </c>
      <c r="E1132" s="13">
        <f t="shared" ca="1" si="17"/>
        <v>45807</v>
      </c>
      <c r="F1132" s="4" t="s">
        <v>36</v>
      </c>
      <c r="G1132" s="5">
        <v>1</v>
      </c>
      <c r="H1132" s="6">
        <v>55000</v>
      </c>
      <c r="I1132" s="6">
        <v>51443</v>
      </c>
      <c r="J1132" s="16">
        <v>11317</v>
      </c>
    </row>
    <row r="1133" spans="1:10" x14ac:dyDescent="0.3">
      <c r="A1133" s="15" t="s">
        <v>15</v>
      </c>
      <c r="B1133" s="7" t="s">
        <v>77</v>
      </c>
      <c r="C1133" s="7" t="s">
        <v>12</v>
      </c>
      <c r="D1133" s="7" t="s">
        <v>28</v>
      </c>
      <c r="E1133" s="13">
        <f t="shared" ca="1" si="17"/>
        <v>45979</v>
      </c>
      <c r="F1133" s="7" t="s">
        <v>36</v>
      </c>
      <c r="G1133" s="8">
        <v>4</v>
      </c>
      <c r="H1133" s="9">
        <v>55000</v>
      </c>
      <c r="I1133" s="9">
        <v>207985</v>
      </c>
      <c r="J1133" s="17">
        <v>45757</v>
      </c>
    </row>
    <row r="1134" spans="1:10" x14ac:dyDescent="0.3">
      <c r="A1134" s="14" t="s">
        <v>10</v>
      </c>
      <c r="B1134" s="4" t="s">
        <v>56</v>
      </c>
      <c r="C1134" s="4" t="s">
        <v>23</v>
      </c>
      <c r="D1134" s="4" t="s">
        <v>115</v>
      </c>
      <c r="E1134" s="13">
        <f t="shared" ca="1" si="17"/>
        <v>45790</v>
      </c>
      <c r="F1134" s="4" t="s">
        <v>14</v>
      </c>
      <c r="G1134" s="5">
        <v>1</v>
      </c>
      <c r="H1134" s="6">
        <v>18500</v>
      </c>
      <c r="I1134" s="6">
        <v>19548</v>
      </c>
      <c r="J1134" s="16">
        <v>2346</v>
      </c>
    </row>
    <row r="1135" spans="1:10" x14ac:dyDescent="0.3">
      <c r="A1135" s="15" t="s">
        <v>10</v>
      </c>
      <c r="B1135" s="7" t="s">
        <v>56</v>
      </c>
      <c r="C1135" s="7" t="s">
        <v>23</v>
      </c>
      <c r="D1135" s="7" t="s">
        <v>243</v>
      </c>
      <c r="E1135" s="13">
        <f t="shared" ca="1" si="17"/>
        <v>45760</v>
      </c>
      <c r="F1135" s="7" t="s">
        <v>40</v>
      </c>
      <c r="G1135" s="8">
        <v>5</v>
      </c>
      <c r="H1135" s="9">
        <v>15000</v>
      </c>
      <c r="I1135" s="9">
        <v>77799</v>
      </c>
      <c r="J1135" s="17">
        <v>7780</v>
      </c>
    </row>
    <row r="1136" spans="1:10" x14ac:dyDescent="0.3">
      <c r="A1136" s="14" t="s">
        <v>15</v>
      </c>
      <c r="B1136" s="4" t="s">
        <v>22</v>
      </c>
      <c r="C1136" s="4" t="s">
        <v>23</v>
      </c>
      <c r="D1136" s="4" t="s">
        <v>60</v>
      </c>
      <c r="E1136" s="13">
        <f t="shared" ca="1" si="17"/>
        <v>45811</v>
      </c>
      <c r="F1136" s="4" t="s">
        <v>21</v>
      </c>
      <c r="G1136" s="5">
        <v>10</v>
      </c>
      <c r="H1136" s="6">
        <v>12500</v>
      </c>
      <c r="I1136" s="6">
        <v>112808</v>
      </c>
      <c r="J1136" s="16">
        <v>9025</v>
      </c>
    </row>
    <row r="1137" spans="1:10" x14ac:dyDescent="0.3">
      <c r="A1137" s="15" t="s">
        <v>37</v>
      </c>
      <c r="B1137" s="7" t="s">
        <v>81</v>
      </c>
      <c r="C1137" s="7" t="s">
        <v>26</v>
      </c>
      <c r="D1137" s="7" t="s">
        <v>165</v>
      </c>
      <c r="E1137" s="13">
        <f t="shared" ca="1" si="17"/>
        <v>45970</v>
      </c>
      <c r="F1137" s="7" t="s">
        <v>36</v>
      </c>
      <c r="G1137" s="8">
        <v>10</v>
      </c>
      <c r="H1137" s="9">
        <v>55000</v>
      </c>
      <c r="I1137" s="9">
        <v>566011</v>
      </c>
      <c r="J1137" s="17">
        <v>124522</v>
      </c>
    </row>
    <row r="1138" spans="1:10" x14ac:dyDescent="0.3">
      <c r="A1138" s="14" t="s">
        <v>15</v>
      </c>
      <c r="B1138" s="4" t="s">
        <v>81</v>
      </c>
      <c r="C1138" s="4" t="s">
        <v>26</v>
      </c>
      <c r="D1138" s="4" t="s">
        <v>216</v>
      </c>
      <c r="E1138" s="13">
        <f t="shared" ca="1" si="17"/>
        <v>45911</v>
      </c>
      <c r="F1138" s="4" t="s">
        <v>40</v>
      </c>
      <c r="G1138" s="5">
        <v>7</v>
      </c>
      <c r="H1138" s="6">
        <v>15000</v>
      </c>
      <c r="I1138" s="6">
        <v>111423</v>
      </c>
      <c r="J1138" s="16">
        <v>11142</v>
      </c>
    </row>
    <row r="1139" spans="1:10" x14ac:dyDescent="0.3">
      <c r="A1139" s="15" t="s">
        <v>10</v>
      </c>
      <c r="B1139" s="7" t="s">
        <v>81</v>
      </c>
      <c r="C1139" s="7" t="s">
        <v>26</v>
      </c>
      <c r="D1139" s="7" t="s">
        <v>201</v>
      </c>
      <c r="E1139" s="13">
        <f t="shared" ca="1" si="17"/>
        <v>45857</v>
      </c>
      <c r="F1139" s="7" t="s">
        <v>40</v>
      </c>
      <c r="G1139" s="8">
        <v>8</v>
      </c>
      <c r="H1139" s="9">
        <v>15000</v>
      </c>
      <c r="I1139" s="9">
        <v>119045</v>
      </c>
      <c r="J1139" s="17">
        <v>11904</v>
      </c>
    </row>
    <row r="1140" spans="1:10" x14ac:dyDescent="0.3">
      <c r="A1140" s="14" t="s">
        <v>37</v>
      </c>
      <c r="B1140" s="4" t="s">
        <v>56</v>
      </c>
      <c r="C1140" s="4" t="s">
        <v>23</v>
      </c>
      <c r="D1140" s="4" t="s">
        <v>259</v>
      </c>
      <c r="E1140" s="13">
        <f t="shared" ca="1" si="17"/>
        <v>45912</v>
      </c>
      <c r="F1140" s="4" t="s">
        <v>33</v>
      </c>
      <c r="G1140" s="5">
        <v>5</v>
      </c>
      <c r="H1140" s="6">
        <v>45000</v>
      </c>
      <c r="I1140" s="6">
        <v>233159</v>
      </c>
      <c r="J1140" s="16">
        <v>41969</v>
      </c>
    </row>
    <row r="1141" spans="1:10" x14ac:dyDescent="0.3">
      <c r="A1141" s="15" t="s">
        <v>15</v>
      </c>
      <c r="B1141" s="7" t="s">
        <v>11</v>
      </c>
      <c r="C1141" s="7" t="s">
        <v>12</v>
      </c>
      <c r="D1141" s="7" t="s">
        <v>201</v>
      </c>
      <c r="E1141" s="13">
        <f t="shared" ca="1" si="17"/>
        <v>45943</v>
      </c>
      <c r="F1141" s="7" t="s">
        <v>33</v>
      </c>
      <c r="G1141" s="8">
        <v>4</v>
      </c>
      <c r="H1141" s="9">
        <v>45000</v>
      </c>
      <c r="I1141" s="9">
        <v>179768</v>
      </c>
      <c r="J1141" s="17">
        <v>32358</v>
      </c>
    </row>
    <row r="1142" spans="1:10" x14ac:dyDescent="0.3">
      <c r="A1142" s="14" t="s">
        <v>15</v>
      </c>
      <c r="B1142" s="4" t="s">
        <v>22</v>
      </c>
      <c r="C1142" s="4" t="s">
        <v>23</v>
      </c>
      <c r="D1142" s="4" t="s">
        <v>200</v>
      </c>
      <c r="E1142" s="13">
        <f t="shared" ca="1" si="17"/>
        <v>45730</v>
      </c>
      <c r="F1142" s="4" t="s">
        <v>36</v>
      </c>
      <c r="G1142" s="5">
        <v>9</v>
      </c>
      <c r="H1142" s="6">
        <v>55000</v>
      </c>
      <c r="I1142" s="6">
        <v>507273</v>
      </c>
      <c r="J1142" s="16">
        <v>111600</v>
      </c>
    </row>
    <row r="1143" spans="1:10" x14ac:dyDescent="0.3">
      <c r="A1143" s="15" t="s">
        <v>10</v>
      </c>
      <c r="B1143" s="7" t="s">
        <v>25</v>
      </c>
      <c r="C1143" s="7" t="s">
        <v>26</v>
      </c>
      <c r="D1143" s="7" t="s">
        <v>216</v>
      </c>
      <c r="E1143" s="13">
        <f t="shared" ca="1" si="17"/>
        <v>45710</v>
      </c>
      <c r="F1143" s="7" t="s">
        <v>36</v>
      </c>
      <c r="G1143" s="8">
        <v>8</v>
      </c>
      <c r="H1143" s="9">
        <v>55000</v>
      </c>
      <c r="I1143" s="9">
        <v>473577</v>
      </c>
      <c r="J1143" s="17">
        <v>104187</v>
      </c>
    </row>
    <row r="1144" spans="1:10" x14ac:dyDescent="0.3">
      <c r="A1144" s="14" t="s">
        <v>15</v>
      </c>
      <c r="B1144" s="4" t="s">
        <v>81</v>
      </c>
      <c r="C1144" s="4" t="s">
        <v>26</v>
      </c>
      <c r="D1144" s="4" t="s">
        <v>185</v>
      </c>
      <c r="E1144" s="13">
        <f t="shared" ca="1" si="17"/>
        <v>46014</v>
      </c>
      <c r="F1144" s="4" t="s">
        <v>21</v>
      </c>
      <c r="G1144" s="5">
        <v>3</v>
      </c>
      <c r="H1144" s="6">
        <v>12500</v>
      </c>
      <c r="I1144" s="6">
        <v>35071</v>
      </c>
      <c r="J1144" s="16">
        <v>2806</v>
      </c>
    </row>
    <row r="1145" spans="1:10" x14ac:dyDescent="0.3">
      <c r="A1145" s="15" t="s">
        <v>15</v>
      </c>
      <c r="B1145" s="7" t="s">
        <v>81</v>
      </c>
      <c r="C1145" s="7" t="s">
        <v>26</v>
      </c>
      <c r="D1145" s="7" t="s">
        <v>183</v>
      </c>
      <c r="E1145" s="13">
        <f t="shared" ca="1" si="17"/>
        <v>45882</v>
      </c>
      <c r="F1145" s="7" t="s">
        <v>21</v>
      </c>
      <c r="G1145" s="8">
        <v>9</v>
      </c>
      <c r="H1145" s="9">
        <v>12500</v>
      </c>
      <c r="I1145" s="9">
        <v>111679</v>
      </c>
      <c r="J1145" s="17">
        <v>8934</v>
      </c>
    </row>
    <row r="1146" spans="1:10" x14ac:dyDescent="0.3">
      <c r="A1146" s="14" t="s">
        <v>37</v>
      </c>
      <c r="B1146" s="4" t="s">
        <v>29</v>
      </c>
      <c r="C1146" s="4" t="s">
        <v>26</v>
      </c>
      <c r="D1146" s="4" t="s">
        <v>106</v>
      </c>
      <c r="E1146" s="13">
        <f t="shared" ca="1" si="17"/>
        <v>45835</v>
      </c>
      <c r="F1146" s="4" t="s">
        <v>14</v>
      </c>
      <c r="G1146" s="5">
        <v>1</v>
      </c>
      <c r="H1146" s="6">
        <v>18500</v>
      </c>
      <c r="I1146" s="6">
        <v>17112</v>
      </c>
      <c r="J1146" s="16">
        <v>2053</v>
      </c>
    </row>
    <row r="1147" spans="1:10" x14ac:dyDescent="0.3">
      <c r="A1147" s="15" t="s">
        <v>37</v>
      </c>
      <c r="B1147" s="7" t="s">
        <v>51</v>
      </c>
      <c r="C1147" s="7" t="s">
        <v>12</v>
      </c>
      <c r="D1147" s="7" t="s">
        <v>232</v>
      </c>
      <c r="E1147" s="13">
        <f t="shared" ca="1" si="17"/>
        <v>45660</v>
      </c>
      <c r="F1147" s="7" t="s">
        <v>14</v>
      </c>
      <c r="G1147" s="8">
        <v>5</v>
      </c>
      <c r="H1147" s="9">
        <v>18500</v>
      </c>
      <c r="I1147" s="9">
        <v>87012</v>
      </c>
      <c r="J1147" s="17">
        <v>10441</v>
      </c>
    </row>
    <row r="1148" spans="1:10" x14ac:dyDescent="0.3">
      <c r="A1148" s="14" t="s">
        <v>37</v>
      </c>
      <c r="B1148" s="4" t="s">
        <v>16</v>
      </c>
      <c r="C1148" s="4" t="s">
        <v>12</v>
      </c>
      <c r="D1148" s="4" t="s">
        <v>191</v>
      </c>
      <c r="E1148" s="13">
        <f t="shared" ca="1" si="17"/>
        <v>45709</v>
      </c>
      <c r="F1148" s="4" t="s">
        <v>36</v>
      </c>
      <c r="G1148" s="5">
        <v>7</v>
      </c>
      <c r="H1148" s="6">
        <v>55000</v>
      </c>
      <c r="I1148" s="6">
        <v>352679</v>
      </c>
      <c r="J1148" s="16">
        <v>77589</v>
      </c>
    </row>
    <row r="1149" spans="1:10" x14ac:dyDescent="0.3">
      <c r="A1149" s="15" t="s">
        <v>41</v>
      </c>
      <c r="B1149" s="7" t="s">
        <v>88</v>
      </c>
      <c r="C1149" s="7" t="s">
        <v>12</v>
      </c>
      <c r="D1149" s="7" t="s">
        <v>186</v>
      </c>
      <c r="E1149" s="13">
        <f t="shared" ca="1" si="17"/>
        <v>45703</v>
      </c>
      <c r="F1149" s="7" t="s">
        <v>14</v>
      </c>
      <c r="G1149" s="8">
        <v>5</v>
      </c>
      <c r="H1149" s="9">
        <v>18500</v>
      </c>
      <c r="I1149" s="9">
        <v>99205</v>
      </c>
      <c r="J1149" s="17">
        <v>11905</v>
      </c>
    </row>
    <row r="1150" spans="1:10" x14ac:dyDescent="0.3">
      <c r="A1150" s="14" t="s">
        <v>15</v>
      </c>
      <c r="B1150" s="4" t="s">
        <v>22</v>
      </c>
      <c r="C1150" s="4" t="s">
        <v>23</v>
      </c>
      <c r="D1150" s="4" t="s">
        <v>128</v>
      </c>
      <c r="E1150" s="13">
        <f t="shared" ca="1" si="17"/>
        <v>45986</v>
      </c>
      <c r="F1150" s="4" t="s">
        <v>36</v>
      </c>
      <c r="G1150" s="5">
        <v>9</v>
      </c>
      <c r="H1150" s="6">
        <v>55000</v>
      </c>
      <c r="I1150" s="6">
        <v>508919</v>
      </c>
      <c r="J1150" s="16">
        <v>111962</v>
      </c>
    </row>
    <row r="1151" spans="1:10" x14ac:dyDescent="0.3">
      <c r="A1151" s="15" t="s">
        <v>10</v>
      </c>
      <c r="B1151" s="7" t="s">
        <v>25</v>
      </c>
      <c r="C1151" s="7" t="s">
        <v>26</v>
      </c>
      <c r="D1151" s="7" t="s">
        <v>94</v>
      </c>
      <c r="E1151" s="13">
        <f t="shared" ca="1" si="17"/>
        <v>45775</v>
      </c>
      <c r="F1151" s="7" t="s">
        <v>33</v>
      </c>
      <c r="G1151" s="8">
        <v>3</v>
      </c>
      <c r="H1151" s="9">
        <v>45000</v>
      </c>
      <c r="I1151" s="9">
        <v>145681</v>
      </c>
      <c r="J1151" s="17">
        <v>26223</v>
      </c>
    </row>
    <row r="1152" spans="1:10" x14ac:dyDescent="0.3">
      <c r="A1152" s="14" t="s">
        <v>18</v>
      </c>
      <c r="B1152" s="4" t="s">
        <v>29</v>
      </c>
      <c r="C1152" s="4" t="s">
        <v>26</v>
      </c>
      <c r="D1152" s="4" t="s">
        <v>237</v>
      </c>
      <c r="E1152" s="13">
        <f t="shared" ca="1" si="17"/>
        <v>45845</v>
      </c>
      <c r="F1152" s="4" t="s">
        <v>40</v>
      </c>
      <c r="G1152" s="5">
        <v>8</v>
      </c>
      <c r="H1152" s="6">
        <v>15000</v>
      </c>
      <c r="I1152" s="6">
        <v>113022</v>
      </c>
      <c r="J1152" s="16">
        <v>11302</v>
      </c>
    </row>
    <row r="1153" spans="1:10" x14ac:dyDescent="0.3">
      <c r="A1153" s="15" t="s">
        <v>37</v>
      </c>
      <c r="B1153" s="7" t="s">
        <v>81</v>
      </c>
      <c r="C1153" s="7" t="s">
        <v>26</v>
      </c>
      <c r="D1153" s="7" t="s">
        <v>171</v>
      </c>
      <c r="E1153" s="13">
        <f t="shared" ca="1" si="17"/>
        <v>45787</v>
      </c>
      <c r="F1153" s="7" t="s">
        <v>21</v>
      </c>
      <c r="G1153" s="8">
        <v>8</v>
      </c>
      <c r="H1153" s="9">
        <v>12500</v>
      </c>
      <c r="I1153" s="9">
        <v>100378</v>
      </c>
      <c r="J1153" s="17">
        <v>8030</v>
      </c>
    </row>
    <row r="1154" spans="1:10" x14ac:dyDescent="0.3">
      <c r="A1154" s="14" t="s">
        <v>10</v>
      </c>
      <c r="B1154" s="4" t="s">
        <v>84</v>
      </c>
      <c r="C1154" s="4" t="s">
        <v>12</v>
      </c>
      <c r="D1154" s="4" t="s">
        <v>173</v>
      </c>
      <c r="E1154" s="13">
        <f t="shared" ca="1" si="17"/>
        <v>45706</v>
      </c>
      <c r="F1154" s="4" t="s">
        <v>36</v>
      </c>
      <c r="G1154" s="5">
        <v>9</v>
      </c>
      <c r="H1154" s="6">
        <v>55000</v>
      </c>
      <c r="I1154" s="6">
        <v>522658</v>
      </c>
      <c r="J1154" s="16">
        <v>114985</v>
      </c>
    </row>
    <row r="1155" spans="1:10" x14ac:dyDescent="0.3">
      <c r="A1155" s="15" t="s">
        <v>41</v>
      </c>
      <c r="B1155" s="7" t="s">
        <v>84</v>
      </c>
      <c r="C1155" s="7" t="s">
        <v>12</v>
      </c>
      <c r="D1155" s="7" t="s">
        <v>201</v>
      </c>
      <c r="E1155" s="13">
        <f t="shared" ref="E1155:E1218" ca="1" si="18">DATE(2025,1,1)+RANDBETWEEN(0,364)</f>
        <v>45876</v>
      </c>
      <c r="F1155" s="7" t="s">
        <v>14</v>
      </c>
      <c r="G1155" s="8">
        <v>1</v>
      </c>
      <c r="H1155" s="9">
        <v>18500</v>
      </c>
      <c r="I1155" s="9">
        <v>18864</v>
      </c>
      <c r="J1155" s="17">
        <v>2264</v>
      </c>
    </row>
    <row r="1156" spans="1:10" x14ac:dyDescent="0.3">
      <c r="A1156" s="14" t="s">
        <v>37</v>
      </c>
      <c r="B1156" s="4" t="s">
        <v>88</v>
      </c>
      <c r="C1156" s="4" t="s">
        <v>12</v>
      </c>
      <c r="D1156" s="4" t="s">
        <v>187</v>
      </c>
      <c r="E1156" s="13">
        <f t="shared" ca="1" si="18"/>
        <v>45954</v>
      </c>
      <c r="F1156" s="4" t="s">
        <v>33</v>
      </c>
      <c r="G1156" s="5">
        <v>7</v>
      </c>
      <c r="H1156" s="6">
        <v>45000</v>
      </c>
      <c r="I1156" s="6">
        <v>289735</v>
      </c>
      <c r="J1156" s="16">
        <v>52152</v>
      </c>
    </row>
    <row r="1157" spans="1:10" x14ac:dyDescent="0.3">
      <c r="A1157" s="15" t="s">
        <v>15</v>
      </c>
      <c r="B1157" s="7" t="s">
        <v>38</v>
      </c>
      <c r="C1157" s="7" t="s">
        <v>23</v>
      </c>
      <c r="D1157" s="7" t="s">
        <v>58</v>
      </c>
      <c r="E1157" s="13">
        <f t="shared" ca="1" si="18"/>
        <v>45730</v>
      </c>
      <c r="F1157" s="7" t="s">
        <v>33</v>
      </c>
      <c r="G1157" s="8">
        <v>3</v>
      </c>
      <c r="H1157" s="9">
        <v>45000</v>
      </c>
      <c r="I1157" s="9">
        <v>137764</v>
      </c>
      <c r="J1157" s="17">
        <v>24798</v>
      </c>
    </row>
    <row r="1158" spans="1:10" x14ac:dyDescent="0.3">
      <c r="A1158" s="14" t="s">
        <v>37</v>
      </c>
      <c r="B1158" s="4" t="s">
        <v>88</v>
      </c>
      <c r="C1158" s="4" t="s">
        <v>12</v>
      </c>
      <c r="D1158" s="4" t="s">
        <v>197</v>
      </c>
      <c r="E1158" s="13">
        <f t="shared" ca="1" si="18"/>
        <v>45672</v>
      </c>
      <c r="F1158" s="4" t="s">
        <v>21</v>
      </c>
      <c r="G1158" s="5">
        <v>4</v>
      </c>
      <c r="H1158" s="6">
        <v>12500</v>
      </c>
      <c r="I1158" s="6">
        <v>51554</v>
      </c>
      <c r="J1158" s="16">
        <v>4124</v>
      </c>
    </row>
    <row r="1159" spans="1:10" x14ac:dyDescent="0.3">
      <c r="A1159" s="15" t="s">
        <v>10</v>
      </c>
      <c r="B1159" s="7" t="s">
        <v>22</v>
      </c>
      <c r="C1159" s="7" t="s">
        <v>23</v>
      </c>
      <c r="D1159" s="7" t="s">
        <v>138</v>
      </c>
      <c r="E1159" s="13">
        <f t="shared" ca="1" si="18"/>
        <v>45707</v>
      </c>
      <c r="F1159" s="7" t="s">
        <v>36</v>
      </c>
      <c r="G1159" s="8">
        <v>2</v>
      </c>
      <c r="H1159" s="9">
        <v>55000</v>
      </c>
      <c r="I1159" s="9">
        <v>116704</v>
      </c>
      <c r="J1159" s="17">
        <v>25675</v>
      </c>
    </row>
    <row r="1160" spans="1:10" x14ac:dyDescent="0.3">
      <c r="A1160" s="14" t="s">
        <v>41</v>
      </c>
      <c r="B1160" s="4" t="s">
        <v>56</v>
      </c>
      <c r="C1160" s="4" t="s">
        <v>23</v>
      </c>
      <c r="D1160" s="4" t="s">
        <v>148</v>
      </c>
      <c r="E1160" s="13">
        <f t="shared" ca="1" si="18"/>
        <v>46011</v>
      </c>
      <c r="F1160" s="4" t="s">
        <v>33</v>
      </c>
      <c r="G1160" s="5">
        <v>10</v>
      </c>
      <c r="H1160" s="6">
        <v>45000</v>
      </c>
      <c r="I1160" s="6">
        <v>474678</v>
      </c>
      <c r="J1160" s="16">
        <v>85442</v>
      </c>
    </row>
    <row r="1161" spans="1:10" x14ac:dyDescent="0.3">
      <c r="A1161" s="15" t="s">
        <v>18</v>
      </c>
      <c r="B1161" s="7" t="s">
        <v>31</v>
      </c>
      <c r="C1161" s="7" t="s">
        <v>12</v>
      </c>
      <c r="D1161" s="7" t="s">
        <v>246</v>
      </c>
      <c r="E1161" s="13">
        <f t="shared" ca="1" si="18"/>
        <v>45982</v>
      </c>
      <c r="F1161" s="7" t="s">
        <v>14</v>
      </c>
      <c r="G1161" s="8">
        <v>6</v>
      </c>
      <c r="H1161" s="9">
        <v>18500</v>
      </c>
      <c r="I1161" s="9">
        <v>103392</v>
      </c>
      <c r="J1161" s="17">
        <v>12407</v>
      </c>
    </row>
    <row r="1162" spans="1:10" x14ac:dyDescent="0.3">
      <c r="A1162" s="14" t="s">
        <v>18</v>
      </c>
      <c r="B1162" s="4" t="s">
        <v>84</v>
      </c>
      <c r="C1162" s="4" t="s">
        <v>12</v>
      </c>
      <c r="D1162" s="4" t="s">
        <v>66</v>
      </c>
      <c r="E1162" s="13">
        <f t="shared" ca="1" si="18"/>
        <v>45767</v>
      </c>
      <c r="F1162" s="4" t="s">
        <v>33</v>
      </c>
      <c r="G1162" s="5">
        <v>10</v>
      </c>
      <c r="H1162" s="6">
        <v>45000</v>
      </c>
      <c r="I1162" s="6">
        <v>483025</v>
      </c>
      <c r="J1162" s="16">
        <v>86944</v>
      </c>
    </row>
    <row r="1163" spans="1:10" x14ac:dyDescent="0.3">
      <c r="A1163" s="15" t="s">
        <v>10</v>
      </c>
      <c r="B1163" s="7" t="s">
        <v>25</v>
      </c>
      <c r="C1163" s="7" t="s">
        <v>26</v>
      </c>
      <c r="D1163" s="7" t="s">
        <v>148</v>
      </c>
      <c r="E1163" s="13">
        <f t="shared" ca="1" si="18"/>
        <v>45781</v>
      </c>
      <c r="F1163" s="7" t="s">
        <v>33</v>
      </c>
      <c r="G1163" s="8">
        <v>4</v>
      </c>
      <c r="H1163" s="9">
        <v>45000</v>
      </c>
      <c r="I1163" s="9">
        <v>171885</v>
      </c>
      <c r="J1163" s="17">
        <v>30939</v>
      </c>
    </row>
    <row r="1164" spans="1:10" x14ac:dyDescent="0.3">
      <c r="A1164" s="14" t="s">
        <v>15</v>
      </c>
      <c r="B1164" s="4" t="s">
        <v>51</v>
      </c>
      <c r="C1164" s="4" t="s">
        <v>12</v>
      </c>
      <c r="D1164" s="4" t="s">
        <v>162</v>
      </c>
      <c r="E1164" s="13">
        <f t="shared" ca="1" si="18"/>
        <v>45811</v>
      </c>
      <c r="F1164" s="4" t="s">
        <v>14</v>
      </c>
      <c r="G1164" s="5">
        <v>2</v>
      </c>
      <c r="H1164" s="6">
        <v>18500</v>
      </c>
      <c r="I1164" s="6">
        <v>37731</v>
      </c>
      <c r="J1164" s="16">
        <v>4528</v>
      </c>
    </row>
    <row r="1165" spans="1:10" x14ac:dyDescent="0.3">
      <c r="A1165" s="15" t="s">
        <v>15</v>
      </c>
      <c r="B1165" s="7" t="s">
        <v>88</v>
      </c>
      <c r="C1165" s="7" t="s">
        <v>12</v>
      </c>
      <c r="D1165" s="7" t="s">
        <v>96</v>
      </c>
      <c r="E1165" s="13">
        <f t="shared" ca="1" si="18"/>
        <v>45880</v>
      </c>
      <c r="F1165" s="7" t="s">
        <v>33</v>
      </c>
      <c r="G1165" s="8">
        <v>8</v>
      </c>
      <c r="H1165" s="9">
        <v>45000</v>
      </c>
      <c r="I1165" s="9">
        <v>356774</v>
      </c>
      <c r="J1165" s="17">
        <v>64219</v>
      </c>
    </row>
    <row r="1166" spans="1:10" x14ac:dyDescent="0.3">
      <c r="A1166" s="14" t="s">
        <v>37</v>
      </c>
      <c r="B1166" s="4" t="s">
        <v>84</v>
      </c>
      <c r="C1166" s="4" t="s">
        <v>12</v>
      </c>
      <c r="D1166" s="4" t="s">
        <v>82</v>
      </c>
      <c r="E1166" s="13">
        <f t="shared" ca="1" si="18"/>
        <v>45968</v>
      </c>
      <c r="F1166" s="4" t="s">
        <v>40</v>
      </c>
      <c r="G1166" s="5">
        <v>6</v>
      </c>
      <c r="H1166" s="6">
        <v>15000</v>
      </c>
      <c r="I1166" s="6">
        <v>91392</v>
      </c>
      <c r="J1166" s="16">
        <v>9139</v>
      </c>
    </row>
    <row r="1167" spans="1:10" x14ac:dyDescent="0.3">
      <c r="A1167" s="15" t="s">
        <v>10</v>
      </c>
      <c r="B1167" s="7" t="s">
        <v>84</v>
      </c>
      <c r="C1167" s="7" t="s">
        <v>12</v>
      </c>
      <c r="D1167" s="7" t="s">
        <v>140</v>
      </c>
      <c r="E1167" s="13">
        <f t="shared" ca="1" si="18"/>
        <v>45822</v>
      </c>
      <c r="F1167" s="7" t="s">
        <v>21</v>
      </c>
      <c r="G1167" s="8">
        <v>10</v>
      </c>
      <c r="H1167" s="9">
        <v>12500</v>
      </c>
      <c r="I1167" s="9">
        <v>114663</v>
      </c>
      <c r="J1167" s="17">
        <v>9173</v>
      </c>
    </row>
    <row r="1168" spans="1:10" x14ac:dyDescent="0.3">
      <c r="A1168" s="14" t="s">
        <v>41</v>
      </c>
      <c r="B1168" s="4" t="s">
        <v>25</v>
      </c>
      <c r="C1168" s="4" t="s">
        <v>26</v>
      </c>
      <c r="D1168" s="4" t="s">
        <v>87</v>
      </c>
      <c r="E1168" s="13">
        <f t="shared" ca="1" si="18"/>
        <v>45706</v>
      </c>
      <c r="F1168" s="4" t="s">
        <v>36</v>
      </c>
      <c r="G1168" s="5">
        <v>4</v>
      </c>
      <c r="H1168" s="6">
        <v>55000</v>
      </c>
      <c r="I1168" s="6">
        <v>201814</v>
      </c>
      <c r="J1168" s="16">
        <v>44399</v>
      </c>
    </row>
    <row r="1169" spans="1:10" x14ac:dyDescent="0.3">
      <c r="A1169" s="15" t="s">
        <v>10</v>
      </c>
      <c r="B1169" s="7" t="s">
        <v>77</v>
      </c>
      <c r="C1169" s="7" t="s">
        <v>12</v>
      </c>
      <c r="D1169" s="7" t="s">
        <v>111</v>
      </c>
      <c r="E1169" s="13">
        <f t="shared" ca="1" si="18"/>
        <v>45741</v>
      </c>
      <c r="F1169" s="7" t="s">
        <v>40</v>
      </c>
      <c r="G1169" s="8">
        <v>1</v>
      </c>
      <c r="H1169" s="9">
        <v>15000</v>
      </c>
      <c r="I1169" s="9">
        <v>13944</v>
      </c>
      <c r="J1169" s="17">
        <v>1394</v>
      </c>
    </row>
    <row r="1170" spans="1:10" x14ac:dyDescent="0.3">
      <c r="A1170" s="14" t="s">
        <v>37</v>
      </c>
      <c r="B1170" s="4" t="s">
        <v>56</v>
      </c>
      <c r="C1170" s="4" t="s">
        <v>23</v>
      </c>
      <c r="D1170" s="4" t="s">
        <v>62</v>
      </c>
      <c r="E1170" s="13">
        <f t="shared" ca="1" si="18"/>
        <v>45677</v>
      </c>
      <c r="F1170" s="4" t="s">
        <v>14</v>
      </c>
      <c r="G1170" s="5">
        <v>1</v>
      </c>
      <c r="H1170" s="6">
        <v>18500</v>
      </c>
      <c r="I1170" s="6">
        <v>18349</v>
      </c>
      <c r="J1170" s="16">
        <v>2202</v>
      </c>
    </row>
    <row r="1171" spans="1:10" x14ac:dyDescent="0.3">
      <c r="A1171" s="15" t="s">
        <v>37</v>
      </c>
      <c r="B1171" s="7" t="s">
        <v>56</v>
      </c>
      <c r="C1171" s="7" t="s">
        <v>23</v>
      </c>
      <c r="D1171" s="7" t="s">
        <v>17</v>
      </c>
      <c r="E1171" s="13">
        <f t="shared" ca="1" si="18"/>
        <v>45666</v>
      </c>
      <c r="F1171" s="7" t="s">
        <v>14</v>
      </c>
      <c r="G1171" s="8">
        <v>8</v>
      </c>
      <c r="H1171" s="9">
        <v>18500</v>
      </c>
      <c r="I1171" s="9">
        <v>148807</v>
      </c>
      <c r="J1171" s="17">
        <v>17857</v>
      </c>
    </row>
    <row r="1172" spans="1:10" x14ac:dyDescent="0.3">
      <c r="A1172" s="14" t="s">
        <v>37</v>
      </c>
      <c r="B1172" s="4" t="s">
        <v>38</v>
      </c>
      <c r="C1172" s="4" t="s">
        <v>23</v>
      </c>
      <c r="D1172" s="4" t="s">
        <v>204</v>
      </c>
      <c r="E1172" s="13">
        <f t="shared" ca="1" si="18"/>
        <v>45935</v>
      </c>
      <c r="F1172" s="4" t="s">
        <v>14</v>
      </c>
      <c r="G1172" s="5">
        <v>1</v>
      </c>
      <c r="H1172" s="6">
        <v>18500</v>
      </c>
      <c r="I1172" s="6">
        <v>19313</v>
      </c>
      <c r="J1172" s="16">
        <v>2318</v>
      </c>
    </row>
    <row r="1173" spans="1:10" x14ac:dyDescent="0.3">
      <c r="A1173" s="15" t="s">
        <v>37</v>
      </c>
      <c r="B1173" s="7" t="s">
        <v>19</v>
      </c>
      <c r="C1173" s="7" t="s">
        <v>12</v>
      </c>
      <c r="D1173" s="7" t="s">
        <v>223</v>
      </c>
      <c r="E1173" s="13">
        <f t="shared" ca="1" si="18"/>
        <v>45875</v>
      </c>
      <c r="F1173" s="7" t="s">
        <v>14</v>
      </c>
      <c r="G1173" s="8">
        <v>3</v>
      </c>
      <c r="H1173" s="9">
        <v>18500</v>
      </c>
      <c r="I1173" s="9">
        <v>52977</v>
      </c>
      <c r="J1173" s="17">
        <v>6357</v>
      </c>
    </row>
    <row r="1174" spans="1:10" x14ac:dyDescent="0.3">
      <c r="A1174" s="14" t="s">
        <v>10</v>
      </c>
      <c r="B1174" s="4" t="s">
        <v>46</v>
      </c>
      <c r="C1174" s="4" t="s">
        <v>26</v>
      </c>
      <c r="D1174" s="4" t="s">
        <v>75</v>
      </c>
      <c r="E1174" s="13">
        <f t="shared" ca="1" si="18"/>
        <v>46022</v>
      </c>
      <c r="F1174" s="4" t="s">
        <v>14</v>
      </c>
      <c r="G1174" s="5">
        <v>8</v>
      </c>
      <c r="H1174" s="6">
        <v>18500</v>
      </c>
      <c r="I1174" s="6">
        <v>152553</v>
      </c>
      <c r="J1174" s="16">
        <v>18306</v>
      </c>
    </row>
    <row r="1175" spans="1:10" x14ac:dyDescent="0.3">
      <c r="A1175" s="15" t="s">
        <v>10</v>
      </c>
      <c r="B1175" s="7" t="s">
        <v>25</v>
      </c>
      <c r="C1175" s="7" t="s">
        <v>26</v>
      </c>
      <c r="D1175" s="7" t="s">
        <v>20</v>
      </c>
      <c r="E1175" s="13">
        <f t="shared" ca="1" si="18"/>
        <v>45941</v>
      </c>
      <c r="F1175" s="7" t="s">
        <v>21</v>
      </c>
      <c r="G1175" s="8">
        <v>2</v>
      </c>
      <c r="H1175" s="9">
        <v>12500</v>
      </c>
      <c r="I1175" s="9">
        <v>27250</v>
      </c>
      <c r="J1175" s="17">
        <v>2180</v>
      </c>
    </row>
    <row r="1176" spans="1:10" x14ac:dyDescent="0.3">
      <c r="A1176" s="14" t="s">
        <v>18</v>
      </c>
      <c r="B1176" s="4" t="s">
        <v>38</v>
      </c>
      <c r="C1176" s="4" t="s">
        <v>23</v>
      </c>
      <c r="D1176" s="4" t="s">
        <v>145</v>
      </c>
      <c r="E1176" s="13">
        <f t="shared" ca="1" si="18"/>
        <v>45966</v>
      </c>
      <c r="F1176" s="4" t="s">
        <v>36</v>
      </c>
      <c r="G1176" s="5">
        <v>9</v>
      </c>
      <c r="H1176" s="6">
        <v>55000</v>
      </c>
      <c r="I1176" s="6">
        <v>467799</v>
      </c>
      <c r="J1176" s="16">
        <v>102916</v>
      </c>
    </row>
    <row r="1177" spans="1:10" x14ac:dyDescent="0.3">
      <c r="A1177" s="15" t="s">
        <v>15</v>
      </c>
      <c r="B1177" s="7" t="s">
        <v>25</v>
      </c>
      <c r="C1177" s="7" t="s">
        <v>26</v>
      </c>
      <c r="D1177" s="7" t="s">
        <v>247</v>
      </c>
      <c r="E1177" s="13">
        <f t="shared" ca="1" si="18"/>
        <v>45663</v>
      </c>
      <c r="F1177" s="7" t="s">
        <v>36</v>
      </c>
      <c r="G1177" s="8">
        <v>10</v>
      </c>
      <c r="H1177" s="9">
        <v>55000</v>
      </c>
      <c r="I1177" s="9">
        <v>513776</v>
      </c>
      <c r="J1177" s="17">
        <v>113031</v>
      </c>
    </row>
    <row r="1178" spans="1:10" x14ac:dyDescent="0.3">
      <c r="A1178" s="14" t="s">
        <v>18</v>
      </c>
      <c r="B1178" s="4" t="s">
        <v>22</v>
      </c>
      <c r="C1178" s="4" t="s">
        <v>23</v>
      </c>
      <c r="D1178" s="4" t="s">
        <v>218</v>
      </c>
      <c r="E1178" s="13">
        <f t="shared" ca="1" si="18"/>
        <v>45875</v>
      </c>
      <c r="F1178" s="4" t="s">
        <v>33</v>
      </c>
      <c r="G1178" s="5">
        <v>8</v>
      </c>
      <c r="H1178" s="6">
        <v>45000</v>
      </c>
      <c r="I1178" s="6">
        <v>331452</v>
      </c>
      <c r="J1178" s="16">
        <v>59661</v>
      </c>
    </row>
    <row r="1179" spans="1:10" x14ac:dyDescent="0.3">
      <c r="A1179" s="15" t="s">
        <v>18</v>
      </c>
      <c r="B1179" s="7" t="s">
        <v>77</v>
      </c>
      <c r="C1179" s="7" t="s">
        <v>12</v>
      </c>
      <c r="D1179" s="7" t="s">
        <v>195</v>
      </c>
      <c r="E1179" s="13">
        <f t="shared" ca="1" si="18"/>
        <v>45704</v>
      </c>
      <c r="F1179" s="7" t="s">
        <v>21</v>
      </c>
      <c r="G1179" s="8">
        <v>7</v>
      </c>
      <c r="H1179" s="9">
        <v>12500</v>
      </c>
      <c r="I1179" s="9">
        <v>85930</v>
      </c>
      <c r="J1179" s="17">
        <v>6874</v>
      </c>
    </row>
    <row r="1180" spans="1:10" x14ac:dyDescent="0.3">
      <c r="A1180" s="14" t="s">
        <v>15</v>
      </c>
      <c r="B1180" s="4" t="s">
        <v>51</v>
      </c>
      <c r="C1180" s="4" t="s">
        <v>12</v>
      </c>
      <c r="D1180" s="4" t="s">
        <v>89</v>
      </c>
      <c r="E1180" s="13">
        <f t="shared" ca="1" si="18"/>
        <v>46006</v>
      </c>
      <c r="F1180" s="4" t="s">
        <v>21</v>
      </c>
      <c r="G1180" s="5">
        <v>7</v>
      </c>
      <c r="H1180" s="6">
        <v>12500</v>
      </c>
      <c r="I1180" s="6">
        <v>90246</v>
      </c>
      <c r="J1180" s="16">
        <v>7220</v>
      </c>
    </row>
    <row r="1181" spans="1:10" x14ac:dyDescent="0.3">
      <c r="A1181" s="15" t="s">
        <v>41</v>
      </c>
      <c r="B1181" s="7" t="s">
        <v>51</v>
      </c>
      <c r="C1181" s="7" t="s">
        <v>12</v>
      </c>
      <c r="D1181" s="7" t="s">
        <v>137</v>
      </c>
      <c r="E1181" s="13">
        <f t="shared" ca="1" si="18"/>
        <v>45869</v>
      </c>
      <c r="F1181" s="7" t="s">
        <v>40</v>
      </c>
      <c r="G1181" s="8">
        <v>1</v>
      </c>
      <c r="H1181" s="9">
        <v>15000</v>
      </c>
      <c r="I1181" s="9">
        <v>15770</v>
      </c>
      <c r="J1181" s="17">
        <v>1577</v>
      </c>
    </row>
    <row r="1182" spans="1:10" x14ac:dyDescent="0.3">
      <c r="A1182" s="14" t="s">
        <v>15</v>
      </c>
      <c r="B1182" s="4" t="s">
        <v>84</v>
      </c>
      <c r="C1182" s="4" t="s">
        <v>12</v>
      </c>
      <c r="D1182" s="4" t="s">
        <v>67</v>
      </c>
      <c r="E1182" s="13">
        <f t="shared" ca="1" si="18"/>
        <v>45861</v>
      </c>
      <c r="F1182" s="4" t="s">
        <v>33</v>
      </c>
      <c r="G1182" s="5">
        <v>10</v>
      </c>
      <c r="H1182" s="6">
        <v>45000</v>
      </c>
      <c r="I1182" s="6">
        <v>431041</v>
      </c>
      <c r="J1182" s="16">
        <v>77587</v>
      </c>
    </row>
    <row r="1183" spans="1:10" x14ac:dyDescent="0.3">
      <c r="A1183" s="15" t="s">
        <v>10</v>
      </c>
      <c r="B1183" s="7" t="s">
        <v>31</v>
      </c>
      <c r="C1183" s="7" t="s">
        <v>12</v>
      </c>
      <c r="D1183" s="7" t="s">
        <v>154</v>
      </c>
      <c r="E1183" s="13">
        <f t="shared" ca="1" si="18"/>
        <v>45999</v>
      </c>
      <c r="F1183" s="7" t="s">
        <v>21</v>
      </c>
      <c r="G1183" s="8">
        <v>9</v>
      </c>
      <c r="H1183" s="9">
        <v>12500</v>
      </c>
      <c r="I1183" s="9">
        <v>117355</v>
      </c>
      <c r="J1183" s="17">
        <v>9388</v>
      </c>
    </row>
    <row r="1184" spans="1:10" x14ac:dyDescent="0.3">
      <c r="A1184" s="14" t="s">
        <v>10</v>
      </c>
      <c r="B1184" s="4" t="s">
        <v>19</v>
      </c>
      <c r="C1184" s="4" t="s">
        <v>12</v>
      </c>
      <c r="D1184" s="4" t="s">
        <v>241</v>
      </c>
      <c r="E1184" s="13">
        <f t="shared" ca="1" si="18"/>
        <v>45970</v>
      </c>
      <c r="F1184" s="4" t="s">
        <v>36</v>
      </c>
      <c r="G1184" s="5">
        <v>5</v>
      </c>
      <c r="H1184" s="6">
        <v>55000</v>
      </c>
      <c r="I1184" s="6">
        <v>265258</v>
      </c>
      <c r="J1184" s="16">
        <v>58357</v>
      </c>
    </row>
    <row r="1185" spans="1:10" x14ac:dyDescent="0.3">
      <c r="A1185" s="15" t="s">
        <v>18</v>
      </c>
      <c r="B1185" s="7" t="s">
        <v>88</v>
      </c>
      <c r="C1185" s="7" t="s">
        <v>12</v>
      </c>
      <c r="D1185" s="7" t="s">
        <v>102</v>
      </c>
      <c r="E1185" s="13">
        <f t="shared" ca="1" si="18"/>
        <v>45668</v>
      </c>
      <c r="F1185" s="7" t="s">
        <v>14</v>
      </c>
      <c r="G1185" s="8">
        <v>2</v>
      </c>
      <c r="H1185" s="9">
        <v>18500</v>
      </c>
      <c r="I1185" s="9">
        <v>38827</v>
      </c>
      <c r="J1185" s="17">
        <v>4659</v>
      </c>
    </row>
    <row r="1186" spans="1:10" x14ac:dyDescent="0.3">
      <c r="A1186" s="14" t="s">
        <v>18</v>
      </c>
      <c r="B1186" s="4" t="s">
        <v>38</v>
      </c>
      <c r="C1186" s="4" t="s">
        <v>23</v>
      </c>
      <c r="D1186" s="4" t="s">
        <v>13</v>
      </c>
      <c r="E1186" s="13">
        <f t="shared" ca="1" si="18"/>
        <v>45917</v>
      </c>
      <c r="F1186" s="4" t="s">
        <v>36</v>
      </c>
      <c r="G1186" s="5">
        <v>7</v>
      </c>
      <c r="H1186" s="6">
        <v>55000</v>
      </c>
      <c r="I1186" s="6">
        <v>403180</v>
      </c>
      <c r="J1186" s="16">
        <v>88700</v>
      </c>
    </row>
    <row r="1187" spans="1:10" x14ac:dyDescent="0.3">
      <c r="A1187" s="15" t="s">
        <v>15</v>
      </c>
      <c r="B1187" s="7" t="s">
        <v>81</v>
      </c>
      <c r="C1187" s="7" t="s">
        <v>26</v>
      </c>
      <c r="D1187" s="7" t="s">
        <v>120</v>
      </c>
      <c r="E1187" s="13">
        <f t="shared" ca="1" si="18"/>
        <v>45989</v>
      </c>
      <c r="F1187" s="7" t="s">
        <v>21</v>
      </c>
      <c r="G1187" s="8">
        <v>3</v>
      </c>
      <c r="H1187" s="9">
        <v>12500</v>
      </c>
      <c r="I1187" s="9">
        <v>34377</v>
      </c>
      <c r="J1187" s="17">
        <v>2750</v>
      </c>
    </row>
    <row r="1188" spans="1:10" x14ac:dyDescent="0.3">
      <c r="A1188" s="14" t="s">
        <v>18</v>
      </c>
      <c r="B1188" s="4" t="s">
        <v>77</v>
      </c>
      <c r="C1188" s="4" t="s">
        <v>12</v>
      </c>
      <c r="D1188" s="4" t="s">
        <v>248</v>
      </c>
      <c r="E1188" s="13">
        <f t="shared" ca="1" si="18"/>
        <v>45841</v>
      </c>
      <c r="F1188" s="4" t="s">
        <v>33</v>
      </c>
      <c r="G1188" s="5">
        <v>3</v>
      </c>
      <c r="H1188" s="6">
        <v>45000</v>
      </c>
      <c r="I1188" s="6">
        <v>123857</v>
      </c>
      <c r="J1188" s="16">
        <v>22294</v>
      </c>
    </row>
    <row r="1189" spans="1:10" x14ac:dyDescent="0.3">
      <c r="A1189" s="15" t="s">
        <v>10</v>
      </c>
      <c r="B1189" s="7" t="s">
        <v>29</v>
      </c>
      <c r="C1189" s="7" t="s">
        <v>26</v>
      </c>
      <c r="D1189" s="7" t="s">
        <v>187</v>
      </c>
      <c r="E1189" s="13">
        <f t="shared" ca="1" si="18"/>
        <v>45962</v>
      </c>
      <c r="F1189" s="7" t="s">
        <v>40</v>
      </c>
      <c r="G1189" s="8">
        <v>2</v>
      </c>
      <c r="H1189" s="9">
        <v>15000</v>
      </c>
      <c r="I1189" s="9">
        <v>32379</v>
      </c>
      <c r="J1189" s="17">
        <v>3238</v>
      </c>
    </row>
    <row r="1190" spans="1:10" x14ac:dyDescent="0.3">
      <c r="A1190" s="14" t="s">
        <v>18</v>
      </c>
      <c r="B1190" s="4" t="s">
        <v>22</v>
      </c>
      <c r="C1190" s="4" t="s">
        <v>23</v>
      </c>
      <c r="D1190" s="4" t="s">
        <v>120</v>
      </c>
      <c r="E1190" s="13">
        <f t="shared" ca="1" si="18"/>
        <v>46010</v>
      </c>
      <c r="F1190" s="4" t="s">
        <v>36</v>
      </c>
      <c r="G1190" s="5">
        <v>6</v>
      </c>
      <c r="H1190" s="6">
        <v>55000</v>
      </c>
      <c r="I1190" s="6">
        <v>346361</v>
      </c>
      <c r="J1190" s="16">
        <v>76199</v>
      </c>
    </row>
    <row r="1191" spans="1:10" x14ac:dyDescent="0.3">
      <c r="A1191" s="15" t="s">
        <v>37</v>
      </c>
      <c r="B1191" s="7" t="s">
        <v>25</v>
      </c>
      <c r="C1191" s="7" t="s">
        <v>26</v>
      </c>
      <c r="D1191" s="7" t="s">
        <v>181</v>
      </c>
      <c r="E1191" s="13">
        <f t="shared" ca="1" si="18"/>
        <v>45696</v>
      </c>
      <c r="F1191" s="7" t="s">
        <v>33</v>
      </c>
      <c r="G1191" s="8">
        <v>10</v>
      </c>
      <c r="H1191" s="9">
        <v>45000</v>
      </c>
      <c r="I1191" s="9">
        <v>438553</v>
      </c>
      <c r="J1191" s="17">
        <v>78940</v>
      </c>
    </row>
    <row r="1192" spans="1:10" x14ac:dyDescent="0.3">
      <c r="A1192" s="14" t="s">
        <v>10</v>
      </c>
      <c r="B1192" s="4" t="s">
        <v>56</v>
      </c>
      <c r="C1192" s="4" t="s">
        <v>23</v>
      </c>
      <c r="D1192" s="4" t="s">
        <v>127</v>
      </c>
      <c r="E1192" s="13">
        <f t="shared" ca="1" si="18"/>
        <v>46021</v>
      </c>
      <c r="F1192" s="4" t="s">
        <v>40</v>
      </c>
      <c r="G1192" s="5">
        <v>10</v>
      </c>
      <c r="H1192" s="6">
        <v>15000</v>
      </c>
      <c r="I1192" s="6">
        <v>153143</v>
      </c>
      <c r="J1192" s="16">
        <v>15314</v>
      </c>
    </row>
    <row r="1193" spans="1:10" x14ac:dyDescent="0.3">
      <c r="A1193" s="15" t="s">
        <v>15</v>
      </c>
      <c r="B1193" s="7" t="s">
        <v>11</v>
      </c>
      <c r="C1193" s="7" t="s">
        <v>12</v>
      </c>
      <c r="D1193" s="7" t="s">
        <v>194</v>
      </c>
      <c r="E1193" s="13">
        <f t="shared" ca="1" si="18"/>
        <v>45779</v>
      </c>
      <c r="F1193" s="7" t="s">
        <v>33</v>
      </c>
      <c r="G1193" s="8">
        <v>3</v>
      </c>
      <c r="H1193" s="9">
        <v>45000</v>
      </c>
      <c r="I1193" s="9">
        <v>139488</v>
      </c>
      <c r="J1193" s="17">
        <v>25108</v>
      </c>
    </row>
    <row r="1194" spans="1:10" x14ac:dyDescent="0.3">
      <c r="A1194" s="14" t="s">
        <v>10</v>
      </c>
      <c r="B1194" s="4" t="s">
        <v>81</v>
      </c>
      <c r="C1194" s="4" t="s">
        <v>26</v>
      </c>
      <c r="D1194" s="4" t="s">
        <v>226</v>
      </c>
      <c r="E1194" s="13">
        <f t="shared" ca="1" si="18"/>
        <v>45929</v>
      </c>
      <c r="F1194" s="4" t="s">
        <v>21</v>
      </c>
      <c r="G1194" s="5">
        <v>6</v>
      </c>
      <c r="H1194" s="6">
        <v>12500</v>
      </c>
      <c r="I1194" s="6">
        <v>78644</v>
      </c>
      <c r="J1194" s="16">
        <v>6292</v>
      </c>
    </row>
    <row r="1195" spans="1:10" x14ac:dyDescent="0.3">
      <c r="A1195" s="15" t="s">
        <v>37</v>
      </c>
      <c r="B1195" s="7" t="s">
        <v>38</v>
      </c>
      <c r="C1195" s="7" t="s">
        <v>23</v>
      </c>
      <c r="D1195" s="7" t="s">
        <v>161</v>
      </c>
      <c r="E1195" s="13">
        <f t="shared" ca="1" si="18"/>
        <v>45819</v>
      </c>
      <c r="F1195" s="7" t="s">
        <v>36</v>
      </c>
      <c r="G1195" s="8">
        <v>4</v>
      </c>
      <c r="H1195" s="9">
        <v>55000</v>
      </c>
      <c r="I1195" s="9">
        <v>215614</v>
      </c>
      <c r="J1195" s="17">
        <v>47435</v>
      </c>
    </row>
    <row r="1196" spans="1:10" x14ac:dyDescent="0.3">
      <c r="A1196" s="14" t="s">
        <v>18</v>
      </c>
      <c r="B1196" s="4" t="s">
        <v>81</v>
      </c>
      <c r="C1196" s="4" t="s">
        <v>26</v>
      </c>
      <c r="D1196" s="4" t="s">
        <v>222</v>
      </c>
      <c r="E1196" s="13">
        <f t="shared" ca="1" si="18"/>
        <v>45808</v>
      </c>
      <c r="F1196" s="4" t="s">
        <v>21</v>
      </c>
      <c r="G1196" s="5">
        <v>4</v>
      </c>
      <c r="H1196" s="6">
        <v>12500</v>
      </c>
      <c r="I1196" s="6">
        <v>47058</v>
      </c>
      <c r="J1196" s="16">
        <v>3765</v>
      </c>
    </row>
    <row r="1197" spans="1:10" x14ac:dyDescent="0.3">
      <c r="A1197" s="15" t="s">
        <v>15</v>
      </c>
      <c r="B1197" s="7" t="s">
        <v>11</v>
      </c>
      <c r="C1197" s="7" t="s">
        <v>12</v>
      </c>
      <c r="D1197" s="7" t="s">
        <v>230</v>
      </c>
      <c r="E1197" s="13">
        <f t="shared" ca="1" si="18"/>
        <v>45918</v>
      </c>
      <c r="F1197" s="7" t="s">
        <v>33</v>
      </c>
      <c r="G1197" s="8">
        <v>8</v>
      </c>
      <c r="H1197" s="9">
        <v>45000</v>
      </c>
      <c r="I1197" s="9">
        <v>331179</v>
      </c>
      <c r="J1197" s="17">
        <v>59612</v>
      </c>
    </row>
    <row r="1198" spans="1:10" x14ac:dyDescent="0.3">
      <c r="A1198" s="14" t="s">
        <v>18</v>
      </c>
      <c r="B1198" s="4" t="s">
        <v>22</v>
      </c>
      <c r="C1198" s="4" t="s">
        <v>23</v>
      </c>
      <c r="D1198" s="4" t="s">
        <v>71</v>
      </c>
      <c r="E1198" s="13">
        <f t="shared" ca="1" si="18"/>
        <v>45804</v>
      </c>
      <c r="F1198" s="4" t="s">
        <v>33</v>
      </c>
      <c r="G1198" s="5">
        <v>2</v>
      </c>
      <c r="H1198" s="6">
        <v>45000</v>
      </c>
      <c r="I1198" s="6">
        <v>94329</v>
      </c>
      <c r="J1198" s="16">
        <v>16979</v>
      </c>
    </row>
    <row r="1199" spans="1:10" x14ac:dyDescent="0.3">
      <c r="A1199" s="15" t="s">
        <v>37</v>
      </c>
      <c r="B1199" s="7" t="s">
        <v>81</v>
      </c>
      <c r="C1199" s="7" t="s">
        <v>26</v>
      </c>
      <c r="D1199" s="7" t="s">
        <v>72</v>
      </c>
      <c r="E1199" s="13">
        <f t="shared" ca="1" si="18"/>
        <v>46019</v>
      </c>
      <c r="F1199" s="7" t="s">
        <v>33</v>
      </c>
      <c r="G1199" s="8">
        <v>1</v>
      </c>
      <c r="H1199" s="9">
        <v>45000</v>
      </c>
      <c r="I1199" s="9">
        <v>48981</v>
      </c>
      <c r="J1199" s="17">
        <v>8817</v>
      </c>
    </row>
    <row r="1200" spans="1:10" x14ac:dyDescent="0.3">
      <c r="A1200" s="14" t="s">
        <v>37</v>
      </c>
      <c r="B1200" s="4" t="s">
        <v>38</v>
      </c>
      <c r="C1200" s="4" t="s">
        <v>23</v>
      </c>
      <c r="D1200" s="4" t="s">
        <v>238</v>
      </c>
      <c r="E1200" s="13">
        <f t="shared" ca="1" si="18"/>
        <v>45766</v>
      </c>
      <c r="F1200" s="4" t="s">
        <v>33</v>
      </c>
      <c r="G1200" s="5">
        <v>3</v>
      </c>
      <c r="H1200" s="6">
        <v>45000</v>
      </c>
      <c r="I1200" s="6">
        <v>123013</v>
      </c>
      <c r="J1200" s="16">
        <v>22142</v>
      </c>
    </row>
    <row r="1201" spans="1:10" x14ac:dyDescent="0.3">
      <c r="A1201" s="15" t="s">
        <v>37</v>
      </c>
      <c r="B1201" s="7" t="s">
        <v>77</v>
      </c>
      <c r="C1201" s="7" t="s">
        <v>12</v>
      </c>
      <c r="D1201" s="7" t="s">
        <v>236</v>
      </c>
      <c r="E1201" s="13">
        <f t="shared" ca="1" si="18"/>
        <v>45760</v>
      </c>
      <c r="F1201" s="7" t="s">
        <v>14</v>
      </c>
      <c r="G1201" s="8">
        <v>3</v>
      </c>
      <c r="H1201" s="9">
        <v>18500</v>
      </c>
      <c r="I1201" s="9">
        <v>55771</v>
      </c>
      <c r="J1201" s="17">
        <v>6693</v>
      </c>
    </row>
    <row r="1202" spans="1:10" x14ac:dyDescent="0.3">
      <c r="A1202" s="14" t="s">
        <v>15</v>
      </c>
      <c r="B1202" s="4" t="s">
        <v>16</v>
      </c>
      <c r="C1202" s="4" t="s">
        <v>12</v>
      </c>
      <c r="D1202" s="4" t="s">
        <v>140</v>
      </c>
      <c r="E1202" s="13">
        <f t="shared" ca="1" si="18"/>
        <v>45868</v>
      </c>
      <c r="F1202" s="4" t="s">
        <v>36</v>
      </c>
      <c r="G1202" s="5">
        <v>9</v>
      </c>
      <c r="H1202" s="6">
        <v>55000</v>
      </c>
      <c r="I1202" s="6">
        <v>519504</v>
      </c>
      <c r="J1202" s="16">
        <v>114291</v>
      </c>
    </row>
    <row r="1203" spans="1:10" x14ac:dyDescent="0.3">
      <c r="A1203" s="15" t="s">
        <v>15</v>
      </c>
      <c r="B1203" s="7" t="s">
        <v>31</v>
      </c>
      <c r="C1203" s="7" t="s">
        <v>12</v>
      </c>
      <c r="D1203" s="7" t="s">
        <v>221</v>
      </c>
      <c r="E1203" s="13">
        <f t="shared" ca="1" si="18"/>
        <v>45812</v>
      </c>
      <c r="F1203" s="7" t="s">
        <v>14</v>
      </c>
      <c r="G1203" s="8">
        <v>9</v>
      </c>
      <c r="H1203" s="9">
        <v>18500</v>
      </c>
      <c r="I1203" s="9">
        <v>182881</v>
      </c>
      <c r="J1203" s="17">
        <v>21946</v>
      </c>
    </row>
    <row r="1204" spans="1:10" x14ac:dyDescent="0.3">
      <c r="A1204" s="14" t="s">
        <v>37</v>
      </c>
      <c r="B1204" s="4" t="s">
        <v>19</v>
      </c>
      <c r="C1204" s="4" t="s">
        <v>12</v>
      </c>
      <c r="D1204" s="4" t="s">
        <v>199</v>
      </c>
      <c r="E1204" s="13">
        <f t="shared" ca="1" si="18"/>
        <v>45814</v>
      </c>
      <c r="F1204" s="4" t="s">
        <v>33</v>
      </c>
      <c r="G1204" s="5">
        <v>9</v>
      </c>
      <c r="H1204" s="6">
        <v>45000</v>
      </c>
      <c r="I1204" s="6">
        <v>364978</v>
      </c>
      <c r="J1204" s="16">
        <v>65696</v>
      </c>
    </row>
    <row r="1205" spans="1:10" x14ac:dyDescent="0.3">
      <c r="A1205" s="15" t="s">
        <v>18</v>
      </c>
      <c r="B1205" s="7" t="s">
        <v>25</v>
      </c>
      <c r="C1205" s="7" t="s">
        <v>26</v>
      </c>
      <c r="D1205" s="7" t="s">
        <v>175</v>
      </c>
      <c r="E1205" s="13">
        <f t="shared" ca="1" si="18"/>
        <v>45714</v>
      </c>
      <c r="F1205" s="7" t="s">
        <v>21</v>
      </c>
      <c r="G1205" s="8">
        <v>2</v>
      </c>
      <c r="H1205" s="9">
        <v>12500</v>
      </c>
      <c r="I1205" s="9">
        <v>26862</v>
      </c>
      <c r="J1205" s="17">
        <v>2149</v>
      </c>
    </row>
    <row r="1206" spans="1:10" x14ac:dyDescent="0.3">
      <c r="A1206" s="14" t="s">
        <v>10</v>
      </c>
      <c r="B1206" s="4" t="s">
        <v>46</v>
      </c>
      <c r="C1206" s="4" t="s">
        <v>26</v>
      </c>
      <c r="D1206" s="4" t="s">
        <v>113</v>
      </c>
      <c r="E1206" s="13">
        <f t="shared" ca="1" si="18"/>
        <v>45804</v>
      </c>
      <c r="F1206" s="4" t="s">
        <v>40</v>
      </c>
      <c r="G1206" s="5">
        <v>6</v>
      </c>
      <c r="H1206" s="6">
        <v>15000</v>
      </c>
      <c r="I1206" s="6">
        <v>87909</v>
      </c>
      <c r="J1206" s="16">
        <v>8791</v>
      </c>
    </row>
    <row r="1207" spans="1:10" x14ac:dyDescent="0.3">
      <c r="A1207" s="15" t="s">
        <v>41</v>
      </c>
      <c r="B1207" s="7" t="s">
        <v>77</v>
      </c>
      <c r="C1207" s="7" t="s">
        <v>12</v>
      </c>
      <c r="D1207" s="7" t="s">
        <v>82</v>
      </c>
      <c r="E1207" s="13">
        <f t="shared" ca="1" si="18"/>
        <v>45889</v>
      </c>
      <c r="F1207" s="7" t="s">
        <v>40</v>
      </c>
      <c r="G1207" s="8">
        <v>10</v>
      </c>
      <c r="H1207" s="9">
        <v>15000</v>
      </c>
      <c r="I1207" s="9">
        <v>148415</v>
      </c>
      <c r="J1207" s="17">
        <v>14842</v>
      </c>
    </row>
    <row r="1208" spans="1:10" x14ac:dyDescent="0.3">
      <c r="A1208" s="14" t="s">
        <v>41</v>
      </c>
      <c r="B1208" s="4" t="s">
        <v>51</v>
      </c>
      <c r="C1208" s="4" t="s">
        <v>12</v>
      </c>
      <c r="D1208" s="4" t="s">
        <v>74</v>
      </c>
      <c r="E1208" s="13">
        <f t="shared" ca="1" si="18"/>
        <v>45905</v>
      </c>
      <c r="F1208" s="4" t="s">
        <v>36</v>
      </c>
      <c r="G1208" s="5">
        <v>3</v>
      </c>
      <c r="H1208" s="6">
        <v>55000</v>
      </c>
      <c r="I1208" s="6">
        <v>177089</v>
      </c>
      <c r="J1208" s="16">
        <v>38960</v>
      </c>
    </row>
    <row r="1209" spans="1:10" x14ac:dyDescent="0.3">
      <c r="A1209" s="15" t="s">
        <v>37</v>
      </c>
      <c r="B1209" s="7" t="s">
        <v>88</v>
      </c>
      <c r="C1209" s="7" t="s">
        <v>12</v>
      </c>
      <c r="D1209" s="7" t="s">
        <v>94</v>
      </c>
      <c r="E1209" s="13">
        <f t="shared" ca="1" si="18"/>
        <v>45879</v>
      </c>
      <c r="F1209" s="7" t="s">
        <v>14</v>
      </c>
      <c r="G1209" s="8">
        <v>3</v>
      </c>
      <c r="H1209" s="9">
        <v>18500</v>
      </c>
      <c r="I1209" s="9">
        <v>54391</v>
      </c>
      <c r="J1209" s="17">
        <v>6527</v>
      </c>
    </row>
    <row r="1210" spans="1:10" x14ac:dyDescent="0.3">
      <c r="A1210" s="14" t="s">
        <v>37</v>
      </c>
      <c r="B1210" s="4" t="s">
        <v>25</v>
      </c>
      <c r="C1210" s="4" t="s">
        <v>26</v>
      </c>
      <c r="D1210" s="4" t="s">
        <v>188</v>
      </c>
      <c r="E1210" s="13">
        <f t="shared" ca="1" si="18"/>
        <v>45667</v>
      </c>
      <c r="F1210" s="4" t="s">
        <v>14</v>
      </c>
      <c r="G1210" s="5">
        <v>3</v>
      </c>
      <c r="H1210" s="6">
        <v>18500</v>
      </c>
      <c r="I1210" s="6">
        <v>53266</v>
      </c>
      <c r="J1210" s="16">
        <v>6392</v>
      </c>
    </row>
    <row r="1211" spans="1:10" x14ac:dyDescent="0.3">
      <c r="A1211" s="15" t="s">
        <v>10</v>
      </c>
      <c r="B1211" s="7" t="s">
        <v>22</v>
      </c>
      <c r="C1211" s="7" t="s">
        <v>23</v>
      </c>
      <c r="D1211" s="7" t="s">
        <v>103</v>
      </c>
      <c r="E1211" s="13">
        <f t="shared" ca="1" si="18"/>
        <v>45837</v>
      </c>
      <c r="F1211" s="7" t="s">
        <v>36</v>
      </c>
      <c r="G1211" s="8">
        <v>7</v>
      </c>
      <c r="H1211" s="9">
        <v>55000</v>
      </c>
      <c r="I1211" s="9">
        <v>377989</v>
      </c>
      <c r="J1211" s="17">
        <v>83158</v>
      </c>
    </row>
    <row r="1212" spans="1:10" x14ac:dyDescent="0.3">
      <c r="A1212" s="14" t="s">
        <v>37</v>
      </c>
      <c r="B1212" s="4" t="s">
        <v>77</v>
      </c>
      <c r="C1212" s="4" t="s">
        <v>12</v>
      </c>
      <c r="D1212" s="4" t="s">
        <v>147</v>
      </c>
      <c r="E1212" s="13">
        <f t="shared" ca="1" si="18"/>
        <v>45878</v>
      </c>
      <c r="F1212" s="4" t="s">
        <v>40</v>
      </c>
      <c r="G1212" s="5">
        <v>4</v>
      </c>
      <c r="H1212" s="6">
        <v>15000</v>
      </c>
      <c r="I1212" s="6">
        <v>56416</v>
      </c>
      <c r="J1212" s="16">
        <v>5642</v>
      </c>
    </row>
    <row r="1213" spans="1:10" x14ac:dyDescent="0.3">
      <c r="A1213" s="15" t="s">
        <v>15</v>
      </c>
      <c r="B1213" s="7" t="s">
        <v>51</v>
      </c>
      <c r="C1213" s="7" t="s">
        <v>12</v>
      </c>
      <c r="D1213" s="7" t="s">
        <v>48</v>
      </c>
      <c r="E1213" s="13">
        <f t="shared" ca="1" si="18"/>
        <v>45941</v>
      </c>
      <c r="F1213" s="7" t="s">
        <v>40</v>
      </c>
      <c r="G1213" s="8">
        <v>3</v>
      </c>
      <c r="H1213" s="9">
        <v>15000</v>
      </c>
      <c r="I1213" s="9">
        <v>43908</v>
      </c>
      <c r="J1213" s="17">
        <v>4391</v>
      </c>
    </row>
    <row r="1214" spans="1:10" x14ac:dyDescent="0.3">
      <c r="A1214" s="14" t="s">
        <v>37</v>
      </c>
      <c r="B1214" s="4" t="s">
        <v>11</v>
      </c>
      <c r="C1214" s="4" t="s">
        <v>12</v>
      </c>
      <c r="D1214" s="4" t="s">
        <v>143</v>
      </c>
      <c r="E1214" s="13">
        <f t="shared" ca="1" si="18"/>
        <v>45766</v>
      </c>
      <c r="F1214" s="4" t="s">
        <v>33</v>
      </c>
      <c r="G1214" s="5">
        <v>2</v>
      </c>
      <c r="H1214" s="6">
        <v>45000</v>
      </c>
      <c r="I1214" s="6">
        <v>97286</v>
      </c>
      <c r="J1214" s="16">
        <v>17511</v>
      </c>
    </row>
    <row r="1215" spans="1:10" x14ac:dyDescent="0.3">
      <c r="A1215" s="15" t="s">
        <v>37</v>
      </c>
      <c r="B1215" s="7" t="s">
        <v>77</v>
      </c>
      <c r="C1215" s="7" t="s">
        <v>12</v>
      </c>
      <c r="D1215" s="7" t="s">
        <v>253</v>
      </c>
      <c r="E1215" s="13">
        <f t="shared" ca="1" si="18"/>
        <v>45881</v>
      </c>
      <c r="F1215" s="7" t="s">
        <v>36</v>
      </c>
      <c r="G1215" s="8">
        <v>9</v>
      </c>
      <c r="H1215" s="9">
        <v>55000</v>
      </c>
      <c r="I1215" s="9">
        <v>513352</v>
      </c>
      <c r="J1215" s="17">
        <v>112937</v>
      </c>
    </row>
    <row r="1216" spans="1:10" x14ac:dyDescent="0.3">
      <c r="A1216" s="14" t="s">
        <v>18</v>
      </c>
      <c r="B1216" s="4" t="s">
        <v>22</v>
      </c>
      <c r="C1216" s="4" t="s">
        <v>23</v>
      </c>
      <c r="D1216" s="4" t="s">
        <v>204</v>
      </c>
      <c r="E1216" s="13">
        <f t="shared" ca="1" si="18"/>
        <v>45671</v>
      </c>
      <c r="F1216" s="4" t="s">
        <v>36</v>
      </c>
      <c r="G1216" s="5">
        <v>2</v>
      </c>
      <c r="H1216" s="6">
        <v>55000</v>
      </c>
      <c r="I1216" s="6">
        <v>119941</v>
      </c>
      <c r="J1216" s="16">
        <v>26387</v>
      </c>
    </row>
    <row r="1217" spans="1:10" x14ac:dyDescent="0.3">
      <c r="A1217" s="15" t="s">
        <v>37</v>
      </c>
      <c r="B1217" s="7" t="s">
        <v>84</v>
      </c>
      <c r="C1217" s="7" t="s">
        <v>12</v>
      </c>
      <c r="D1217" s="7" t="s">
        <v>175</v>
      </c>
      <c r="E1217" s="13">
        <f t="shared" ca="1" si="18"/>
        <v>45832</v>
      </c>
      <c r="F1217" s="7" t="s">
        <v>40</v>
      </c>
      <c r="G1217" s="8">
        <v>8</v>
      </c>
      <c r="H1217" s="9">
        <v>15000</v>
      </c>
      <c r="I1217" s="9">
        <v>112091</v>
      </c>
      <c r="J1217" s="17">
        <v>11209</v>
      </c>
    </row>
    <row r="1218" spans="1:10" x14ac:dyDescent="0.3">
      <c r="A1218" s="14" t="s">
        <v>18</v>
      </c>
      <c r="B1218" s="4" t="s">
        <v>22</v>
      </c>
      <c r="C1218" s="4" t="s">
        <v>23</v>
      </c>
      <c r="D1218" s="4" t="s">
        <v>86</v>
      </c>
      <c r="E1218" s="13">
        <f t="shared" ca="1" si="18"/>
        <v>45994</v>
      </c>
      <c r="F1218" s="4" t="s">
        <v>21</v>
      </c>
      <c r="G1218" s="5">
        <v>8</v>
      </c>
      <c r="H1218" s="6">
        <v>12500</v>
      </c>
      <c r="I1218" s="6">
        <v>92487</v>
      </c>
      <c r="J1218" s="16">
        <v>7399</v>
      </c>
    </row>
    <row r="1219" spans="1:10" x14ac:dyDescent="0.3">
      <c r="A1219" s="15" t="s">
        <v>10</v>
      </c>
      <c r="B1219" s="7" t="s">
        <v>19</v>
      </c>
      <c r="C1219" s="7" t="s">
        <v>12</v>
      </c>
      <c r="D1219" s="7" t="s">
        <v>242</v>
      </c>
      <c r="E1219" s="13">
        <f t="shared" ref="E1219:E1282" ca="1" si="19">DATE(2025,1,1)+RANDBETWEEN(0,364)</f>
        <v>45704</v>
      </c>
      <c r="F1219" s="7" t="s">
        <v>14</v>
      </c>
      <c r="G1219" s="8">
        <v>7</v>
      </c>
      <c r="H1219" s="9">
        <v>18500</v>
      </c>
      <c r="I1219" s="9">
        <v>125535</v>
      </c>
      <c r="J1219" s="17">
        <v>15064</v>
      </c>
    </row>
    <row r="1220" spans="1:10" x14ac:dyDescent="0.3">
      <c r="A1220" s="14" t="s">
        <v>37</v>
      </c>
      <c r="B1220" s="4" t="s">
        <v>84</v>
      </c>
      <c r="C1220" s="4" t="s">
        <v>12</v>
      </c>
      <c r="D1220" s="4" t="s">
        <v>164</v>
      </c>
      <c r="E1220" s="13">
        <f t="shared" ca="1" si="19"/>
        <v>45934</v>
      </c>
      <c r="F1220" s="4" t="s">
        <v>21</v>
      </c>
      <c r="G1220" s="5">
        <v>6</v>
      </c>
      <c r="H1220" s="6">
        <v>12500</v>
      </c>
      <c r="I1220" s="6">
        <v>71323</v>
      </c>
      <c r="J1220" s="16">
        <v>5706</v>
      </c>
    </row>
    <row r="1221" spans="1:10" x14ac:dyDescent="0.3">
      <c r="A1221" s="15" t="s">
        <v>15</v>
      </c>
      <c r="B1221" s="7" t="s">
        <v>88</v>
      </c>
      <c r="C1221" s="7" t="s">
        <v>12</v>
      </c>
      <c r="D1221" s="7" t="s">
        <v>59</v>
      </c>
      <c r="E1221" s="13">
        <f t="shared" ca="1" si="19"/>
        <v>46013</v>
      </c>
      <c r="F1221" s="7" t="s">
        <v>36</v>
      </c>
      <c r="G1221" s="8">
        <v>2</v>
      </c>
      <c r="H1221" s="9">
        <v>55000</v>
      </c>
      <c r="I1221" s="9">
        <v>103907</v>
      </c>
      <c r="J1221" s="17">
        <v>22860</v>
      </c>
    </row>
    <row r="1222" spans="1:10" x14ac:dyDescent="0.3">
      <c r="A1222" s="14" t="s">
        <v>41</v>
      </c>
      <c r="B1222" s="4" t="s">
        <v>38</v>
      </c>
      <c r="C1222" s="4" t="s">
        <v>23</v>
      </c>
      <c r="D1222" s="4" t="s">
        <v>158</v>
      </c>
      <c r="E1222" s="13">
        <f t="shared" ca="1" si="19"/>
        <v>45692</v>
      </c>
      <c r="F1222" s="4" t="s">
        <v>21</v>
      </c>
      <c r="G1222" s="5">
        <v>9</v>
      </c>
      <c r="H1222" s="6">
        <v>12500</v>
      </c>
      <c r="I1222" s="6">
        <v>115766</v>
      </c>
      <c r="J1222" s="16">
        <v>9261</v>
      </c>
    </row>
    <row r="1223" spans="1:10" x14ac:dyDescent="0.3">
      <c r="A1223" s="15" t="s">
        <v>37</v>
      </c>
      <c r="B1223" s="7" t="s">
        <v>11</v>
      </c>
      <c r="C1223" s="7" t="s">
        <v>12</v>
      </c>
      <c r="D1223" s="7" t="s">
        <v>133</v>
      </c>
      <c r="E1223" s="13">
        <f t="shared" ca="1" si="19"/>
        <v>45983</v>
      </c>
      <c r="F1223" s="7" t="s">
        <v>40</v>
      </c>
      <c r="G1223" s="8">
        <v>9</v>
      </c>
      <c r="H1223" s="9">
        <v>15000</v>
      </c>
      <c r="I1223" s="9">
        <v>140955</v>
      </c>
      <c r="J1223" s="17">
        <v>14096</v>
      </c>
    </row>
    <row r="1224" spans="1:10" x14ac:dyDescent="0.3">
      <c r="A1224" s="14" t="s">
        <v>41</v>
      </c>
      <c r="B1224" s="4" t="s">
        <v>22</v>
      </c>
      <c r="C1224" s="4" t="s">
        <v>23</v>
      </c>
      <c r="D1224" s="4" t="s">
        <v>230</v>
      </c>
      <c r="E1224" s="13">
        <f t="shared" ca="1" si="19"/>
        <v>45670</v>
      </c>
      <c r="F1224" s="4" t="s">
        <v>40</v>
      </c>
      <c r="G1224" s="5">
        <v>7</v>
      </c>
      <c r="H1224" s="6">
        <v>15000</v>
      </c>
      <c r="I1224" s="6">
        <v>105818</v>
      </c>
      <c r="J1224" s="16">
        <v>10582</v>
      </c>
    </row>
    <row r="1225" spans="1:10" x14ac:dyDescent="0.3">
      <c r="A1225" s="15" t="s">
        <v>15</v>
      </c>
      <c r="B1225" s="7" t="s">
        <v>25</v>
      </c>
      <c r="C1225" s="7" t="s">
        <v>26</v>
      </c>
      <c r="D1225" s="7" t="s">
        <v>138</v>
      </c>
      <c r="E1225" s="13">
        <f t="shared" ca="1" si="19"/>
        <v>45862</v>
      </c>
      <c r="F1225" s="7" t="s">
        <v>40</v>
      </c>
      <c r="G1225" s="8">
        <v>2</v>
      </c>
      <c r="H1225" s="9">
        <v>15000</v>
      </c>
      <c r="I1225" s="9">
        <v>27246</v>
      </c>
      <c r="J1225" s="17">
        <v>2725</v>
      </c>
    </row>
    <row r="1226" spans="1:10" x14ac:dyDescent="0.3">
      <c r="A1226" s="14" t="s">
        <v>15</v>
      </c>
      <c r="B1226" s="4" t="s">
        <v>51</v>
      </c>
      <c r="C1226" s="4" t="s">
        <v>12</v>
      </c>
      <c r="D1226" s="4" t="s">
        <v>208</v>
      </c>
      <c r="E1226" s="13">
        <f t="shared" ca="1" si="19"/>
        <v>45771</v>
      </c>
      <c r="F1226" s="4" t="s">
        <v>33</v>
      </c>
      <c r="G1226" s="5">
        <v>4</v>
      </c>
      <c r="H1226" s="6">
        <v>45000</v>
      </c>
      <c r="I1226" s="6">
        <v>172482</v>
      </c>
      <c r="J1226" s="16">
        <v>31047</v>
      </c>
    </row>
    <row r="1227" spans="1:10" x14ac:dyDescent="0.3">
      <c r="A1227" s="15" t="s">
        <v>10</v>
      </c>
      <c r="B1227" s="7" t="s">
        <v>16</v>
      </c>
      <c r="C1227" s="7" t="s">
        <v>12</v>
      </c>
      <c r="D1227" s="7" t="s">
        <v>173</v>
      </c>
      <c r="E1227" s="13">
        <f t="shared" ca="1" si="19"/>
        <v>45685</v>
      </c>
      <c r="F1227" s="7" t="s">
        <v>33</v>
      </c>
      <c r="G1227" s="8">
        <v>2</v>
      </c>
      <c r="H1227" s="9">
        <v>45000</v>
      </c>
      <c r="I1227" s="9">
        <v>96658</v>
      </c>
      <c r="J1227" s="17">
        <v>17398</v>
      </c>
    </row>
    <row r="1228" spans="1:10" x14ac:dyDescent="0.3">
      <c r="A1228" s="14" t="s">
        <v>15</v>
      </c>
      <c r="B1228" s="4" t="s">
        <v>56</v>
      </c>
      <c r="C1228" s="4" t="s">
        <v>23</v>
      </c>
      <c r="D1228" s="4" t="s">
        <v>98</v>
      </c>
      <c r="E1228" s="13">
        <f t="shared" ca="1" si="19"/>
        <v>45720</v>
      </c>
      <c r="F1228" s="4" t="s">
        <v>36</v>
      </c>
      <c r="G1228" s="5">
        <v>3</v>
      </c>
      <c r="H1228" s="6">
        <v>55000</v>
      </c>
      <c r="I1228" s="6">
        <v>148602</v>
      </c>
      <c r="J1228" s="16">
        <v>32692</v>
      </c>
    </row>
    <row r="1229" spans="1:10" x14ac:dyDescent="0.3">
      <c r="A1229" s="15" t="s">
        <v>18</v>
      </c>
      <c r="B1229" s="7" t="s">
        <v>25</v>
      </c>
      <c r="C1229" s="7" t="s">
        <v>26</v>
      </c>
      <c r="D1229" s="7" t="s">
        <v>258</v>
      </c>
      <c r="E1229" s="13">
        <f t="shared" ca="1" si="19"/>
        <v>45738</v>
      </c>
      <c r="F1229" s="7" t="s">
        <v>33</v>
      </c>
      <c r="G1229" s="8">
        <v>9</v>
      </c>
      <c r="H1229" s="9">
        <v>45000</v>
      </c>
      <c r="I1229" s="9">
        <v>406695</v>
      </c>
      <c r="J1229" s="17">
        <v>73205</v>
      </c>
    </row>
    <row r="1230" spans="1:10" x14ac:dyDescent="0.3">
      <c r="A1230" s="14" t="s">
        <v>37</v>
      </c>
      <c r="B1230" s="4" t="s">
        <v>88</v>
      </c>
      <c r="C1230" s="4" t="s">
        <v>12</v>
      </c>
      <c r="D1230" s="4" t="s">
        <v>131</v>
      </c>
      <c r="E1230" s="13">
        <f t="shared" ca="1" si="19"/>
        <v>45876</v>
      </c>
      <c r="F1230" s="4" t="s">
        <v>33</v>
      </c>
      <c r="G1230" s="5">
        <v>3</v>
      </c>
      <c r="H1230" s="6">
        <v>45000</v>
      </c>
      <c r="I1230" s="6">
        <v>133369</v>
      </c>
      <c r="J1230" s="16">
        <v>24006</v>
      </c>
    </row>
    <row r="1231" spans="1:10" x14ac:dyDescent="0.3">
      <c r="A1231" s="15" t="s">
        <v>15</v>
      </c>
      <c r="B1231" s="7" t="s">
        <v>46</v>
      </c>
      <c r="C1231" s="7" t="s">
        <v>26</v>
      </c>
      <c r="D1231" s="7" t="s">
        <v>214</v>
      </c>
      <c r="E1231" s="13">
        <f t="shared" ca="1" si="19"/>
        <v>45724</v>
      </c>
      <c r="F1231" s="7" t="s">
        <v>14</v>
      </c>
      <c r="G1231" s="8">
        <v>1</v>
      </c>
      <c r="H1231" s="9">
        <v>18500</v>
      </c>
      <c r="I1231" s="9">
        <v>17658</v>
      </c>
      <c r="J1231" s="17">
        <v>2119</v>
      </c>
    </row>
    <row r="1232" spans="1:10" x14ac:dyDescent="0.3">
      <c r="A1232" s="14" t="s">
        <v>15</v>
      </c>
      <c r="B1232" s="4" t="s">
        <v>81</v>
      </c>
      <c r="C1232" s="4" t="s">
        <v>26</v>
      </c>
      <c r="D1232" s="4" t="s">
        <v>174</v>
      </c>
      <c r="E1232" s="13">
        <f t="shared" ca="1" si="19"/>
        <v>45998</v>
      </c>
      <c r="F1232" s="4" t="s">
        <v>14</v>
      </c>
      <c r="G1232" s="5">
        <v>2</v>
      </c>
      <c r="H1232" s="6">
        <v>18500</v>
      </c>
      <c r="I1232" s="6">
        <v>33797</v>
      </c>
      <c r="J1232" s="16">
        <v>4056</v>
      </c>
    </row>
    <row r="1233" spans="1:10" x14ac:dyDescent="0.3">
      <c r="A1233" s="15" t="s">
        <v>15</v>
      </c>
      <c r="B1233" s="7" t="s">
        <v>11</v>
      </c>
      <c r="C1233" s="7" t="s">
        <v>12</v>
      </c>
      <c r="D1233" s="7" t="s">
        <v>169</v>
      </c>
      <c r="E1233" s="13">
        <f t="shared" ca="1" si="19"/>
        <v>45897</v>
      </c>
      <c r="F1233" s="7" t="s">
        <v>36</v>
      </c>
      <c r="G1233" s="8">
        <v>4</v>
      </c>
      <c r="H1233" s="9">
        <v>55000</v>
      </c>
      <c r="I1233" s="9">
        <v>205488</v>
      </c>
      <c r="J1233" s="17">
        <v>45207</v>
      </c>
    </row>
    <row r="1234" spans="1:10" x14ac:dyDescent="0.3">
      <c r="A1234" s="14" t="s">
        <v>41</v>
      </c>
      <c r="B1234" s="4" t="s">
        <v>19</v>
      </c>
      <c r="C1234" s="4" t="s">
        <v>12</v>
      </c>
      <c r="D1234" s="4" t="s">
        <v>210</v>
      </c>
      <c r="E1234" s="13">
        <f t="shared" ca="1" si="19"/>
        <v>45784</v>
      </c>
      <c r="F1234" s="4" t="s">
        <v>21</v>
      </c>
      <c r="G1234" s="5">
        <v>3</v>
      </c>
      <c r="H1234" s="6">
        <v>12500</v>
      </c>
      <c r="I1234" s="6">
        <v>35083</v>
      </c>
      <c r="J1234" s="16">
        <v>2807</v>
      </c>
    </row>
    <row r="1235" spans="1:10" x14ac:dyDescent="0.3">
      <c r="A1235" s="15" t="s">
        <v>41</v>
      </c>
      <c r="B1235" s="7" t="s">
        <v>29</v>
      </c>
      <c r="C1235" s="7" t="s">
        <v>26</v>
      </c>
      <c r="D1235" s="7" t="s">
        <v>217</v>
      </c>
      <c r="E1235" s="13">
        <f t="shared" ca="1" si="19"/>
        <v>45953</v>
      </c>
      <c r="F1235" s="7" t="s">
        <v>33</v>
      </c>
      <c r="G1235" s="8">
        <v>5</v>
      </c>
      <c r="H1235" s="9">
        <v>45000</v>
      </c>
      <c r="I1235" s="9">
        <v>203735</v>
      </c>
      <c r="J1235" s="17">
        <v>36672</v>
      </c>
    </row>
    <row r="1236" spans="1:10" x14ac:dyDescent="0.3">
      <c r="A1236" s="14" t="s">
        <v>41</v>
      </c>
      <c r="B1236" s="4" t="s">
        <v>16</v>
      </c>
      <c r="C1236" s="4" t="s">
        <v>12</v>
      </c>
      <c r="D1236" s="4" t="s">
        <v>180</v>
      </c>
      <c r="E1236" s="13">
        <f t="shared" ca="1" si="19"/>
        <v>46003</v>
      </c>
      <c r="F1236" s="4" t="s">
        <v>21</v>
      </c>
      <c r="G1236" s="5">
        <v>8</v>
      </c>
      <c r="H1236" s="6">
        <v>12500</v>
      </c>
      <c r="I1236" s="6">
        <v>91350</v>
      </c>
      <c r="J1236" s="16">
        <v>7308</v>
      </c>
    </row>
    <row r="1237" spans="1:10" x14ac:dyDescent="0.3">
      <c r="A1237" s="15" t="s">
        <v>15</v>
      </c>
      <c r="B1237" s="7" t="s">
        <v>19</v>
      </c>
      <c r="C1237" s="7" t="s">
        <v>12</v>
      </c>
      <c r="D1237" s="7" t="s">
        <v>83</v>
      </c>
      <c r="E1237" s="13">
        <f t="shared" ca="1" si="19"/>
        <v>45718</v>
      </c>
      <c r="F1237" s="7" t="s">
        <v>33</v>
      </c>
      <c r="G1237" s="8">
        <v>10</v>
      </c>
      <c r="H1237" s="9">
        <v>45000</v>
      </c>
      <c r="I1237" s="9">
        <v>447713</v>
      </c>
      <c r="J1237" s="17">
        <v>80588</v>
      </c>
    </row>
    <row r="1238" spans="1:10" x14ac:dyDescent="0.3">
      <c r="A1238" s="14" t="s">
        <v>37</v>
      </c>
      <c r="B1238" s="4" t="s">
        <v>29</v>
      </c>
      <c r="C1238" s="4" t="s">
        <v>26</v>
      </c>
      <c r="D1238" s="4" t="s">
        <v>76</v>
      </c>
      <c r="E1238" s="13">
        <f t="shared" ca="1" si="19"/>
        <v>45902</v>
      </c>
      <c r="F1238" s="4" t="s">
        <v>21</v>
      </c>
      <c r="G1238" s="5">
        <v>8</v>
      </c>
      <c r="H1238" s="6">
        <v>12500</v>
      </c>
      <c r="I1238" s="6">
        <v>107752</v>
      </c>
      <c r="J1238" s="16">
        <v>8620</v>
      </c>
    </row>
    <row r="1239" spans="1:10" x14ac:dyDescent="0.3">
      <c r="A1239" s="15" t="s">
        <v>37</v>
      </c>
      <c r="B1239" s="7" t="s">
        <v>84</v>
      </c>
      <c r="C1239" s="7" t="s">
        <v>12</v>
      </c>
      <c r="D1239" s="7" t="s">
        <v>32</v>
      </c>
      <c r="E1239" s="13">
        <f t="shared" ca="1" si="19"/>
        <v>45790</v>
      </c>
      <c r="F1239" s="7" t="s">
        <v>40</v>
      </c>
      <c r="G1239" s="8">
        <v>3</v>
      </c>
      <c r="H1239" s="9">
        <v>15000</v>
      </c>
      <c r="I1239" s="9">
        <v>49037</v>
      </c>
      <c r="J1239" s="17">
        <v>4904</v>
      </c>
    </row>
    <row r="1240" spans="1:10" x14ac:dyDescent="0.3">
      <c r="A1240" s="14" t="s">
        <v>37</v>
      </c>
      <c r="B1240" s="4" t="s">
        <v>22</v>
      </c>
      <c r="C1240" s="4" t="s">
        <v>23</v>
      </c>
      <c r="D1240" s="4" t="s">
        <v>209</v>
      </c>
      <c r="E1240" s="13">
        <f t="shared" ca="1" si="19"/>
        <v>46016</v>
      </c>
      <c r="F1240" s="4" t="s">
        <v>21</v>
      </c>
      <c r="G1240" s="5">
        <v>3</v>
      </c>
      <c r="H1240" s="6">
        <v>12500</v>
      </c>
      <c r="I1240" s="6">
        <v>34887</v>
      </c>
      <c r="J1240" s="16">
        <v>2791</v>
      </c>
    </row>
    <row r="1241" spans="1:10" x14ac:dyDescent="0.3">
      <c r="A1241" s="15" t="s">
        <v>10</v>
      </c>
      <c r="B1241" s="7" t="s">
        <v>22</v>
      </c>
      <c r="C1241" s="7" t="s">
        <v>23</v>
      </c>
      <c r="D1241" s="7" t="s">
        <v>199</v>
      </c>
      <c r="E1241" s="13">
        <f t="shared" ca="1" si="19"/>
        <v>45951</v>
      </c>
      <c r="F1241" s="7" t="s">
        <v>40</v>
      </c>
      <c r="G1241" s="8">
        <v>8</v>
      </c>
      <c r="H1241" s="9">
        <v>15000</v>
      </c>
      <c r="I1241" s="9">
        <v>124917</v>
      </c>
      <c r="J1241" s="17">
        <v>12492</v>
      </c>
    </row>
    <row r="1242" spans="1:10" x14ac:dyDescent="0.3">
      <c r="A1242" s="14" t="s">
        <v>10</v>
      </c>
      <c r="B1242" s="4" t="s">
        <v>84</v>
      </c>
      <c r="C1242" s="4" t="s">
        <v>12</v>
      </c>
      <c r="D1242" s="4" t="s">
        <v>92</v>
      </c>
      <c r="E1242" s="13">
        <f t="shared" ca="1" si="19"/>
        <v>45895</v>
      </c>
      <c r="F1242" s="4" t="s">
        <v>33</v>
      </c>
      <c r="G1242" s="5">
        <v>7</v>
      </c>
      <c r="H1242" s="6">
        <v>45000</v>
      </c>
      <c r="I1242" s="6">
        <v>342224</v>
      </c>
      <c r="J1242" s="16">
        <v>61600</v>
      </c>
    </row>
    <row r="1243" spans="1:10" x14ac:dyDescent="0.3">
      <c r="A1243" s="15" t="s">
        <v>18</v>
      </c>
      <c r="B1243" s="7" t="s">
        <v>11</v>
      </c>
      <c r="C1243" s="7" t="s">
        <v>12</v>
      </c>
      <c r="D1243" s="7" t="s">
        <v>169</v>
      </c>
      <c r="E1243" s="13">
        <f t="shared" ca="1" si="19"/>
        <v>46004</v>
      </c>
      <c r="F1243" s="7" t="s">
        <v>14</v>
      </c>
      <c r="G1243" s="8">
        <v>2</v>
      </c>
      <c r="H1243" s="9">
        <v>18500</v>
      </c>
      <c r="I1243" s="9">
        <v>36584</v>
      </c>
      <c r="J1243" s="17">
        <v>4390</v>
      </c>
    </row>
    <row r="1244" spans="1:10" x14ac:dyDescent="0.3">
      <c r="A1244" s="14" t="s">
        <v>41</v>
      </c>
      <c r="B1244" s="4" t="s">
        <v>56</v>
      </c>
      <c r="C1244" s="4" t="s">
        <v>23</v>
      </c>
      <c r="D1244" s="4" t="s">
        <v>121</v>
      </c>
      <c r="E1244" s="13">
        <f t="shared" ca="1" si="19"/>
        <v>45889</v>
      </c>
      <c r="F1244" s="4" t="s">
        <v>36</v>
      </c>
      <c r="G1244" s="5">
        <v>5</v>
      </c>
      <c r="H1244" s="6">
        <v>55000</v>
      </c>
      <c r="I1244" s="6">
        <v>255838</v>
      </c>
      <c r="J1244" s="16">
        <v>56284</v>
      </c>
    </row>
    <row r="1245" spans="1:10" x14ac:dyDescent="0.3">
      <c r="A1245" s="15" t="s">
        <v>15</v>
      </c>
      <c r="B1245" s="7" t="s">
        <v>88</v>
      </c>
      <c r="C1245" s="7" t="s">
        <v>12</v>
      </c>
      <c r="D1245" s="7" t="s">
        <v>207</v>
      </c>
      <c r="E1245" s="13">
        <f t="shared" ca="1" si="19"/>
        <v>45966</v>
      </c>
      <c r="F1245" s="7" t="s">
        <v>33</v>
      </c>
      <c r="G1245" s="8">
        <v>6</v>
      </c>
      <c r="H1245" s="9">
        <v>45000</v>
      </c>
      <c r="I1245" s="9">
        <v>287912</v>
      </c>
      <c r="J1245" s="17">
        <v>51824</v>
      </c>
    </row>
    <row r="1246" spans="1:10" x14ac:dyDescent="0.3">
      <c r="A1246" s="14" t="s">
        <v>37</v>
      </c>
      <c r="B1246" s="4" t="s">
        <v>81</v>
      </c>
      <c r="C1246" s="4" t="s">
        <v>26</v>
      </c>
      <c r="D1246" s="4" t="s">
        <v>135</v>
      </c>
      <c r="E1246" s="13">
        <f t="shared" ca="1" si="19"/>
        <v>45790</v>
      </c>
      <c r="F1246" s="4" t="s">
        <v>14</v>
      </c>
      <c r="G1246" s="5">
        <v>6</v>
      </c>
      <c r="H1246" s="6">
        <v>18500</v>
      </c>
      <c r="I1246" s="6">
        <v>107328</v>
      </c>
      <c r="J1246" s="16">
        <v>12879</v>
      </c>
    </row>
    <row r="1247" spans="1:10" x14ac:dyDescent="0.3">
      <c r="A1247" s="15" t="s">
        <v>41</v>
      </c>
      <c r="B1247" s="7" t="s">
        <v>25</v>
      </c>
      <c r="C1247" s="7" t="s">
        <v>26</v>
      </c>
      <c r="D1247" s="7" t="s">
        <v>13</v>
      </c>
      <c r="E1247" s="13">
        <f t="shared" ca="1" si="19"/>
        <v>45699</v>
      </c>
      <c r="F1247" s="7" t="s">
        <v>36</v>
      </c>
      <c r="G1247" s="8">
        <v>10</v>
      </c>
      <c r="H1247" s="9">
        <v>55000</v>
      </c>
      <c r="I1247" s="9">
        <v>539893</v>
      </c>
      <c r="J1247" s="17">
        <v>118776</v>
      </c>
    </row>
    <row r="1248" spans="1:10" x14ac:dyDescent="0.3">
      <c r="A1248" s="14" t="s">
        <v>41</v>
      </c>
      <c r="B1248" s="4" t="s">
        <v>46</v>
      </c>
      <c r="C1248" s="4" t="s">
        <v>26</v>
      </c>
      <c r="D1248" s="4" t="s">
        <v>231</v>
      </c>
      <c r="E1248" s="13">
        <f t="shared" ca="1" si="19"/>
        <v>45734</v>
      </c>
      <c r="F1248" s="4" t="s">
        <v>33</v>
      </c>
      <c r="G1248" s="5">
        <v>9</v>
      </c>
      <c r="H1248" s="6">
        <v>45000</v>
      </c>
      <c r="I1248" s="6">
        <v>414640</v>
      </c>
      <c r="J1248" s="16">
        <v>74635</v>
      </c>
    </row>
    <row r="1249" spans="1:10" x14ac:dyDescent="0.3">
      <c r="A1249" s="15" t="s">
        <v>10</v>
      </c>
      <c r="B1249" s="7" t="s">
        <v>25</v>
      </c>
      <c r="C1249" s="7" t="s">
        <v>26</v>
      </c>
      <c r="D1249" s="7" t="s">
        <v>133</v>
      </c>
      <c r="E1249" s="13">
        <f t="shared" ca="1" si="19"/>
        <v>45941</v>
      </c>
      <c r="F1249" s="7" t="s">
        <v>33</v>
      </c>
      <c r="G1249" s="8">
        <v>2</v>
      </c>
      <c r="H1249" s="9">
        <v>45000</v>
      </c>
      <c r="I1249" s="9">
        <v>82613</v>
      </c>
      <c r="J1249" s="17">
        <v>14870</v>
      </c>
    </row>
    <row r="1250" spans="1:10" x14ac:dyDescent="0.3">
      <c r="A1250" s="14" t="s">
        <v>10</v>
      </c>
      <c r="B1250" s="4" t="s">
        <v>22</v>
      </c>
      <c r="C1250" s="4" t="s">
        <v>23</v>
      </c>
      <c r="D1250" s="4" t="s">
        <v>39</v>
      </c>
      <c r="E1250" s="13">
        <f t="shared" ca="1" si="19"/>
        <v>45978</v>
      </c>
      <c r="F1250" s="4" t="s">
        <v>21</v>
      </c>
      <c r="G1250" s="5">
        <v>7</v>
      </c>
      <c r="H1250" s="6">
        <v>12500</v>
      </c>
      <c r="I1250" s="6">
        <v>85381</v>
      </c>
      <c r="J1250" s="16">
        <v>6830</v>
      </c>
    </row>
    <row r="1251" spans="1:10" x14ac:dyDescent="0.3">
      <c r="A1251" s="15" t="s">
        <v>18</v>
      </c>
      <c r="B1251" s="7" t="s">
        <v>51</v>
      </c>
      <c r="C1251" s="7" t="s">
        <v>12</v>
      </c>
      <c r="D1251" s="7" t="s">
        <v>256</v>
      </c>
      <c r="E1251" s="13">
        <f t="shared" ca="1" si="19"/>
        <v>46020</v>
      </c>
      <c r="F1251" s="7" t="s">
        <v>33</v>
      </c>
      <c r="G1251" s="8">
        <v>7</v>
      </c>
      <c r="H1251" s="9">
        <v>45000</v>
      </c>
      <c r="I1251" s="9">
        <v>344676</v>
      </c>
      <c r="J1251" s="17">
        <v>62042</v>
      </c>
    </row>
    <row r="1252" spans="1:10" x14ac:dyDescent="0.3">
      <c r="A1252" s="14" t="s">
        <v>15</v>
      </c>
      <c r="B1252" s="4" t="s">
        <v>22</v>
      </c>
      <c r="C1252" s="4" t="s">
        <v>23</v>
      </c>
      <c r="D1252" s="4" t="s">
        <v>139</v>
      </c>
      <c r="E1252" s="13">
        <f t="shared" ca="1" si="19"/>
        <v>45762</v>
      </c>
      <c r="F1252" s="4" t="s">
        <v>14</v>
      </c>
      <c r="G1252" s="5">
        <v>3</v>
      </c>
      <c r="H1252" s="6">
        <v>18500</v>
      </c>
      <c r="I1252" s="6">
        <v>50869</v>
      </c>
      <c r="J1252" s="16">
        <v>6104</v>
      </c>
    </row>
    <row r="1253" spans="1:10" x14ac:dyDescent="0.3">
      <c r="A1253" s="15" t="s">
        <v>41</v>
      </c>
      <c r="B1253" s="7" t="s">
        <v>22</v>
      </c>
      <c r="C1253" s="7" t="s">
        <v>23</v>
      </c>
      <c r="D1253" s="7" t="s">
        <v>133</v>
      </c>
      <c r="E1253" s="13">
        <f t="shared" ca="1" si="19"/>
        <v>46007</v>
      </c>
      <c r="F1253" s="7" t="s">
        <v>36</v>
      </c>
      <c r="G1253" s="8">
        <v>7</v>
      </c>
      <c r="H1253" s="9">
        <v>55000</v>
      </c>
      <c r="I1253" s="9">
        <v>405818</v>
      </c>
      <c r="J1253" s="17">
        <v>89280</v>
      </c>
    </row>
    <row r="1254" spans="1:10" x14ac:dyDescent="0.3">
      <c r="A1254" s="14" t="s">
        <v>18</v>
      </c>
      <c r="B1254" s="4" t="s">
        <v>56</v>
      </c>
      <c r="C1254" s="4" t="s">
        <v>23</v>
      </c>
      <c r="D1254" s="4" t="s">
        <v>254</v>
      </c>
      <c r="E1254" s="13">
        <f t="shared" ca="1" si="19"/>
        <v>45773</v>
      </c>
      <c r="F1254" s="4" t="s">
        <v>33</v>
      </c>
      <c r="G1254" s="5">
        <v>5</v>
      </c>
      <c r="H1254" s="6">
        <v>45000</v>
      </c>
      <c r="I1254" s="6">
        <v>224588</v>
      </c>
      <c r="J1254" s="16">
        <v>40426</v>
      </c>
    </row>
    <row r="1255" spans="1:10" x14ac:dyDescent="0.3">
      <c r="A1255" s="15" t="s">
        <v>41</v>
      </c>
      <c r="B1255" s="7" t="s">
        <v>29</v>
      </c>
      <c r="C1255" s="7" t="s">
        <v>26</v>
      </c>
      <c r="D1255" s="7" t="s">
        <v>158</v>
      </c>
      <c r="E1255" s="13">
        <f t="shared" ca="1" si="19"/>
        <v>45919</v>
      </c>
      <c r="F1255" s="7" t="s">
        <v>14</v>
      </c>
      <c r="G1255" s="8">
        <v>3</v>
      </c>
      <c r="H1255" s="9">
        <v>18500</v>
      </c>
      <c r="I1255" s="9">
        <v>55207</v>
      </c>
      <c r="J1255" s="17">
        <v>6625</v>
      </c>
    </row>
    <row r="1256" spans="1:10" x14ac:dyDescent="0.3">
      <c r="A1256" s="14" t="s">
        <v>15</v>
      </c>
      <c r="B1256" s="4" t="s">
        <v>11</v>
      </c>
      <c r="C1256" s="4" t="s">
        <v>12</v>
      </c>
      <c r="D1256" s="4" t="s">
        <v>126</v>
      </c>
      <c r="E1256" s="13">
        <f t="shared" ca="1" si="19"/>
        <v>45962</v>
      </c>
      <c r="F1256" s="4" t="s">
        <v>14</v>
      </c>
      <c r="G1256" s="5">
        <v>4</v>
      </c>
      <c r="H1256" s="6">
        <v>18500</v>
      </c>
      <c r="I1256" s="6">
        <v>76630</v>
      </c>
      <c r="J1256" s="16">
        <v>9196</v>
      </c>
    </row>
    <row r="1257" spans="1:10" x14ac:dyDescent="0.3">
      <c r="A1257" s="15" t="s">
        <v>15</v>
      </c>
      <c r="B1257" s="7" t="s">
        <v>51</v>
      </c>
      <c r="C1257" s="7" t="s">
        <v>12</v>
      </c>
      <c r="D1257" s="7" t="s">
        <v>160</v>
      </c>
      <c r="E1257" s="13">
        <f t="shared" ca="1" si="19"/>
        <v>45664</v>
      </c>
      <c r="F1257" s="7" t="s">
        <v>33</v>
      </c>
      <c r="G1257" s="8">
        <v>7</v>
      </c>
      <c r="H1257" s="9">
        <v>45000</v>
      </c>
      <c r="I1257" s="9">
        <v>287737</v>
      </c>
      <c r="J1257" s="17">
        <v>51793</v>
      </c>
    </row>
    <row r="1258" spans="1:10" x14ac:dyDescent="0.3">
      <c r="A1258" s="14" t="s">
        <v>18</v>
      </c>
      <c r="B1258" s="4" t="s">
        <v>31</v>
      </c>
      <c r="C1258" s="4" t="s">
        <v>12</v>
      </c>
      <c r="D1258" s="4" t="s">
        <v>89</v>
      </c>
      <c r="E1258" s="13">
        <f t="shared" ca="1" si="19"/>
        <v>45681</v>
      </c>
      <c r="F1258" s="4" t="s">
        <v>21</v>
      </c>
      <c r="G1258" s="5">
        <v>1</v>
      </c>
      <c r="H1258" s="6">
        <v>12500</v>
      </c>
      <c r="I1258" s="6">
        <v>13179</v>
      </c>
      <c r="J1258" s="16">
        <v>1054</v>
      </c>
    </row>
    <row r="1259" spans="1:10" x14ac:dyDescent="0.3">
      <c r="A1259" s="15" t="s">
        <v>10</v>
      </c>
      <c r="B1259" s="7" t="s">
        <v>31</v>
      </c>
      <c r="C1259" s="7" t="s">
        <v>12</v>
      </c>
      <c r="D1259" s="7" t="s">
        <v>114</v>
      </c>
      <c r="E1259" s="13">
        <f t="shared" ca="1" si="19"/>
        <v>45969</v>
      </c>
      <c r="F1259" s="7" t="s">
        <v>40</v>
      </c>
      <c r="G1259" s="8">
        <v>8</v>
      </c>
      <c r="H1259" s="9">
        <v>15000</v>
      </c>
      <c r="I1259" s="9">
        <v>116795</v>
      </c>
      <c r="J1259" s="17">
        <v>11680</v>
      </c>
    </row>
    <row r="1260" spans="1:10" x14ac:dyDescent="0.3">
      <c r="A1260" s="14" t="s">
        <v>41</v>
      </c>
      <c r="B1260" s="4" t="s">
        <v>19</v>
      </c>
      <c r="C1260" s="4" t="s">
        <v>12</v>
      </c>
      <c r="D1260" s="4" t="s">
        <v>66</v>
      </c>
      <c r="E1260" s="13">
        <f t="shared" ca="1" si="19"/>
        <v>45748</v>
      </c>
      <c r="F1260" s="4" t="s">
        <v>33</v>
      </c>
      <c r="G1260" s="5">
        <v>9</v>
      </c>
      <c r="H1260" s="6">
        <v>45000</v>
      </c>
      <c r="I1260" s="6">
        <v>395082</v>
      </c>
      <c r="J1260" s="16">
        <v>71115</v>
      </c>
    </row>
    <row r="1261" spans="1:10" x14ac:dyDescent="0.3">
      <c r="A1261" s="15" t="s">
        <v>10</v>
      </c>
      <c r="B1261" s="7" t="s">
        <v>84</v>
      </c>
      <c r="C1261" s="7" t="s">
        <v>12</v>
      </c>
      <c r="D1261" s="7" t="s">
        <v>106</v>
      </c>
      <c r="E1261" s="13">
        <f t="shared" ca="1" si="19"/>
        <v>45840</v>
      </c>
      <c r="F1261" s="7" t="s">
        <v>33</v>
      </c>
      <c r="G1261" s="8">
        <v>10</v>
      </c>
      <c r="H1261" s="9">
        <v>45000</v>
      </c>
      <c r="I1261" s="9">
        <v>477107</v>
      </c>
      <c r="J1261" s="17">
        <v>85879</v>
      </c>
    </row>
    <row r="1262" spans="1:10" x14ac:dyDescent="0.3">
      <c r="A1262" s="14" t="s">
        <v>10</v>
      </c>
      <c r="B1262" s="4" t="s">
        <v>31</v>
      </c>
      <c r="C1262" s="4" t="s">
        <v>12</v>
      </c>
      <c r="D1262" s="4" t="s">
        <v>219</v>
      </c>
      <c r="E1262" s="13">
        <f t="shared" ca="1" si="19"/>
        <v>45679</v>
      </c>
      <c r="F1262" s="4" t="s">
        <v>36</v>
      </c>
      <c r="G1262" s="5">
        <v>7</v>
      </c>
      <c r="H1262" s="6">
        <v>55000</v>
      </c>
      <c r="I1262" s="6">
        <v>383896</v>
      </c>
      <c r="J1262" s="16">
        <v>84457</v>
      </c>
    </row>
    <row r="1263" spans="1:10" x14ac:dyDescent="0.3">
      <c r="A1263" s="15" t="s">
        <v>41</v>
      </c>
      <c r="B1263" s="7" t="s">
        <v>29</v>
      </c>
      <c r="C1263" s="7" t="s">
        <v>26</v>
      </c>
      <c r="D1263" s="7" t="s">
        <v>135</v>
      </c>
      <c r="E1263" s="13">
        <f t="shared" ca="1" si="19"/>
        <v>45910</v>
      </c>
      <c r="F1263" s="7" t="s">
        <v>14</v>
      </c>
      <c r="G1263" s="8">
        <v>2</v>
      </c>
      <c r="H1263" s="9">
        <v>18500</v>
      </c>
      <c r="I1263" s="9">
        <v>35747</v>
      </c>
      <c r="J1263" s="17">
        <v>4290</v>
      </c>
    </row>
    <row r="1264" spans="1:10" x14ac:dyDescent="0.3">
      <c r="A1264" s="14" t="s">
        <v>18</v>
      </c>
      <c r="B1264" s="4" t="s">
        <v>38</v>
      </c>
      <c r="C1264" s="4" t="s">
        <v>23</v>
      </c>
      <c r="D1264" s="4" t="s">
        <v>90</v>
      </c>
      <c r="E1264" s="13">
        <f t="shared" ca="1" si="19"/>
        <v>45826</v>
      </c>
      <c r="F1264" s="4" t="s">
        <v>14</v>
      </c>
      <c r="G1264" s="5">
        <v>2</v>
      </c>
      <c r="H1264" s="6">
        <v>18500</v>
      </c>
      <c r="I1264" s="6">
        <v>37078</v>
      </c>
      <c r="J1264" s="16">
        <v>4449</v>
      </c>
    </row>
    <row r="1265" spans="1:10" x14ac:dyDescent="0.3">
      <c r="A1265" s="15" t="s">
        <v>10</v>
      </c>
      <c r="B1265" s="7" t="s">
        <v>31</v>
      </c>
      <c r="C1265" s="7" t="s">
        <v>12</v>
      </c>
      <c r="D1265" s="7" t="s">
        <v>159</v>
      </c>
      <c r="E1265" s="13">
        <f t="shared" ca="1" si="19"/>
        <v>45711</v>
      </c>
      <c r="F1265" s="7" t="s">
        <v>14</v>
      </c>
      <c r="G1265" s="8">
        <v>3</v>
      </c>
      <c r="H1265" s="9">
        <v>18500</v>
      </c>
      <c r="I1265" s="9">
        <v>58685</v>
      </c>
      <c r="J1265" s="17">
        <v>7042</v>
      </c>
    </row>
    <row r="1266" spans="1:10" x14ac:dyDescent="0.3">
      <c r="A1266" s="14" t="s">
        <v>41</v>
      </c>
      <c r="B1266" s="4" t="s">
        <v>81</v>
      </c>
      <c r="C1266" s="4" t="s">
        <v>26</v>
      </c>
      <c r="D1266" s="4" t="s">
        <v>79</v>
      </c>
      <c r="E1266" s="13">
        <f t="shared" ca="1" si="19"/>
        <v>45763</v>
      </c>
      <c r="F1266" s="4" t="s">
        <v>14</v>
      </c>
      <c r="G1266" s="5">
        <v>6</v>
      </c>
      <c r="H1266" s="6">
        <v>18500</v>
      </c>
      <c r="I1266" s="6">
        <v>113986</v>
      </c>
      <c r="J1266" s="16">
        <v>13678</v>
      </c>
    </row>
    <row r="1267" spans="1:10" x14ac:dyDescent="0.3">
      <c r="A1267" s="15" t="s">
        <v>41</v>
      </c>
      <c r="B1267" s="7" t="s">
        <v>16</v>
      </c>
      <c r="C1267" s="7" t="s">
        <v>12</v>
      </c>
      <c r="D1267" s="7" t="s">
        <v>105</v>
      </c>
      <c r="E1267" s="13">
        <f t="shared" ca="1" si="19"/>
        <v>45722</v>
      </c>
      <c r="F1267" s="7" t="s">
        <v>40</v>
      </c>
      <c r="G1267" s="8">
        <v>4</v>
      </c>
      <c r="H1267" s="9">
        <v>15000</v>
      </c>
      <c r="I1267" s="9">
        <v>65323</v>
      </c>
      <c r="J1267" s="17">
        <v>6532</v>
      </c>
    </row>
    <row r="1268" spans="1:10" x14ac:dyDescent="0.3">
      <c r="A1268" s="14" t="s">
        <v>41</v>
      </c>
      <c r="B1268" s="4" t="s">
        <v>88</v>
      </c>
      <c r="C1268" s="4" t="s">
        <v>12</v>
      </c>
      <c r="D1268" s="4" t="s">
        <v>255</v>
      </c>
      <c r="E1268" s="13">
        <f t="shared" ca="1" si="19"/>
        <v>45810</v>
      </c>
      <c r="F1268" s="4" t="s">
        <v>40</v>
      </c>
      <c r="G1268" s="5">
        <v>7</v>
      </c>
      <c r="H1268" s="6">
        <v>15000</v>
      </c>
      <c r="I1268" s="6">
        <v>111386</v>
      </c>
      <c r="J1268" s="16">
        <v>11139</v>
      </c>
    </row>
    <row r="1269" spans="1:10" x14ac:dyDescent="0.3">
      <c r="A1269" s="15" t="s">
        <v>37</v>
      </c>
      <c r="B1269" s="7" t="s">
        <v>16</v>
      </c>
      <c r="C1269" s="7" t="s">
        <v>12</v>
      </c>
      <c r="D1269" s="7" t="s">
        <v>34</v>
      </c>
      <c r="E1269" s="13">
        <f t="shared" ca="1" si="19"/>
        <v>45788</v>
      </c>
      <c r="F1269" s="7" t="s">
        <v>36</v>
      </c>
      <c r="G1269" s="8">
        <v>2</v>
      </c>
      <c r="H1269" s="9">
        <v>55000</v>
      </c>
      <c r="I1269" s="9">
        <v>109207</v>
      </c>
      <c r="J1269" s="17">
        <v>24026</v>
      </c>
    </row>
    <row r="1270" spans="1:10" x14ac:dyDescent="0.3">
      <c r="A1270" s="14" t="s">
        <v>10</v>
      </c>
      <c r="B1270" s="4" t="s">
        <v>38</v>
      </c>
      <c r="C1270" s="4" t="s">
        <v>23</v>
      </c>
      <c r="D1270" s="4" t="s">
        <v>48</v>
      </c>
      <c r="E1270" s="13">
        <f t="shared" ca="1" si="19"/>
        <v>45813</v>
      </c>
      <c r="F1270" s="4" t="s">
        <v>36</v>
      </c>
      <c r="G1270" s="5">
        <v>2</v>
      </c>
      <c r="H1270" s="6">
        <v>55000</v>
      </c>
      <c r="I1270" s="6">
        <v>103838</v>
      </c>
      <c r="J1270" s="16">
        <v>22844</v>
      </c>
    </row>
    <row r="1271" spans="1:10" x14ac:dyDescent="0.3">
      <c r="A1271" s="15" t="s">
        <v>10</v>
      </c>
      <c r="B1271" s="7" t="s">
        <v>51</v>
      </c>
      <c r="C1271" s="7" t="s">
        <v>12</v>
      </c>
      <c r="D1271" s="7" t="s">
        <v>101</v>
      </c>
      <c r="E1271" s="13">
        <f t="shared" ca="1" si="19"/>
        <v>45850</v>
      </c>
      <c r="F1271" s="7" t="s">
        <v>21</v>
      </c>
      <c r="G1271" s="8">
        <v>1</v>
      </c>
      <c r="H1271" s="9">
        <v>12500</v>
      </c>
      <c r="I1271" s="9">
        <v>13210</v>
      </c>
      <c r="J1271" s="17">
        <v>1057</v>
      </c>
    </row>
    <row r="1272" spans="1:10" x14ac:dyDescent="0.3">
      <c r="A1272" s="14" t="s">
        <v>18</v>
      </c>
      <c r="B1272" s="4" t="s">
        <v>51</v>
      </c>
      <c r="C1272" s="4" t="s">
        <v>12</v>
      </c>
      <c r="D1272" s="4" t="s">
        <v>73</v>
      </c>
      <c r="E1272" s="13">
        <f t="shared" ca="1" si="19"/>
        <v>45919</v>
      </c>
      <c r="F1272" s="4" t="s">
        <v>14</v>
      </c>
      <c r="G1272" s="5">
        <v>7</v>
      </c>
      <c r="H1272" s="6">
        <v>18500</v>
      </c>
      <c r="I1272" s="6">
        <v>129366</v>
      </c>
      <c r="J1272" s="16">
        <v>15524</v>
      </c>
    </row>
    <row r="1273" spans="1:10" x14ac:dyDescent="0.3">
      <c r="A1273" s="15" t="s">
        <v>10</v>
      </c>
      <c r="B1273" s="7" t="s">
        <v>19</v>
      </c>
      <c r="C1273" s="7" t="s">
        <v>12</v>
      </c>
      <c r="D1273" s="7" t="s">
        <v>201</v>
      </c>
      <c r="E1273" s="13">
        <f t="shared" ca="1" si="19"/>
        <v>46013</v>
      </c>
      <c r="F1273" s="7" t="s">
        <v>14</v>
      </c>
      <c r="G1273" s="8">
        <v>10</v>
      </c>
      <c r="H1273" s="9">
        <v>18500</v>
      </c>
      <c r="I1273" s="9">
        <v>190344</v>
      </c>
      <c r="J1273" s="17">
        <v>22841</v>
      </c>
    </row>
    <row r="1274" spans="1:10" x14ac:dyDescent="0.3">
      <c r="A1274" s="14" t="s">
        <v>37</v>
      </c>
      <c r="B1274" s="4" t="s">
        <v>56</v>
      </c>
      <c r="C1274" s="4" t="s">
        <v>23</v>
      </c>
      <c r="D1274" s="4" t="s">
        <v>64</v>
      </c>
      <c r="E1274" s="13">
        <f t="shared" ca="1" si="19"/>
        <v>45731</v>
      </c>
      <c r="F1274" s="4" t="s">
        <v>36</v>
      </c>
      <c r="G1274" s="5">
        <v>2</v>
      </c>
      <c r="H1274" s="6">
        <v>55000</v>
      </c>
      <c r="I1274" s="6">
        <v>110613</v>
      </c>
      <c r="J1274" s="16">
        <v>24335</v>
      </c>
    </row>
    <row r="1275" spans="1:10" x14ac:dyDescent="0.3">
      <c r="A1275" s="15" t="s">
        <v>10</v>
      </c>
      <c r="B1275" s="7" t="s">
        <v>25</v>
      </c>
      <c r="C1275" s="7" t="s">
        <v>26</v>
      </c>
      <c r="D1275" s="7" t="s">
        <v>52</v>
      </c>
      <c r="E1275" s="13">
        <f t="shared" ca="1" si="19"/>
        <v>45834</v>
      </c>
      <c r="F1275" s="7" t="s">
        <v>36</v>
      </c>
      <c r="G1275" s="8">
        <v>4</v>
      </c>
      <c r="H1275" s="9">
        <v>55000</v>
      </c>
      <c r="I1275" s="9">
        <v>239742</v>
      </c>
      <c r="J1275" s="17">
        <v>52743</v>
      </c>
    </row>
    <row r="1276" spans="1:10" x14ac:dyDescent="0.3">
      <c r="A1276" s="14" t="s">
        <v>18</v>
      </c>
      <c r="B1276" s="4" t="s">
        <v>56</v>
      </c>
      <c r="C1276" s="4" t="s">
        <v>23</v>
      </c>
      <c r="D1276" s="4" t="s">
        <v>150</v>
      </c>
      <c r="E1276" s="13">
        <f t="shared" ca="1" si="19"/>
        <v>45828</v>
      </c>
      <c r="F1276" s="4" t="s">
        <v>14</v>
      </c>
      <c r="G1276" s="5">
        <v>10</v>
      </c>
      <c r="H1276" s="6">
        <v>18500</v>
      </c>
      <c r="I1276" s="6">
        <v>192727</v>
      </c>
      <c r="J1276" s="16">
        <v>23127</v>
      </c>
    </row>
    <row r="1277" spans="1:10" x14ac:dyDescent="0.3">
      <c r="A1277" s="15" t="s">
        <v>15</v>
      </c>
      <c r="B1277" s="7" t="s">
        <v>88</v>
      </c>
      <c r="C1277" s="7" t="s">
        <v>12</v>
      </c>
      <c r="D1277" s="7" t="s">
        <v>43</v>
      </c>
      <c r="E1277" s="13">
        <f t="shared" ca="1" si="19"/>
        <v>45934</v>
      </c>
      <c r="F1277" s="7" t="s">
        <v>36</v>
      </c>
      <c r="G1277" s="8">
        <v>4</v>
      </c>
      <c r="H1277" s="9">
        <v>55000</v>
      </c>
      <c r="I1277" s="9">
        <v>230310</v>
      </c>
      <c r="J1277" s="17">
        <v>50668</v>
      </c>
    </row>
    <row r="1278" spans="1:10" x14ac:dyDescent="0.3">
      <c r="A1278" s="14" t="s">
        <v>18</v>
      </c>
      <c r="B1278" s="4" t="s">
        <v>51</v>
      </c>
      <c r="C1278" s="4" t="s">
        <v>12</v>
      </c>
      <c r="D1278" s="4" t="s">
        <v>229</v>
      </c>
      <c r="E1278" s="13">
        <f t="shared" ca="1" si="19"/>
        <v>45960</v>
      </c>
      <c r="F1278" s="4" t="s">
        <v>40</v>
      </c>
      <c r="G1278" s="5">
        <v>4</v>
      </c>
      <c r="H1278" s="6">
        <v>15000</v>
      </c>
      <c r="I1278" s="6">
        <v>65345</v>
      </c>
      <c r="J1278" s="16">
        <v>6534</v>
      </c>
    </row>
    <row r="1279" spans="1:10" x14ac:dyDescent="0.3">
      <c r="A1279" s="15" t="s">
        <v>18</v>
      </c>
      <c r="B1279" s="7" t="s">
        <v>77</v>
      </c>
      <c r="C1279" s="7" t="s">
        <v>12</v>
      </c>
      <c r="D1279" s="7" t="s">
        <v>245</v>
      </c>
      <c r="E1279" s="13">
        <f t="shared" ca="1" si="19"/>
        <v>45850</v>
      </c>
      <c r="F1279" s="7" t="s">
        <v>33</v>
      </c>
      <c r="G1279" s="8">
        <v>4</v>
      </c>
      <c r="H1279" s="9">
        <v>45000</v>
      </c>
      <c r="I1279" s="9">
        <v>170089</v>
      </c>
      <c r="J1279" s="17">
        <v>30616</v>
      </c>
    </row>
    <row r="1280" spans="1:10" x14ac:dyDescent="0.3">
      <c r="A1280" s="14" t="s">
        <v>15</v>
      </c>
      <c r="B1280" s="4" t="s">
        <v>56</v>
      </c>
      <c r="C1280" s="4" t="s">
        <v>23</v>
      </c>
      <c r="D1280" s="4" t="s">
        <v>174</v>
      </c>
      <c r="E1280" s="13">
        <f t="shared" ca="1" si="19"/>
        <v>45676</v>
      </c>
      <c r="F1280" s="4" t="s">
        <v>21</v>
      </c>
      <c r="G1280" s="5">
        <v>10</v>
      </c>
      <c r="H1280" s="6">
        <v>12500</v>
      </c>
      <c r="I1280" s="6">
        <v>124800</v>
      </c>
      <c r="J1280" s="16">
        <v>9984</v>
      </c>
    </row>
    <row r="1281" spans="1:10" x14ac:dyDescent="0.3">
      <c r="A1281" s="15" t="s">
        <v>18</v>
      </c>
      <c r="B1281" s="7" t="s">
        <v>56</v>
      </c>
      <c r="C1281" s="7" t="s">
        <v>23</v>
      </c>
      <c r="D1281" s="7" t="s">
        <v>194</v>
      </c>
      <c r="E1281" s="13">
        <f t="shared" ca="1" si="19"/>
        <v>45816</v>
      </c>
      <c r="F1281" s="7" t="s">
        <v>33</v>
      </c>
      <c r="G1281" s="8">
        <v>2</v>
      </c>
      <c r="H1281" s="9">
        <v>45000</v>
      </c>
      <c r="I1281" s="9">
        <v>88251</v>
      </c>
      <c r="J1281" s="17">
        <v>15885</v>
      </c>
    </row>
    <row r="1282" spans="1:10" x14ac:dyDescent="0.3">
      <c r="A1282" s="14" t="s">
        <v>18</v>
      </c>
      <c r="B1282" s="4" t="s">
        <v>77</v>
      </c>
      <c r="C1282" s="4" t="s">
        <v>12</v>
      </c>
      <c r="D1282" s="4" t="s">
        <v>198</v>
      </c>
      <c r="E1282" s="13">
        <f t="shared" ca="1" si="19"/>
        <v>45897</v>
      </c>
      <c r="F1282" s="4" t="s">
        <v>33</v>
      </c>
      <c r="G1282" s="5">
        <v>6</v>
      </c>
      <c r="H1282" s="6">
        <v>45000</v>
      </c>
      <c r="I1282" s="6">
        <v>291183</v>
      </c>
      <c r="J1282" s="16">
        <v>52413</v>
      </c>
    </row>
    <row r="1283" spans="1:10" x14ac:dyDescent="0.3">
      <c r="A1283" s="15" t="s">
        <v>37</v>
      </c>
      <c r="B1283" s="7" t="s">
        <v>19</v>
      </c>
      <c r="C1283" s="7" t="s">
        <v>12</v>
      </c>
      <c r="D1283" s="7" t="s">
        <v>89</v>
      </c>
      <c r="E1283" s="13">
        <f t="shared" ref="E1283:E1346" ca="1" si="20">DATE(2025,1,1)+RANDBETWEEN(0,364)</f>
        <v>45993</v>
      </c>
      <c r="F1283" s="7" t="s">
        <v>33</v>
      </c>
      <c r="G1283" s="8">
        <v>6</v>
      </c>
      <c r="H1283" s="9">
        <v>45000</v>
      </c>
      <c r="I1283" s="9">
        <v>266215</v>
      </c>
      <c r="J1283" s="17">
        <v>47919</v>
      </c>
    </row>
    <row r="1284" spans="1:10" x14ac:dyDescent="0.3">
      <c r="A1284" s="14" t="s">
        <v>10</v>
      </c>
      <c r="B1284" s="4" t="s">
        <v>38</v>
      </c>
      <c r="C1284" s="4" t="s">
        <v>23</v>
      </c>
      <c r="D1284" s="4" t="s">
        <v>178</v>
      </c>
      <c r="E1284" s="13">
        <f t="shared" ca="1" si="20"/>
        <v>45787</v>
      </c>
      <c r="F1284" s="4" t="s">
        <v>36</v>
      </c>
      <c r="G1284" s="5">
        <v>9</v>
      </c>
      <c r="H1284" s="6">
        <v>55000</v>
      </c>
      <c r="I1284" s="6">
        <v>515568</v>
      </c>
      <c r="J1284" s="16">
        <v>113425</v>
      </c>
    </row>
    <row r="1285" spans="1:10" x14ac:dyDescent="0.3">
      <c r="A1285" s="15" t="s">
        <v>37</v>
      </c>
      <c r="B1285" s="7" t="s">
        <v>77</v>
      </c>
      <c r="C1285" s="7" t="s">
        <v>12</v>
      </c>
      <c r="D1285" s="7" t="s">
        <v>73</v>
      </c>
      <c r="E1285" s="13">
        <f t="shared" ca="1" si="20"/>
        <v>45778</v>
      </c>
      <c r="F1285" s="7" t="s">
        <v>36</v>
      </c>
      <c r="G1285" s="8">
        <v>2</v>
      </c>
      <c r="H1285" s="9">
        <v>55000</v>
      </c>
      <c r="I1285" s="9">
        <v>99578</v>
      </c>
      <c r="J1285" s="17">
        <v>21907</v>
      </c>
    </row>
    <row r="1286" spans="1:10" x14ac:dyDescent="0.3">
      <c r="A1286" s="14" t="s">
        <v>10</v>
      </c>
      <c r="B1286" s="4" t="s">
        <v>38</v>
      </c>
      <c r="C1286" s="4" t="s">
        <v>23</v>
      </c>
      <c r="D1286" s="4" t="s">
        <v>139</v>
      </c>
      <c r="E1286" s="13">
        <f t="shared" ca="1" si="20"/>
        <v>45769</v>
      </c>
      <c r="F1286" s="4" t="s">
        <v>21</v>
      </c>
      <c r="G1286" s="5">
        <v>9</v>
      </c>
      <c r="H1286" s="6">
        <v>12500</v>
      </c>
      <c r="I1286" s="6">
        <v>120616</v>
      </c>
      <c r="J1286" s="16">
        <v>9649</v>
      </c>
    </row>
    <row r="1287" spans="1:10" x14ac:dyDescent="0.3">
      <c r="A1287" s="15" t="s">
        <v>15</v>
      </c>
      <c r="B1287" s="7" t="s">
        <v>77</v>
      </c>
      <c r="C1287" s="7" t="s">
        <v>12</v>
      </c>
      <c r="D1287" s="7" t="s">
        <v>149</v>
      </c>
      <c r="E1287" s="13">
        <f t="shared" ca="1" si="20"/>
        <v>45777</v>
      </c>
      <c r="F1287" s="7" t="s">
        <v>40</v>
      </c>
      <c r="G1287" s="8">
        <v>10</v>
      </c>
      <c r="H1287" s="9">
        <v>15000</v>
      </c>
      <c r="I1287" s="9">
        <v>163058</v>
      </c>
      <c r="J1287" s="17">
        <v>16306</v>
      </c>
    </row>
    <row r="1288" spans="1:10" x14ac:dyDescent="0.3">
      <c r="A1288" s="14" t="s">
        <v>41</v>
      </c>
      <c r="B1288" s="4" t="s">
        <v>88</v>
      </c>
      <c r="C1288" s="4" t="s">
        <v>12</v>
      </c>
      <c r="D1288" s="4" t="s">
        <v>250</v>
      </c>
      <c r="E1288" s="13">
        <f t="shared" ca="1" si="20"/>
        <v>45862</v>
      </c>
      <c r="F1288" s="4" t="s">
        <v>14</v>
      </c>
      <c r="G1288" s="5">
        <v>7</v>
      </c>
      <c r="H1288" s="6">
        <v>18500</v>
      </c>
      <c r="I1288" s="6">
        <v>118925</v>
      </c>
      <c r="J1288" s="16">
        <v>14271</v>
      </c>
    </row>
    <row r="1289" spans="1:10" x14ac:dyDescent="0.3">
      <c r="A1289" s="15" t="s">
        <v>37</v>
      </c>
      <c r="B1289" s="7" t="s">
        <v>56</v>
      </c>
      <c r="C1289" s="7" t="s">
        <v>23</v>
      </c>
      <c r="D1289" s="7" t="s">
        <v>219</v>
      </c>
      <c r="E1289" s="13">
        <f t="shared" ca="1" si="20"/>
        <v>45819</v>
      </c>
      <c r="F1289" s="7" t="s">
        <v>36</v>
      </c>
      <c r="G1289" s="8">
        <v>4</v>
      </c>
      <c r="H1289" s="9">
        <v>55000</v>
      </c>
      <c r="I1289" s="9">
        <v>219580</v>
      </c>
      <c r="J1289" s="17">
        <v>48308</v>
      </c>
    </row>
    <row r="1290" spans="1:10" x14ac:dyDescent="0.3">
      <c r="A1290" s="14" t="s">
        <v>18</v>
      </c>
      <c r="B1290" s="4" t="s">
        <v>51</v>
      </c>
      <c r="C1290" s="4" t="s">
        <v>12</v>
      </c>
      <c r="D1290" s="4" t="s">
        <v>174</v>
      </c>
      <c r="E1290" s="13">
        <f t="shared" ca="1" si="20"/>
        <v>45958</v>
      </c>
      <c r="F1290" s="4" t="s">
        <v>36</v>
      </c>
      <c r="G1290" s="5">
        <v>9</v>
      </c>
      <c r="H1290" s="6">
        <v>55000</v>
      </c>
      <c r="I1290" s="6">
        <v>473807</v>
      </c>
      <c r="J1290" s="16">
        <v>104238</v>
      </c>
    </row>
    <row r="1291" spans="1:10" x14ac:dyDescent="0.3">
      <c r="A1291" s="15" t="s">
        <v>10</v>
      </c>
      <c r="B1291" s="7" t="s">
        <v>88</v>
      </c>
      <c r="C1291" s="7" t="s">
        <v>12</v>
      </c>
      <c r="D1291" s="7" t="s">
        <v>215</v>
      </c>
      <c r="E1291" s="13">
        <f t="shared" ca="1" si="20"/>
        <v>45665</v>
      </c>
      <c r="F1291" s="7" t="s">
        <v>36</v>
      </c>
      <c r="G1291" s="8">
        <v>10</v>
      </c>
      <c r="H1291" s="9">
        <v>55000</v>
      </c>
      <c r="I1291" s="9">
        <v>565289</v>
      </c>
      <c r="J1291" s="17">
        <v>124364</v>
      </c>
    </row>
    <row r="1292" spans="1:10" x14ac:dyDescent="0.3">
      <c r="A1292" s="14" t="s">
        <v>15</v>
      </c>
      <c r="B1292" s="4" t="s">
        <v>16</v>
      </c>
      <c r="C1292" s="4" t="s">
        <v>12</v>
      </c>
      <c r="D1292" s="4" t="s">
        <v>166</v>
      </c>
      <c r="E1292" s="13">
        <f t="shared" ca="1" si="20"/>
        <v>45778</v>
      </c>
      <c r="F1292" s="4" t="s">
        <v>36</v>
      </c>
      <c r="G1292" s="5">
        <v>8</v>
      </c>
      <c r="H1292" s="6">
        <v>55000</v>
      </c>
      <c r="I1292" s="6">
        <v>441839</v>
      </c>
      <c r="J1292" s="16">
        <v>97205</v>
      </c>
    </row>
    <row r="1293" spans="1:10" x14ac:dyDescent="0.3">
      <c r="A1293" s="15" t="s">
        <v>41</v>
      </c>
      <c r="B1293" s="7" t="s">
        <v>77</v>
      </c>
      <c r="C1293" s="7" t="s">
        <v>12</v>
      </c>
      <c r="D1293" s="7" t="s">
        <v>13</v>
      </c>
      <c r="E1293" s="13">
        <f t="shared" ca="1" si="20"/>
        <v>45715</v>
      </c>
      <c r="F1293" s="7" t="s">
        <v>14</v>
      </c>
      <c r="G1293" s="8">
        <v>9</v>
      </c>
      <c r="H1293" s="9">
        <v>18500</v>
      </c>
      <c r="I1293" s="9">
        <v>170363</v>
      </c>
      <c r="J1293" s="17">
        <v>20444</v>
      </c>
    </row>
    <row r="1294" spans="1:10" x14ac:dyDescent="0.3">
      <c r="A1294" s="14" t="s">
        <v>18</v>
      </c>
      <c r="B1294" s="4" t="s">
        <v>88</v>
      </c>
      <c r="C1294" s="4" t="s">
        <v>12</v>
      </c>
      <c r="D1294" s="4" t="s">
        <v>121</v>
      </c>
      <c r="E1294" s="13">
        <f t="shared" ca="1" si="20"/>
        <v>45749</v>
      </c>
      <c r="F1294" s="4" t="s">
        <v>33</v>
      </c>
      <c r="G1294" s="5">
        <v>8</v>
      </c>
      <c r="H1294" s="6">
        <v>45000</v>
      </c>
      <c r="I1294" s="6">
        <v>395801</v>
      </c>
      <c r="J1294" s="16">
        <v>71244</v>
      </c>
    </row>
    <row r="1295" spans="1:10" x14ac:dyDescent="0.3">
      <c r="A1295" s="15" t="s">
        <v>41</v>
      </c>
      <c r="B1295" s="7" t="s">
        <v>29</v>
      </c>
      <c r="C1295" s="7" t="s">
        <v>26</v>
      </c>
      <c r="D1295" s="7" t="s">
        <v>99</v>
      </c>
      <c r="E1295" s="13">
        <f t="shared" ca="1" si="20"/>
        <v>45956</v>
      </c>
      <c r="F1295" s="7" t="s">
        <v>40</v>
      </c>
      <c r="G1295" s="8">
        <v>1</v>
      </c>
      <c r="H1295" s="9">
        <v>15000</v>
      </c>
      <c r="I1295" s="9">
        <v>13884</v>
      </c>
      <c r="J1295" s="17">
        <v>1388</v>
      </c>
    </row>
    <row r="1296" spans="1:10" x14ac:dyDescent="0.3">
      <c r="A1296" s="14" t="s">
        <v>18</v>
      </c>
      <c r="B1296" s="4" t="s">
        <v>11</v>
      </c>
      <c r="C1296" s="4" t="s">
        <v>12</v>
      </c>
      <c r="D1296" s="4" t="s">
        <v>231</v>
      </c>
      <c r="E1296" s="13">
        <f t="shared" ca="1" si="20"/>
        <v>45779</v>
      </c>
      <c r="F1296" s="4" t="s">
        <v>40</v>
      </c>
      <c r="G1296" s="5">
        <v>1</v>
      </c>
      <c r="H1296" s="6">
        <v>15000</v>
      </c>
      <c r="I1296" s="6">
        <v>16429</v>
      </c>
      <c r="J1296" s="16">
        <v>1643</v>
      </c>
    </row>
    <row r="1297" spans="1:10" x14ac:dyDescent="0.3">
      <c r="A1297" s="15" t="s">
        <v>15</v>
      </c>
      <c r="B1297" s="7" t="s">
        <v>25</v>
      </c>
      <c r="C1297" s="7" t="s">
        <v>26</v>
      </c>
      <c r="D1297" s="7" t="s">
        <v>165</v>
      </c>
      <c r="E1297" s="13">
        <f t="shared" ca="1" si="20"/>
        <v>46013</v>
      </c>
      <c r="F1297" s="7" t="s">
        <v>33</v>
      </c>
      <c r="G1297" s="8">
        <v>3</v>
      </c>
      <c r="H1297" s="9">
        <v>45000</v>
      </c>
      <c r="I1297" s="9">
        <v>128556</v>
      </c>
      <c r="J1297" s="17">
        <v>23140</v>
      </c>
    </row>
    <row r="1298" spans="1:10" x14ac:dyDescent="0.3">
      <c r="A1298" s="14" t="s">
        <v>37</v>
      </c>
      <c r="B1298" s="4" t="s">
        <v>46</v>
      </c>
      <c r="C1298" s="4" t="s">
        <v>26</v>
      </c>
      <c r="D1298" s="4" t="s">
        <v>245</v>
      </c>
      <c r="E1298" s="13">
        <f t="shared" ca="1" si="20"/>
        <v>45908</v>
      </c>
      <c r="F1298" s="4" t="s">
        <v>14</v>
      </c>
      <c r="G1298" s="5">
        <v>5</v>
      </c>
      <c r="H1298" s="6">
        <v>18500</v>
      </c>
      <c r="I1298" s="6">
        <v>90631</v>
      </c>
      <c r="J1298" s="16">
        <v>10876</v>
      </c>
    </row>
    <row r="1299" spans="1:10" x14ac:dyDescent="0.3">
      <c r="A1299" s="15" t="s">
        <v>41</v>
      </c>
      <c r="B1299" s="7" t="s">
        <v>22</v>
      </c>
      <c r="C1299" s="7" t="s">
        <v>23</v>
      </c>
      <c r="D1299" s="7" t="s">
        <v>166</v>
      </c>
      <c r="E1299" s="13">
        <f t="shared" ca="1" si="20"/>
        <v>45806</v>
      </c>
      <c r="F1299" s="7" t="s">
        <v>33</v>
      </c>
      <c r="G1299" s="8">
        <v>8</v>
      </c>
      <c r="H1299" s="9">
        <v>45000</v>
      </c>
      <c r="I1299" s="9">
        <v>333295</v>
      </c>
      <c r="J1299" s="17">
        <v>59993</v>
      </c>
    </row>
    <row r="1300" spans="1:10" x14ac:dyDescent="0.3">
      <c r="A1300" s="14" t="s">
        <v>10</v>
      </c>
      <c r="B1300" s="4" t="s">
        <v>16</v>
      </c>
      <c r="C1300" s="4" t="s">
        <v>12</v>
      </c>
      <c r="D1300" s="4" t="s">
        <v>150</v>
      </c>
      <c r="E1300" s="13">
        <f t="shared" ca="1" si="20"/>
        <v>45943</v>
      </c>
      <c r="F1300" s="4" t="s">
        <v>36</v>
      </c>
      <c r="G1300" s="5">
        <v>5</v>
      </c>
      <c r="H1300" s="6">
        <v>55000</v>
      </c>
      <c r="I1300" s="6">
        <v>252320</v>
      </c>
      <c r="J1300" s="16">
        <v>55510</v>
      </c>
    </row>
    <row r="1301" spans="1:10" x14ac:dyDescent="0.3">
      <c r="A1301" s="15" t="s">
        <v>37</v>
      </c>
      <c r="B1301" s="7" t="s">
        <v>88</v>
      </c>
      <c r="C1301" s="7" t="s">
        <v>12</v>
      </c>
      <c r="D1301" s="7" t="s">
        <v>235</v>
      </c>
      <c r="E1301" s="13">
        <f t="shared" ca="1" si="20"/>
        <v>45911</v>
      </c>
      <c r="F1301" s="7" t="s">
        <v>36</v>
      </c>
      <c r="G1301" s="8">
        <v>7</v>
      </c>
      <c r="H1301" s="9">
        <v>55000</v>
      </c>
      <c r="I1301" s="9">
        <v>396461</v>
      </c>
      <c r="J1301" s="17">
        <v>87221</v>
      </c>
    </row>
    <row r="1302" spans="1:10" x14ac:dyDescent="0.3">
      <c r="A1302" s="14" t="s">
        <v>37</v>
      </c>
      <c r="B1302" s="4" t="s">
        <v>51</v>
      </c>
      <c r="C1302" s="4" t="s">
        <v>12</v>
      </c>
      <c r="D1302" s="4" t="s">
        <v>108</v>
      </c>
      <c r="E1302" s="13">
        <f t="shared" ca="1" si="20"/>
        <v>45758</v>
      </c>
      <c r="F1302" s="4" t="s">
        <v>36</v>
      </c>
      <c r="G1302" s="5">
        <v>8</v>
      </c>
      <c r="H1302" s="6">
        <v>55000</v>
      </c>
      <c r="I1302" s="6">
        <v>435439</v>
      </c>
      <c r="J1302" s="16">
        <v>95797</v>
      </c>
    </row>
    <row r="1303" spans="1:10" x14ac:dyDescent="0.3">
      <c r="A1303" s="15" t="s">
        <v>37</v>
      </c>
      <c r="B1303" s="7" t="s">
        <v>56</v>
      </c>
      <c r="C1303" s="7" t="s">
        <v>23</v>
      </c>
      <c r="D1303" s="7" t="s">
        <v>127</v>
      </c>
      <c r="E1303" s="13">
        <f t="shared" ca="1" si="20"/>
        <v>45972</v>
      </c>
      <c r="F1303" s="7" t="s">
        <v>40</v>
      </c>
      <c r="G1303" s="8">
        <v>5</v>
      </c>
      <c r="H1303" s="9">
        <v>15000</v>
      </c>
      <c r="I1303" s="9">
        <v>72391</v>
      </c>
      <c r="J1303" s="17">
        <v>7239</v>
      </c>
    </row>
    <row r="1304" spans="1:10" x14ac:dyDescent="0.3">
      <c r="A1304" s="14" t="s">
        <v>15</v>
      </c>
      <c r="B1304" s="4" t="s">
        <v>29</v>
      </c>
      <c r="C1304" s="4" t="s">
        <v>26</v>
      </c>
      <c r="D1304" s="4" t="s">
        <v>49</v>
      </c>
      <c r="E1304" s="13">
        <f t="shared" ca="1" si="20"/>
        <v>45933</v>
      </c>
      <c r="F1304" s="4" t="s">
        <v>14</v>
      </c>
      <c r="G1304" s="5">
        <v>2</v>
      </c>
      <c r="H1304" s="6">
        <v>18500</v>
      </c>
      <c r="I1304" s="6">
        <v>34280</v>
      </c>
      <c r="J1304" s="16">
        <v>4114</v>
      </c>
    </row>
    <row r="1305" spans="1:10" x14ac:dyDescent="0.3">
      <c r="A1305" s="15" t="s">
        <v>10</v>
      </c>
      <c r="B1305" s="7" t="s">
        <v>38</v>
      </c>
      <c r="C1305" s="7" t="s">
        <v>23</v>
      </c>
      <c r="D1305" s="7" t="s">
        <v>83</v>
      </c>
      <c r="E1305" s="13">
        <f t="shared" ca="1" si="20"/>
        <v>45932</v>
      </c>
      <c r="F1305" s="7" t="s">
        <v>33</v>
      </c>
      <c r="G1305" s="8">
        <v>5</v>
      </c>
      <c r="H1305" s="9">
        <v>45000</v>
      </c>
      <c r="I1305" s="9">
        <v>211745</v>
      </c>
      <c r="J1305" s="17">
        <v>38114</v>
      </c>
    </row>
    <row r="1306" spans="1:10" x14ac:dyDescent="0.3">
      <c r="A1306" s="14" t="s">
        <v>41</v>
      </c>
      <c r="B1306" s="4" t="s">
        <v>31</v>
      </c>
      <c r="C1306" s="4" t="s">
        <v>12</v>
      </c>
      <c r="D1306" s="4" t="s">
        <v>215</v>
      </c>
      <c r="E1306" s="13">
        <f t="shared" ca="1" si="20"/>
        <v>45853</v>
      </c>
      <c r="F1306" s="4" t="s">
        <v>21</v>
      </c>
      <c r="G1306" s="5">
        <v>5</v>
      </c>
      <c r="H1306" s="6">
        <v>12500</v>
      </c>
      <c r="I1306" s="6">
        <v>66127</v>
      </c>
      <c r="J1306" s="16">
        <v>5290</v>
      </c>
    </row>
    <row r="1307" spans="1:10" x14ac:dyDescent="0.3">
      <c r="A1307" s="15" t="s">
        <v>37</v>
      </c>
      <c r="B1307" s="7" t="s">
        <v>38</v>
      </c>
      <c r="C1307" s="7" t="s">
        <v>23</v>
      </c>
      <c r="D1307" s="7" t="s">
        <v>66</v>
      </c>
      <c r="E1307" s="13">
        <f t="shared" ca="1" si="20"/>
        <v>46014</v>
      </c>
      <c r="F1307" s="7" t="s">
        <v>14</v>
      </c>
      <c r="G1307" s="8">
        <v>6</v>
      </c>
      <c r="H1307" s="9">
        <v>18500</v>
      </c>
      <c r="I1307" s="9">
        <v>113151</v>
      </c>
      <c r="J1307" s="17">
        <v>13578</v>
      </c>
    </row>
    <row r="1308" spans="1:10" x14ac:dyDescent="0.3">
      <c r="A1308" s="14" t="s">
        <v>15</v>
      </c>
      <c r="B1308" s="4" t="s">
        <v>88</v>
      </c>
      <c r="C1308" s="4" t="s">
        <v>12</v>
      </c>
      <c r="D1308" s="4" t="s">
        <v>127</v>
      </c>
      <c r="E1308" s="13">
        <f t="shared" ca="1" si="20"/>
        <v>45853</v>
      </c>
      <c r="F1308" s="4" t="s">
        <v>21</v>
      </c>
      <c r="G1308" s="5">
        <v>7</v>
      </c>
      <c r="H1308" s="6">
        <v>12500</v>
      </c>
      <c r="I1308" s="6">
        <v>91291</v>
      </c>
      <c r="J1308" s="16">
        <v>7303</v>
      </c>
    </row>
    <row r="1309" spans="1:10" x14ac:dyDescent="0.3">
      <c r="A1309" s="15" t="s">
        <v>18</v>
      </c>
      <c r="B1309" s="7" t="s">
        <v>56</v>
      </c>
      <c r="C1309" s="7" t="s">
        <v>23</v>
      </c>
      <c r="D1309" s="7" t="s">
        <v>196</v>
      </c>
      <c r="E1309" s="13">
        <f t="shared" ca="1" si="20"/>
        <v>45912</v>
      </c>
      <c r="F1309" s="7" t="s">
        <v>40</v>
      </c>
      <c r="G1309" s="8">
        <v>7</v>
      </c>
      <c r="H1309" s="9">
        <v>15000</v>
      </c>
      <c r="I1309" s="9">
        <v>108109</v>
      </c>
      <c r="J1309" s="17">
        <v>10811</v>
      </c>
    </row>
    <row r="1310" spans="1:10" x14ac:dyDescent="0.3">
      <c r="A1310" s="14" t="s">
        <v>10</v>
      </c>
      <c r="B1310" s="4" t="s">
        <v>46</v>
      </c>
      <c r="C1310" s="4" t="s">
        <v>26</v>
      </c>
      <c r="D1310" s="4" t="s">
        <v>52</v>
      </c>
      <c r="E1310" s="13">
        <f t="shared" ca="1" si="20"/>
        <v>45945</v>
      </c>
      <c r="F1310" s="4" t="s">
        <v>40</v>
      </c>
      <c r="G1310" s="5">
        <v>2</v>
      </c>
      <c r="H1310" s="6">
        <v>15000</v>
      </c>
      <c r="I1310" s="6">
        <v>29515</v>
      </c>
      <c r="J1310" s="16">
        <v>2952</v>
      </c>
    </row>
    <row r="1311" spans="1:10" x14ac:dyDescent="0.3">
      <c r="A1311" s="15" t="s">
        <v>18</v>
      </c>
      <c r="B1311" s="7" t="s">
        <v>88</v>
      </c>
      <c r="C1311" s="7" t="s">
        <v>12</v>
      </c>
      <c r="D1311" s="7" t="s">
        <v>179</v>
      </c>
      <c r="E1311" s="13">
        <f t="shared" ca="1" si="20"/>
        <v>45861</v>
      </c>
      <c r="F1311" s="7" t="s">
        <v>21</v>
      </c>
      <c r="G1311" s="8">
        <v>10</v>
      </c>
      <c r="H1311" s="9">
        <v>12500</v>
      </c>
      <c r="I1311" s="9">
        <v>124285</v>
      </c>
      <c r="J1311" s="17">
        <v>9943</v>
      </c>
    </row>
    <row r="1312" spans="1:10" x14ac:dyDescent="0.3">
      <c r="A1312" s="14" t="s">
        <v>41</v>
      </c>
      <c r="B1312" s="4" t="s">
        <v>11</v>
      </c>
      <c r="C1312" s="4" t="s">
        <v>12</v>
      </c>
      <c r="D1312" s="4" t="s">
        <v>76</v>
      </c>
      <c r="E1312" s="13">
        <f t="shared" ca="1" si="20"/>
        <v>45864</v>
      </c>
      <c r="F1312" s="4" t="s">
        <v>36</v>
      </c>
      <c r="G1312" s="5">
        <v>8</v>
      </c>
      <c r="H1312" s="6">
        <v>55000</v>
      </c>
      <c r="I1312" s="6">
        <v>422721</v>
      </c>
      <c r="J1312" s="16">
        <v>92999</v>
      </c>
    </row>
    <row r="1313" spans="1:10" x14ac:dyDescent="0.3">
      <c r="A1313" s="15" t="s">
        <v>37</v>
      </c>
      <c r="B1313" s="7" t="s">
        <v>56</v>
      </c>
      <c r="C1313" s="7" t="s">
        <v>23</v>
      </c>
      <c r="D1313" s="7" t="s">
        <v>160</v>
      </c>
      <c r="E1313" s="13">
        <f t="shared" ca="1" si="20"/>
        <v>45950</v>
      </c>
      <c r="F1313" s="7" t="s">
        <v>36</v>
      </c>
      <c r="G1313" s="8">
        <v>5</v>
      </c>
      <c r="H1313" s="9">
        <v>55000</v>
      </c>
      <c r="I1313" s="9">
        <v>280895</v>
      </c>
      <c r="J1313" s="17">
        <v>61797</v>
      </c>
    </row>
    <row r="1314" spans="1:10" x14ac:dyDescent="0.3">
      <c r="A1314" s="14" t="s">
        <v>10</v>
      </c>
      <c r="B1314" s="4" t="s">
        <v>56</v>
      </c>
      <c r="C1314" s="4" t="s">
        <v>23</v>
      </c>
      <c r="D1314" s="4" t="s">
        <v>225</v>
      </c>
      <c r="E1314" s="13">
        <f t="shared" ca="1" si="20"/>
        <v>46009</v>
      </c>
      <c r="F1314" s="4" t="s">
        <v>21</v>
      </c>
      <c r="G1314" s="5">
        <v>4</v>
      </c>
      <c r="H1314" s="6">
        <v>12500</v>
      </c>
      <c r="I1314" s="6">
        <v>50553</v>
      </c>
      <c r="J1314" s="16">
        <v>4044</v>
      </c>
    </row>
    <row r="1315" spans="1:10" x14ac:dyDescent="0.3">
      <c r="A1315" s="15" t="s">
        <v>15</v>
      </c>
      <c r="B1315" s="7" t="s">
        <v>25</v>
      </c>
      <c r="C1315" s="7" t="s">
        <v>26</v>
      </c>
      <c r="D1315" s="7" t="s">
        <v>154</v>
      </c>
      <c r="E1315" s="13">
        <f t="shared" ca="1" si="20"/>
        <v>45880</v>
      </c>
      <c r="F1315" s="7" t="s">
        <v>21</v>
      </c>
      <c r="G1315" s="8">
        <v>9</v>
      </c>
      <c r="H1315" s="9">
        <v>12500</v>
      </c>
      <c r="I1315" s="9">
        <v>121053</v>
      </c>
      <c r="J1315" s="17">
        <v>9684</v>
      </c>
    </row>
    <row r="1316" spans="1:10" x14ac:dyDescent="0.3">
      <c r="A1316" s="14" t="s">
        <v>18</v>
      </c>
      <c r="B1316" s="4" t="s">
        <v>38</v>
      </c>
      <c r="C1316" s="4" t="s">
        <v>23</v>
      </c>
      <c r="D1316" s="4" t="s">
        <v>92</v>
      </c>
      <c r="E1316" s="13">
        <f t="shared" ca="1" si="20"/>
        <v>45931</v>
      </c>
      <c r="F1316" s="4" t="s">
        <v>14</v>
      </c>
      <c r="G1316" s="5">
        <v>5</v>
      </c>
      <c r="H1316" s="6">
        <v>18500</v>
      </c>
      <c r="I1316" s="6">
        <v>92617</v>
      </c>
      <c r="J1316" s="16">
        <v>11114</v>
      </c>
    </row>
    <row r="1317" spans="1:10" x14ac:dyDescent="0.3">
      <c r="A1317" s="15" t="s">
        <v>41</v>
      </c>
      <c r="B1317" s="7" t="s">
        <v>84</v>
      </c>
      <c r="C1317" s="7" t="s">
        <v>12</v>
      </c>
      <c r="D1317" s="7" t="s">
        <v>247</v>
      </c>
      <c r="E1317" s="13">
        <f t="shared" ca="1" si="20"/>
        <v>45763</v>
      </c>
      <c r="F1317" s="7" t="s">
        <v>40</v>
      </c>
      <c r="G1317" s="8">
        <v>9</v>
      </c>
      <c r="H1317" s="9">
        <v>15000</v>
      </c>
      <c r="I1317" s="9">
        <v>144048</v>
      </c>
      <c r="J1317" s="17">
        <v>14405</v>
      </c>
    </row>
    <row r="1318" spans="1:10" x14ac:dyDescent="0.3">
      <c r="A1318" s="14" t="s">
        <v>37</v>
      </c>
      <c r="B1318" s="4" t="s">
        <v>16</v>
      </c>
      <c r="C1318" s="4" t="s">
        <v>12</v>
      </c>
      <c r="D1318" s="4" t="s">
        <v>63</v>
      </c>
      <c r="E1318" s="13">
        <f t="shared" ca="1" si="20"/>
        <v>45715</v>
      </c>
      <c r="F1318" s="4" t="s">
        <v>36</v>
      </c>
      <c r="G1318" s="5">
        <v>10</v>
      </c>
      <c r="H1318" s="6">
        <v>55000</v>
      </c>
      <c r="I1318" s="6">
        <v>566607</v>
      </c>
      <c r="J1318" s="16">
        <v>124654</v>
      </c>
    </row>
    <row r="1319" spans="1:10" x14ac:dyDescent="0.3">
      <c r="A1319" s="15" t="s">
        <v>15</v>
      </c>
      <c r="B1319" s="7" t="s">
        <v>81</v>
      </c>
      <c r="C1319" s="7" t="s">
        <v>26</v>
      </c>
      <c r="D1319" s="7" t="s">
        <v>198</v>
      </c>
      <c r="E1319" s="13">
        <f t="shared" ca="1" si="20"/>
        <v>45809</v>
      </c>
      <c r="F1319" s="7" t="s">
        <v>36</v>
      </c>
      <c r="G1319" s="8">
        <v>3</v>
      </c>
      <c r="H1319" s="9">
        <v>55000</v>
      </c>
      <c r="I1319" s="9">
        <v>171402</v>
      </c>
      <c r="J1319" s="17">
        <v>37708</v>
      </c>
    </row>
    <row r="1320" spans="1:10" x14ac:dyDescent="0.3">
      <c r="A1320" s="14" t="s">
        <v>10</v>
      </c>
      <c r="B1320" s="4" t="s">
        <v>22</v>
      </c>
      <c r="C1320" s="4" t="s">
        <v>23</v>
      </c>
      <c r="D1320" s="4" t="s">
        <v>48</v>
      </c>
      <c r="E1320" s="13">
        <f t="shared" ca="1" si="20"/>
        <v>45941</v>
      </c>
      <c r="F1320" s="4" t="s">
        <v>36</v>
      </c>
      <c r="G1320" s="5">
        <v>1</v>
      </c>
      <c r="H1320" s="6">
        <v>55000</v>
      </c>
      <c r="I1320" s="6">
        <v>57881</v>
      </c>
      <c r="J1320" s="16">
        <v>12734</v>
      </c>
    </row>
    <row r="1321" spans="1:10" x14ac:dyDescent="0.3">
      <c r="A1321" s="15" t="s">
        <v>41</v>
      </c>
      <c r="B1321" s="7" t="s">
        <v>77</v>
      </c>
      <c r="C1321" s="7" t="s">
        <v>12</v>
      </c>
      <c r="D1321" s="7" t="s">
        <v>85</v>
      </c>
      <c r="E1321" s="13">
        <f t="shared" ca="1" si="20"/>
        <v>45660</v>
      </c>
      <c r="F1321" s="7" t="s">
        <v>33</v>
      </c>
      <c r="G1321" s="8">
        <v>9</v>
      </c>
      <c r="H1321" s="9">
        <v>45000</v>
      </c>
      <c r="I1321" s="9">
        <v>443524</v>
      </c>
      <c r="J1321" s="17">
        <v>79834</v>
      </c>
    </row>
    <row r="1322" spans="1:10" x14ac:dyDescent="0.3">
      <c r="A1322" s="14" t="s">
        <v>18</v>
      </c>
      <c r="B1322" s="4" t="s">
        <v>19</v>
      </c>
      <c r="C1322" s="4" t="s">
        <v>12</v>
      </c>
      <c r="D1322" s="4" t="s">
        <v>55</v>
      </c>
      <c r="E1322" s="13">
        <f t="shared" ca="1" si="20"/>
        <v>45892</v>
      </c>
      <c r="F1322" s="4" t="s">
        <v>36</v>
      </c>
      <c r="G1322" s="5">
        <v>10</v>
      </c>
      <c r="H1322" s="6">
        <v>55000</v>
      </c>
      <c r="I1322" s="6">
        <v>522900</v>
      </c>
      <c r="J1322" s="16">
        <v>115038</v>
      </c>
    </row>
    <row r="1323" spans="1:10" x14ac:dyDescent="0.3">
      <c r="A1323" s="15" t="s">
        <v>41</v>
      </c>
      <c r="B1323" s="7" t="s">
        <v>46</v>
      </c>
      <c r="C1323" s="7" t="s">
        <v>26</v>
      </c>
      <c r="D1323" s="7" t="s">
        <v>53</v>
      </c>
      <c r="E1323" s="13">
        <f t="shared" ca="1" si="20"/>
        <v>45828</v>
      </c>
      <c r="F1323" s="7" t="s">
        <v>33</v>
      </c>
      <c r="G1323" s="8">
        <v>2</v>
      </c>
      <c r="H1323" s="9">
        <v>45000</v>
      </c>
      <c r="I1323" s="9">
        <v>94312</v>
      </c>
      <c r="J1323" s="17">
        <v>16976</v>
      </c>
    </row>
    <row r="1324" spans="1:10" x14ac:dyDescent="0.3">
      <c r="A1324" s="14" t="s">
        <v>10</v>
      </c>
      <c r="B1324" s="4" t="s">
        <v>56</v>
      </c>
      <c r="C1324" s="4" t="s">
        <v>23</v>
      </c>
      <c r="D1324" s="4" t="s">
        <v>231</v>
      </c>
      <c r="E1324" s="13">
        <f t="shared" ca="1" si="20"/>
        <v>45760</v>
      </c>
      <c r="F1324" s="4" t="s">
        <v>14</v>
      </c>
      <c r="G1324" s="5">
        <v>5</v>
      </c>
      <c r="H1324" s="6">
        <v>18500</v>
      </c>
      <c r="I1324" s="6">
        <v>87277</v>
      </c>
      <c r="J1324" s="16">
        <v>10473</v>
      </c>
    </row>
    <row r="1325" spans="1:10" x14ac:dyDescent="0.3">
      <c r="A1325" s="15" t="s">
        <v>15</v>
      </c>
      <c r="B1325" s="7" t="s">
        <v>81</v>
      </c>
      <c r="C1325" s="7" t="s">
        <v>26</v>
      </c>
      <c r="D1325" s="7" t="s">
        <v>155</v>
      </c>
      <c r="E1325" s="13">
        <f t="shared" ca="1" si="20"/>
        <v>45911</v>
      </c>
      <c r="F1325" s="7" t="s">
        <v>21</v>
      </c>
      <c r="G1325" s="8">
        <v>9</v>
      </c>
      <c r="H1325" s="9">
        <v>12500</v>
      </c>
      <c r="I1325" s="9">
        <v>101557</v>
      </c>
      <c r="J1325" s="17">
        <v>8125</v>
      </c>
    </row>
    <row r="1326" spans="1:10" x14ac:dyDescent="0.3">
      <c r="A1326" s="14" t="s">
        <v>41</v>
      </c>
      <c r="B1326" s="4" t="s">
        <v>29</v>
      </c>
      <c r="C1326" s="4" t="s">
        <v>26</v>
      </c>
      <c r="D1326" s="4" t="s">
        <v>106</v>
      </c>
      <c r="E1326" s="13">
        <f t="shared" ca="1" si="20"/>
        <v>45680</v>
      </c>
      <c r="F1326" s="4" t="s">
        <v>33</v>
      </c>
      <c r="G1326" s="5">
        <v>2</v>
      </c>
      <c r="H1326" s="6">
        <v>45000</v>
      </c>
      <c r="I1326" s="6">
        <v>97563</v>
      </c>
      <c r="J1326" s="16">
        <v>17561</v>
      </c>
    </row>
    <row r="1327" spans="1:10" x14ac:dyDescent="0.3">
      <c r="A1327" s="15" t="s">
        <v>37</v>
      </c>
      <c r="B1327" s="7" t="s">
        <v>29</v>
      </c>
      <c r="C1327" s="7" t="s">
        <v>26</v>
      </c>
      <c r="D1327" s="7" t="s">
        <v>50</v>
      </c>
      <c r="E1327" s="13">
        <f t="shared" ca="1" si="20"/>
        <v>45827</v>
      </c>
      <c r="F1327" s="7" t="s">
        <v>36</v>
      </c>
      <c r="G1327" s="8">
        <v>7</v>
      </c>
      <c r="H1327" s="9">
        <v>55000</v>
      </c>
      <c r="I1327" s="9">
        <v>408384</v>
      </c>
      <c r="J1327" s="17">
        <v>89844</v>
      </c>
    </row>
    <row r="1328" spans="1:10" x14ac:dyDescent="0.3">
      <c r="A1328" s="14" t="s">
        <v>37</v>
      </c>
      <c r="B1328" s="4" t="s">
        <v>51</v>
      </c>
      <c r="C1328" s="4" t="s">
        <v>12</v>
      </c>
      <c r="D1328" s="4" t="s">
        <v>179</v>
      </c>
      <c r="E1328" s="13">
        <f t="shared" ca="1" si="20"/>
        <v>45745</v>
      </c>
      <c r="F1328" s="4" t="s">
        <v>40</v>
      </c>
      <c r="G1328" s="5">
        <v>6</v>
      </c>
      <c r="H1328" s="6">
        <v>15000</v>
      </c>
      <c r="I1328" s="6">
        <v>81876</v>
      </c>
      <c r="J1328" s="16">
        <v>8188</v>
      </c>
    </row>
    <row r="1329" spans="1:10" x14ac:dyDescent="0.3">
      <c r="A1329" s="15" t="s">
        <v>41</v>
      </c>
      <c r="B1329" s="7" t="s">
        <v>77</v>
      </c>
      <c r="C1329" s="7" t="s">
        <v>12</v>
      </c>
      <c r="D1329" s="7" t="s">
        <v>258</v>
      </c>
      <c r="E1329" s="13">
        <f t="shared" ca="1" si="20"/>
        <v>46007</v>
      </c>
      <c r="F1329" s="7" t="s">
        <v>33</v>
      </c>
      <c r="G1329" s="8">
        <v>9</v>
      </c>
      <c r="H1329" s="9">
        <v>45000</v>
      </c>
      <c r="I1329" s="9">
        <v>382009</v>
      </c>
      <c r="J1329" s="17">
        <v>68762</v>
      </c>
    </row>
    <row r="1330" spans="1:10" x14ac:dyDescent="0.3">
      <c r="A1330" s="14" t="s">
        <v>15</v>
      </c>
      <c r="B1330" s="4" t="s">
        <v>88</v>
      </c>
      <c r="C1330" s="4" t="s">
        <v>12</v>
      </c>
      <c r="D1330" s="4" t="s">
        <v>187</v>
      </c>
      <c r="E1330" s="13">
        <f t="shared" ca="1" si="20"/>
        <v>45894</v>
      </c>
      <c r="F1330" s="4" t="s">
        <v>36</v>
      </c>
      <c r="G1330" s="5">
        <v>1</v>
      </c>
      <c r="H1330" s="6">
        <v>55000</v>
      </c>
      <c r="I1330" s="6">
        <v>55685</v>
      </c>
      <c r="J1330" s="16">
        <v>12251</v>
      </c>
    </row>
    <row r="1331" spans="1:10" x14ac:dyDescent="0.3">
      <c r="A1331" s="15" t="s">
        <v>15</v>
      </c>
      <c r="B1331" s="7" t="s">
        <v>25</v>
      </c>
      <c r="C1331" s="7" t="s">
        <v>26</v>
      </c>
      <c r="D1331" s="7" t="s">
        <v>59</v>
      </c>
      <c r="E1331" s="13">
        <f t="shared" ca="1" si="20"/>
        <v>45904</v>
      </c>
      <c r="F1331" s="7" t="s">
        <v>40</v>
      </c>
      <c r="G1331" s="8">
        <v>8</v>
      </c>
      <c r="H1331" s="9">
        <v>15000</v>
      </c>
      <c r="I1331" s="9">
        <v>112273</v>
      </c>
      <c r="J1331" s="17">
        <v>11227</v>
      </c>
    </row>
    <row r="1332" spans="1:10" x14ac:dyDescent="0.3">
      <c r="A1332" s="14" t="s">
        <v>15</v>
      </c>
      <c r="B1332" s="4" t="s">
        <v>16</v>
      </c>
      <c r="C1332" s="4" t="s">
        <v>12</v>
      </c>
      <c r="D1332" s="4" t="s">
        <v>76</v>
      </c>
      <c r="E1332" s="13">
        <f t="shared" ca="1" si="20"/>
        <v>45823</v>
      </c>
      <c r="F1332" s="4" t="s">
        <v>36</v>
      </c>
      <c r="G1332" s="5">
        <v>5</v>
      </c>
      <c r="H1332" s="6">
        <v>55000</v>
      </c>
      <c r="I1332" s="6">
        <v>288578</v>
      </c>
      <c r="J1332" s="16">
        <v>63487</v>
      </c>
    </row>
    <row r="1333" spans="1:10" x14ac:dyDescent="0.3">
      <c r="A1333" s="15" t="s">
        <v>41</v>
      </c>
      <c r="B1333" s="7" t="s">
        <v>11</v>
      </c>
      <c r="C1333" s="7" t="s">
        <v>12</v>
      </c>
      <c r="D1333" s="7" t="s">
        <v>146</v>
      </c>
      <c r="E1333" s="13">
        <f t="shared" ca="1" si="20"/>
        <v>45692</v>
      </c>
      <c r="F1333" s="7" t="s">
        <v>40</v>
      </c>
      <c r="G1333" s="8">
        <v>6</v>
      </c>
      <c r="H1333" s="9">
        <v>15000</v>
      </c>
      <c r="I1333" s="9">
        <v>85993</v>
      </c>
      <c r="J1333" s="17">
        <v>8599</v>
      </c>
    </row>
    <row r="1334" spans="1:10" x14ac:dyDescent="0.3">
      <c r="A1334" s="14" t="s">
        <v>10</v>
      </c>
      <c r="B1334" s="4" t="s">
        <v>25</v>
      </c>
      <c r="C1334" s="4" t="s">
        <v>26</v>
      </c>
      <c r="D1334" s="4" t="s">
        <v>234</v>
      </c>
      <c r="E1334" s="13">
        <f t="shared" ca="1" si="20"/>
        <v>45713</v>
      </c>
      <c r="F1334" s="4" t="s">
        <v>21</v>
      </c>
      <c r="G1334" s="5">
        <v>2</v>
      </c>
      <c r="H1334" s="6">
        <v>12500</v>
      </c>
      <c r="I1334" s="6">
        <v>25367</v>
      </c>
      <c r="J1334" s="16">
        <v>2029</v>
      </c>
    </row>
    <row r="1335" spans="1:10" x14ac:dyDescent="0.3">
      <c r="A1335" s="15" t="s">
        <v>41</v>
      </c>
      <c r="B1335" s="7" t="s">
        <v>56</v>
      </c>
      <c r="C1335" s="7" t="s">
        <v>23</v>
      </c>
      <c r="D1335" s="7" t="s">
        <v>91</v>
      </c>
      <c r="E1335" s="13">
        <f t="shared" ca="1" si="20"/>
        <v>45854</v>
      </c>
      <c r="F1335" s="7" t="s">
        <v>21</v>
      </c>
      <c r="G1335" s="8">
        <v>8</v>
      </c>
      <c r="H1335" s="9">
        <v>12500</v>
      </c>
      <c r="I1335" s="9">
        <v>103780</v>
      </c>
      <c r="J1335" s="17">
        <v>8302</v>
      </c>
    </row>
    <row r="1336" spans="1:10" x14ac:dyDescent="0.3">
      <c r="A1336" s="14" t="s">
        <v>18</v>
      </c>
      <c r="B1336" s="4" t="s">
        <v>11</v>
      </c>
      <c r="C1336" s="4" t="s">
        <v>12</v>
      </c>
      <c r="D1336" s="4" t="s">
        <v>94</v>
      </c>
      <c r="E1336" s="13">
        <f t="shared" ca="1" si="20"/>
        <v>45914</v>
      </c>
      <c r="F1336" s="4" t="s">
        <v>33</v>
      </c>
      <c r="G1336" s="5">
        <v>6</v>
      </c>
      <c r="H1336" s="6">
        <v>45000</v>
      </c>
      <c r="I1336" s="6">
        <v>256521</v>
      </c>
      <c r="J1336" s="16">
        <v>46174</v>
      </c>
    </row>
    <row r="1337" spans="1:10" x14ac:dyDescent="0.3">
      <c r="A1337" s="15" t="s">
        <v>18</v>
      </c>
      <c r="B1337" s="7" t="s">
        <v>11</v>
      </c>
      <c r="C1337" s="7" t="s">
        <v>12</v>
      </c>
      <c r="D1337" s="7" t="s">
        <v>111</v>
      </c>
      <c r="E1337" s="13">
        <f t="shared" ca="1" si="20"/>
        <v>45878</v>
      </c>
      <c r="F1337" s="7" t="s">
        <v>36</v>
      </c>
      <c r="G1337" s="8">
        <v>8</v>
      </c>
      <c r="H1337" s="9">
        <v>55000</v>
      </c>
      <c r="I1337" s="9">
        <v>415680</v>
      </c>
      <c r="J1337" s="17">
        <v>91450</v>
      </c>
    </row>
    <row r="1338" spans="1:10" x14ac:dyDescent="0.3">
      <c r="A1338" s="14" t="s">
        <v>18</v>
      </c>
      <c r="B1338" s="4" t="s">
        <v>38</v>
      </c>
      <c r="C1338" s="4" t="s">
        <v>23</v>
      </c>
      <c r="D1338" s="4" t="s">
        <v>150</v>
      </c>
      <c r="E1338" s="13">
        <f t="shared" ca="1" si="20"/>
        <v>45959</v>
      </c>
      <c r="F1338" s="4" t="s">
        <v>36</v>
      </c>
      <c r="G1338" s="5">
        <v>7</v>
      </c>
      <c r="H1338" s="6">
        <v>55000</v>
      </c>
      <c r="I1338" s="6">
        <v>412072</v>
      </c>
      <c r="J1338" s="16">
        <v>90656</v>
      </c>
    </row>
    <row r="1339" spans="1:10" x14ac:dyDescent="0.3">
      <c r="A1339" s="15" t="s">
        <v>18</v>
      </c>
      <c r="B1339" s="7" t="s">
        <v>16</v>
      </c>
      <c r="C1339" s="7" t="s">
        <v>12</v>
      </c>
      <c r="D1339" s="7" t="s">
        <v>231</v>
      </c>
      <c r="E1339" s="13">
        <f t="shared" ca="1" si="20"/>
        <v>45667</v>
      </c>
      <c r="F1339" s="7" t="s">
        <v>40</v>
      </c>
      <c r="G1339" s="8">
        <v>9</v>
      </c>
      <c r="H1339" s="9">
        <v>15000</v>
      </c>
      <c r="I1339" s="9">
        <v>125829</v>
      </c>
      <c r="J1339" s="17">
        <v>12583</v>
      </c>
    </row>
    <row r="1340" spans="1:10" x14ac:dyDescent="0.3">
      <c r="A1340" s="14" t="s">
        <v>37</v>
      </c>
      <c r="B1340" s="4" t="s">
        <v>56</v>
      </c>
      <c r="C1340" s="4" t="s">
        <v>23</v>
      </c>
      <c r="D1340" s="4" t="s">
        <v>140</v>
      </c>
      <c r="E1340" s="13">
        <f t="shared" ca="1" si="20"/>
        <v>45956</v>
      </c>
      <c r="F1340" s="4" t="s">
        <v>40</v>
      </c>
      <c r="G1340" s="5">
        <v>1</v>
      </c>
      <c r="H1340" s="6">
        <v>15000</v>
      </c>
      <c r="I1340" s="6">
        <v>14556</v>
      </c>
      <c r="J1340" s="16">
        <v>1456</v>
      </c>
    </row>
    <row r="1341" spans="1:10" x14ac:dyDescent="0.3">
      <c r="A1341" s="15" t="s">
        <v>41</v>
      </c>
      <c r="B1341" s="7" t="s">
        <v>29</v>
      </c>
      <c r="C1341" s="7" t="s">
        <v>26</v>
      </c>
      <c r="D1341" s="7" t="s">
        <v>108</v>
      </c>
      <c r="E1341" s="13">
        <f t="shared" ca="1" si="20"/>
        <v>45679</v>
      </c>
      <c r="F1341" s="7" t="s">
        <v>33</v>
      </c>
      <c r="G1341" s="8">
        <v>2</v>
      </c>
      <c r="H1341" s="9">
        <v>45000</v>
      </c>
      <c r="I1341" s="9">
        <v>87789</v>
      </c>
      <c r="J1341" s="17">
        <v>15802</v>
      </c>
    </row>
    <row r="1342" spans="1:10" x14ac:dyDescent="0.3">
      <c r="A1342" s="14" t="s">
        <v>15</v>
      </c>
      <c r="B1342" s="4" t="s">
        <v>11</v>
      </c>
      <c r="C1342" s="4" t="s">
        <v>12</v>
      </c>
      <c r="D1342" s="4" t="s">
        <v>149</v>
      </c>
      <c r="E1342" s="13">
        <f t="shared" ca="1" si="20"/>
        <v>45885</v>
      </c>
      <c r="F1342" s="4" t="s">
        <v>21</v>
      </c>
      <c r="G1342" s="5">
        <v>2</v>
      </c>
      <c r="H1342" s="6">
        <v>12500</v>
      </c>
      <c r="I1342" s="6">
        <v>23436</v>
      </c>
      <c r="J1342" s="16">
        <v>1875</v>
      </c>
    </row>
    <row r="1343" spans="1:10" x14ac:dyDescent="0.3">
      <c r="A1343" s="15" t="s">
        <v>37</v>
      </c>
      <c r="B1343" s="7" t="s">
        <v>25</v>
      </c>
      <c r="C1343" s="7" t="s">
        <v>26</v>
      </c>
      <c r="D1343" s="7" t="s">
        <v>182</v>
      </c>
      <c r="E1343" s="13">
        <f t="shared" ca="1" si="20"/>
        <v>45765</v>
      </c>
      <c r="F1343" s="7" t="s">
        <v>36</v>
      </c>
      <c r="G1343" s="8">
        <v>7</v>
      </c>
      <c r="H1343" s="9">
        <v>55000</v>
      </c>
      <c r="I1343" s="9">
        <v>417940</v>
      </c>
      <c r="J1343" s="17">
        <v>91947</v>
      </c>
    </row>
    <row r="1344" spans="1:10" x14ac:dyDescent="0.3">
      <c r="A1344" s="14" t="s">
        <v>37</v>
      </c>
      <c r="B1344" s="4" t="s">
        <v>31</v>
      </c>
      <c r="C1344" s="4" t="s">
        <v>12</v>
      </c>
      <c r="D1344" s="4" t="s">
        <v>107</v>
      </c>
      <c r="E1344" s="13">
        <f t="shared" ca="1" si="20"/>
        <v>45731</v>
      </c>
      <c r="F1344" s="4" t="s">
        <v>40</v>
      </c>
      <c r="G1344" s="5">
        <v>3</v>
      </c>
      <c r="H1344" s="6">
        <v>15000</v>
      </c>
      <c r="I1344" s="6">
        <v>41959</v>
      </c>
      <c r="J1344" s="16">
        <v>4196</v>
      </c>
    </row>
    <row r="1345" spans="1:10" x14ac:dyDescent="0.3">
      <c r="A1345" s="15" t="s">
        <v>18</v>
      </c>
      <c r="B1345" s="7" t="s">
        <v>31</v>
      </c>
      <c r="C1345" s="7" t="s">
        <v>12</v>
      </c>
      <c r="D1345" s="7" t="s">
        <v>67</v>
      </c>
      <c r="E1345" s="13">
        <f t="shared" ca="1" si="20"/>
        <v>45863</v>
      </c>
      <c r="F1345" s="7" t="s">
        <v>33</v>
      </c>
      <c r="G1345" s="8">
        <v>10</v>
      </c>
      <c r="H1345" s="9">
        <v>45000</v>
      </c>
      <c r="I1345" s="9">
        <v>477691</v>
      </c>
      <c r="J1345" s="17">
        <v>85984</v>
      </c>
    </row>
    <row r="1346" spans="1:10" x14ac:dyDescent="0.3">
      <c r="A1346" s="14" t="s">
        <v>10</v>
      </c>
      <c r="B1346" s="4" t="s">
        <v>81</v>
      </c>
      <c r="C1346" s="4" t="s">
        <v>26</v>
      </c>
      <c r="D1346" s="4" t="s">
        <v>223</v>
      </c>
      <c r="E1346" s="13">
        <f t="shared" ca="1" si="20"/>
        <v>45774</v>
      </c>
      <c r="F1346" s="4" t="s">
        <v>21</v>
      </c>
      <c r="G1346" s="5">
        <v>4</v>
      </c>
      <c r="H1346" s="6">
        <v>12500</v>
      </c>
      <c r="I1346" s="6">
        <v>46078</v>
      </c>
      <c r="J1346" s="16">
        <v>3686</v>
      </c>
    </row>
    <row r="1347" spans="1:10" x14ac:dyDescent="0.3">
      <c r="A1347" s="15" t="s">
        <v>15</v>
      </c>
      <c r="B1347" s="7" t="s">
        <v>29</v>
      </c>
      <c r="C1347" s="7" t="s">
        <v>26</v>
      </c>
      <c r="D1347" s="7" t="s">
        <v>150</v>
      </c>
      <c r="E1347" s="13">
        <f t="shared" ref="E1347:E1410" ca="1" si="21">DATE(2025,1,1)+RANDBETWEEN(0,364)</f>
        <v>45876</v>
      </c>
      <c r="F1347" s="7" t="s">
        <v>14</v>
      </c>
      <c r="G1347" s="8">
        <v>3</v>
      </c>
      <c r="H1347" s="9">
        <v>18500</v>
      </c>
      <c r="I1347" s="9">
        <v>50375</v>
      </c>
      <c r="J1347" s="17">
        <v>6045</v>
      </c>
    </row>
    <row r="1348" spans="1:10" x14ac:dyDescent="0.3">
      <c r="A1348" s="14" t="s">
        <v>41</v>
      </c>
      <c r="B1348" s="4" t="s">
        <v>29</v>
      </c>
      <c r="C1348" s="4" t="s">
        <v>26</v>
      </c>
      <c r="D1348" s="4" t="s">
        <v>192</v>
      </c>
      <c r="E1348" s="13">
        <f t="shared" ca="1" si="21"/>
        <v>45945</v>
      </c>
      <c r="F1348" s="4" t="s">
        <v>36</v>
      </c>
      <c r="G1348" s="5">
        <v>10</v>
      </c>
      <c r="H1348" s="6">
        <v>55000</v>
      </c>
      <c r="I1348" s="6">
        <v>532707</v>
      </c>
      <c r="J1348" s="16">
        <v>117196</v>
      </c>
    </row>
    <row r="1349" spans="1:10" x14ac:dyDescent="0.3">
      <c r="A1349" s="15" t="s">
        <v>18</v>
      </c>
      <c r="B1349" s="7" t="s">
        <v>77</v>
      </c>
      <c r="C1349" s="7" t="s">
        <v>12</v>
      </c>
      <c r="D1349" s="7" t="s">
        <v>157</v>
      </c>
      <c r="E1349" s="13">
        <f t="shared" ca="1" si="21"/>
        <v>45806</v>
      </c>
      <c r="F1349" s="7" t="s">
        <v>21</v>
      </c>
      <c r="G1349" s="8">
        <v>8</v>
      </c>
      <c r="H1349" s="9">
        <v>12500</v>
      </c>
      <c r="I1349" s="9">
        <v>99867</v>
      </c>
      <c r="J1349" s="17">
        <v>7989</v>
      </c>
    </row>
    <row r="1350" spans="1:10" x14ac:dyDescent="0.3">
      <c r="A1350" s="14" t="s">
        <v>41</v>
      </c>
      <c r="B1350" s="4" t="s">
        <v>19</v>
      </c>
      <c r="C1350" s="4" t="s">
        <v>12</v>
      </c>
      <c r="D1350" s="4" t="s">
        <v>96</v>
      </c>
      <c r="E1350" s="13">
        <f t="shared" ca="1" si="21"/>
        <v>46004</v>
      </c>
      <c r="F1350" s="4" t="s">
        <v>21</v>
      </c>
      <c r="G1350" s="5">
        <v>7</v>
      </c>
      <c r="H1350" s="6">
        <v>12500</v>
      </c>
      <c r="I1350" s="6">
        <v>85856</v>
      </c>
      <c r="J1350" s="16">
        <v>6868</v>
      </c>
    </row>
    <row r="1351" spans="1:10" x14ac:dyDescent="0.3">
      <c r="A1351" s="15" t="s">
        <v>10</v>
      </c>
      <c r="B1351" s="7" t="s">
        <v>46</v>
      </c>
      <c r="C1351" s="7" t="s">
        <v>26</v>
      </c>
      <c r="D1351" s="7" t="s">
        <v>240</v>
      </c>
      <c r="E1351" s="13">
        <f t="shared" ca="1" si="21"/>
        <v>45956</v>
      </c>
      <c r="F1351" s="7" t="s">
        <v>14</v>
      </c>
      <c r="G1351" s="8">
        <v>8</v>
      </c>
      <c r="H1351" s="9">
        <v>18500</v>
      </c>
      <c r="I1351" s="9">
        <v>157607</v>
      </c>
      <c r="J1351" s="17">
        <v>18913</v>
      </c>
    </row>
    <row r="1352" spans="1:10" x14ac:dyDescent="0.3">
      <c r="A1352" s="14" t="s">
        <v>37</v>
      </c>
      <c r="B1352" s="4" t="s">
        <v>19</v>
      </c>
      <c r="C1352" s="4" t="s">
        <v>12</v>
      </c>
      <c r="D1352" s="4" t="s">
        <v>178</v>
      </c>
      <c r="E1352" s="13">
        <f t="shared" ca="1" si="21"/>
        <v>45668</v>
      </c>
      <c r="F1352" s="4" t="s">
        <v>21</v>
      </c>
      <c r="G1352" s="5">
        <v>5</v>
      </c>
      <c r="H1352" s="6">
        <v>12500</v>
      </c>
      <c r="I1352" s="6">
        <v>57378</v>
      </c>
      <c r="J1352" s="16">
        <v>4590</v>
      </c>
    </row>
    <row r="1353" spans="1:10" x14ac:dyDescent="0.3">
      <c r="A1353" s="15" t="s">
        <v>41</v>
      </c>
      <c r="B1353" s="7" t="s">
        <v>22</v>
      </c>
      <c r="C1353" s="7" t="s">
        <v>23</v>
      </c>
      <c r="D1353" s="7" t="s">
        <v>239</v>
      </c>
      <c r="E1353" s="13">
        <f t="shared" ca="1" si="21"/>
        <v>45706</v>
      </c>
      <c r="F1353" s="7" t="s">
        <v>40</v>
      </c>
      <c r="G1353" s="8">
        <v>10</v>
      </c>
      <c r="H1353" s="9">
        <v>15000</v>
      </c>
      <c r="I1353" s="9">
        <v>154890</v>
      </c>
      <c r="J1353" s="17">
        <v>15489</v>
      </c>
    </row>
    <row r="1354" spans="1:10" x14ac:dyDescent="0.3">
      <c r="A1354" s="14" t="s">
        <v>15</v>
      </c>
      <c r="B1354" s="4" t="s">
        <v>29</v>
      </c>
      <c r="C1354" s="4" t="s">
        <v>26</v>
      </c>
      <c r="D1354" s="4" t="s">
        <v>225</v>
      </c>
      <c r="E1354" s="13">
        <f t="shared" ca="1" si="21"/>
        <v>45963</v>
      </c>
      <c r="F1354" s="4" t="s">
        <v>21</v>
      </c>
      <c r="G1354" s="5">
        <v>9</v>
      </c>
      <c r="H1354" s="6">
        <v>12500</v>
      </c>
      <c r="I1354" s="6">
        <v>118517</v>
      </c>
      <c r="J1354" s="16">
        <v>9481</v>
      </c>
    </row>
    <row r="1355" spans="1:10" x14ac:dyDescent="0.3">
      <c r="A1355" s="15" t="s">
        <v>10</v>
      </c>
      <c r="B1355" s="7" t="s">
        <v>81</v>
      </c>
      <c r="C1355" s="7" t="s">
        <v>26</v>
      </c>
      <c r="D1355" s="7" t="s">
        <v>234</v>
      </c>
      <c r="E1355" s="13">
        <f t="shared" ca="1" si="21"/>
        <v>45660</v>
      </c>
      <c r="F1355" s="7" t="s">
        <v>33</v>
      </c>
      <c r="G1355" s="8">
        <v>2</v>
      </c>
      <c r="H1355" s="9">
        <v>45000</v>
      </c>
      <c r="I1355" s="9">
        <v>94328</v>
      </c>
      <c r="J1355" s="17">
        <v>16979</v>
      </c>
    </row>
    <row r="1356" spans="1:10" x14ac:dyDescent="0.3">
      <c r="A1356" s="14" t="s">
        <v>10</v>
      </c>
      <c r="B1356" s="4" t="s">
        <v>84</v>
      </c>
      <c r="C1356" s="4" t="s">
        <v>12</v>
      </c>
      <c r="D1356" s="4" t="s">
        <v>251</v>
      </c>
      <c r="E1356" s="13">
        <f t="shared" ca="1" si="21"/>
        <v>45717</v>
      </c>
      <c r="F1356" s="4" t="s">
        <v>40</v>
      </c>
      <c r="G1356" s="5">
        <v>6</v>
      </c>
      <c r="H1356" s="6">
        <v>15000</v>
      </c>
      <c r="I1356" s="6">
        <v>86191</v>
      </c>
      <c r="J1356" s="16">
        <v>8619</v>
      </c>
    </row>
    <row r="1357" spans="1:10" x14ac:dyDescent="0.3">
      <c r="A1357" s="15" t="s">
        <v>37</v>
      </c>
      <c r="B1357" s="7" t="s">
        <v>16</v>
      </c>
      <c r="C1357" s="7" t="s">
        <v>12</v>
      </c>
      <c r="D1357" s="7" t="s">
        <v>72</v>
      </c>
      <c r="E1357" s="13">
        <f t="shared" ca="1" si="21"/>
        <v>45747</v>
      </c>
      <c r="F1357" s="7" t="s">
        <v>33</v>
      </c>
      <c r="G1357" s="8">
        <v>8</v>
      </c>
      <c r="H1357" s="9">
        <v>45000</v>
      </c>
      <c r="I1357" s="9">
        <v>339797</v>
      </c>
      <c r="J1357" s="17">
        <v>61163</v>
      </c>
    </row>
    <row r="1358" spans="1:10" x14ac:dyDescent="0.3">
      <c r="A1358" s="14" t="s">
        <v>15</v>
      </c>
      <c r="B1358" s="4" t="s">
        <v>38</v>
      </c>
      <c r="C1358" s="4" t="s">
        <v>23</v>
      </c>
      <c r="D1358" s="4" t="s">
        <v>244</v>
      </c>
      <c r="E1358" s="13">
        <f t="shared" ca="1" si="21"/>
        <v>45859</v>
      </c>
      <c r="F1358" s="4" t="s">
        <v>21</v>
      </c>
      <c r="G1358" s="5">
        <v>3</v>
      </c>
      <c r="H1358" s="6">
        <v>12500</v>
      </c>
      <c r="I1358" s="6">
        <v>35548</v>
      </c>
      <c r="J1358" s="16">
        <v>2844</v>
      </c>
    </row>
    <row r="1359" spans="1:10" x14ac:dyDescent="0.3">
      <c r="A1359" s="15" t="s">
        <v>18</v>
      </c>
      <c r="B1359" s="7" t="s">
        <v>81</v>
      </c>
      <c r="C1359" s="7" t="s">
        <v>26</v>
      </c>
      <c r="D1359" s="7" t="s">
        <v>210</v>
      </c>
      <c r="E1359" s="13">
        <f t="shared" ca="1" si="21"/>
        <v>45940</v>
      </c>
      <c r="F1359" s="7" t="s">
        <v>14</v>
      </c>
      <c r="G1359" s="8">
        <v>9</v>
      </c>
      <c r="H1359" s="9">
        <v>18500</v>
      </c>
      <c r="I1359" s="9">
        <v>153368</v>
      </c>
      <c r="J1359" s="17">
        <v>18404</v>
      </c>
    </row>
    <row r="1360" spans="1:10" x14ac:dyDescent="0.3">
      <c r="A1360" s="14" t="s">
        <v>41</v>
      </c>
      <c r="B1360" s="4" t="s">
        <v>19</v>
      </c>
      <c r="C1360" s="4" t="s">
        <v>12</v>
      </c>
      <c r="D1360" s="4" t="s">
        <v>70</v>
      </c>
      <c r="E1360" s="13">
        <f t="shared" ca="1" si="21"/>
        <v>45694</v>
      </c>
      <c r="F1360" s="4" t="s">
        <v>36</v>
      </c>
      <c r="G1360" s="5">
        <v>7</v>
      </c>
      <c r="H1360" s="6">
        <v>55000</v>
      </c>
      <c r="I1360" s="6">
        <v>402680</v>
      </c>
      <c r="J1360" s="16">
        <v>88590</v>
      </c>
    </row>
    <row r="1361" spans="1:10" x14ac:dyDescent="0.3">
      <c r="A1361" s="15" t="s">
        <v>41</v>
      </c>
      <c r="B1361" s="7" t="s">
        <v>84</v>
      </c>
      <c r="C1361" s="7" t="s">
        <v>12</v>
      </c>
      <c r="D1361" s="7" t="s">
        <v>209</v>
      </c>
      <c r="E1361" s="13">
        <f t="shared" ca="1" si="21"/>
        <v>45818</v>
      </c>
      <c r="F1361" s="7" t="s">
        <v>33</v>
      </c>
      <c r="G1361" s="8">
        <v>4</v>
      </c>
      <c r="H1361" s="9">
        <v>45000</v>
      </c>
      <c r="I1361" s="9">
        <v>185101</v>
      </c>
      <c r="J1361" s="17">
        <v>33318</v>
      </c>
    </row>
    <row r="1362" spans="1:10" x14ac:dyDescent="0.3">
      <c r="A1362" s="14" t="s">
        <v>18</v>
      </c>
      <c r="B1362" s="4" t="s">
        <v>38</v>
      </c>
      <c r="C1362" s="4" t="s">
        <v>23</v>
      </c>
      <c r="D1362" s="4" t="s">
        <v>210</v>
      </c>
      <c r="E1362" s="13">
        <f t="shared" ca="1" si="21"/>
        <v>45847</v>
      </c>
      <c r="F1362" s="4" t="s">
        <v>33</v>
      </c>
      <c r="G1362" s="5">
        <v>4</v>
      </c>
      <c r="H1362" s="6">
        <v>45000</v>
      </c>
      <c r="I1362" s="6">
        <v>195261</v>
      </c>
      <c r="J1362" s="16">
        <v>35147</v>
      </c>
    </row>
    <row r="1363" spans="1:10" x14ac:dyDescent="0.3">
      <c r="A1363" s="15" t="s">
        <v>18</v>
      </c>
      <c r="B1363" s="7" t="s">
        <v>46</v>
      </c>
      <c r="C1363" s="7" t="s">
        <v>26</v>
      </c>
      <c r="D1363" s="7" t="s">
        <v>252</v>
      </c>
      <c r="E1363" s="13">
        <f t="shared" ca="1" si="21"/>
        <v>45864</v>
      </c>
      <c r="F1363" s="7" t="s">
        <v>36</v>
      </c>
      <c r="G1363" s="8">
        <v>10</v>
      </c>
      <c r="H1363" s="9">
        <v>55000</v>
      </c>
      <c r="I1363" s="9">
        <v>495512</v>
      </c>
      <c r="J1363" s="17">
        <v>109013</v>
      </c>
    </row>
    <row r="1364" spans="1:10" x14ac:dyDescent="0.3">
      <c r="A1364" s="14" t="s">
        <v>15</v>
      </c>
      <c r="B1364" s="4" t="s">
        <v>11</v>
      </c>
      <c r="C1364" s="4" t="s">
        <v>12</v>
      </c>
      <c r="D1364" s="4" t="s">
        <v>122</v>
      </c>
      <c r="E1364" s="13">
        <f t="shared" ca="1" si="21"/>
        <v>45773</v>
      </c>
      <c r="F1364" s="4" t="s">
        <v>33</v>
      </c>
      <c r="G1364" s="5">
        <v>7</v>
      </c>
      <c r="H1364" s="6">
        <v>45000</v>
      </c>
      <c r="I1364" s="6">
        <v>286060</v>
      </c>
      <c r="J1364" s="16">
        <v>51491</v>
      </c>
    </row>
    <row r="1365" spans="1:10" x14ac:dyDescent="0.3">
      <c r="A1365" s="15" t="s">
        <v>10</v>
      </c>
      <c r="B1365" s="7" t="s">
        <v>88</v>
      </c>
      <c r="C1365" s="7" t="s">
        <v>12</v>
      </c>
      <c r="D1365" s="7" t="s">
        <v>186</v>
      </c>
      <c r="E1365" s="13">
        <f t="shared" ca="1" si="21"/>
        <v>45672</v>
      </c>
      <c r="F1365" s="7" t="s">
        <v>40</v>
      </c>
      <c r="G1365" s="8">
        <v>4</v>
      </c>
      <c r="H1365" s="9">
        <v>15000</v>
      </c>
      <c r="I1365" s="9">
        <v>62331</v>
      </c>
      <c r="J1365" s="17">
        <v>6233</v>
      </c>
    </row>
    <row r="1366" spans="1:10" x14ac:dyDescent="0.3">
      <c r="A1366" s="14" t="s">
        <v>10</v>
      </c>
      <c r="B1366" s="4" t="s">
        <v>56</v>
      </c>
      <c r="C1366" s="4" t="s">
        <v>23</v>
      </c>
      <c r="D1366" s="4" t="s">
        <v>153</v>
      </c>
      <c r="E1366" s="13">
        <f t="shared" ca="1" si="21"/>
        <v>45794</v>
      </c>
      <c r="F1366" s="4" t="s">
        <v>14</v>
      </c>
      <c r="G1366" s="5">
        <v>8</v>
      </c>
      <c r="H1366" s="6">
        <v>18500</v>
      </c>
      <c r="I1366" s="6">
        <v>137913</v>
      </c>
      <c r="J1366" s="16">
        <v>16550</v>
      </c>
    </row>
    <row r="1367" spans="1:10" x14ac:dyDescent="0.3">
      <c r="A1367" s="15" t="s">
        <v>41</v>
      </c>
      <c r="B1367" s="7" t="s">
        <v>56</v>
      </c>
      <c r="C1367" s="7" t="s">
        <v>23</v>
      </c>
      <c r="D1367" s="7" t="s">
        <v>111</v>
      </c>
      <c r="E1367" s="13">
        <f t="shared" ca="1" si="21"/>
        <v>45784</v>
      </c>
      <c r="F1367" s="7" t="s">
        <v>40</v>
      </c>
      <c r="G1367" s="8">
        <v>6</v>
      </c>
      <c r="H1367" s="9">
        <v>15000</v>
      </c>
      <c r="I1367" s="9">
        <v>82681</v>
      </c>
      <c r="J1367" s="17">
        <v>8268</v>
      </c>
    </row>
    <row r="1368" spans="1:10" x14ac:dyDescent="0.3">
      <c r="A1368" s="14" t="s">
        <v>37</v>
      </c>
      <c r="B1368" s="4" t="s">
        <v>11</v>
      </c>
      <c r="C1368" s="4" t="s">
        <v>12</v>
      </c>
      <c r="D1368" s="4" t="s">
        <v>145</v>
      </c>
      <c r="E1368" s="13">
        <f t="shared" ca="1" si="21"/>
        <v>45706</v>
      </c>
      <c r="F1368" s="4" t="s">
        <v>21</v>
      </c>
      <c r="G1368" s="5">
        <v>10</v>
      </c>
      <c r="H1368" s="6">
        <v>12500</v>
      </c>
      <c r="I1368" s="6">
        <v>123346</v>
      </c>
      <c r="J1368" s="16">
        <v>9868</v>
      </c>
    </row>
    <row r="1369" spans="1:10" x14ac:dyDescent="0.3">
      <c r="A1369" s="15" t="s">
        <v>18</v>
      </c>
      <c r="B1369" s="7" t="s">
        <v>25</v>
      </c>
      <c r="C1369" s="7" t="s">
        <v>26</v>
      </c>
      <c r="D1369" s="7" t="s">
        <v>171</v>
      </c>
      <c r="E1369" s="13">
        <f t="shared" ca="1" si="21"/>
        <v>45736</v>
      </c>
      <c r="F1369" s="7" t="s">
        <v>33</v>
      </c>
      <c r="G1369" s="8">
        <v>8</v>
      </c>
      <c r="H1369" s="9">
        <v>45000</v>
      </c>
      <c r="I1369" s="9">
        <v>388260</v>
      </c>
      <c r="J1369" s="17">
        <v>69887</v>
      </c>
    </row>
    <row r="1370" spans="1:10" x14ac:dyDescent="0.3">
      <c r="A1370" s="14" t="s">
        <v>37</v>
      </c>
      <c r="B1370" s="4" t="s">
        <v>11</v>
      </c>
      <c r="C1370" s="4" t="s">
        <v>12</v>
      </c>
      <c r="D1370" s="4" t="s">
        <v>240</v>
      </c>
      <c r="E1370" s="13">
        <f t="shared" ca="1" si="21"/>
        <v>45987</v>
      </c>
      <c r="F1370" s="4" t="s">
        <v>21</v>
      </c>
      <c r="G1370" s="5">
        <v>4</v>
      </c>
      <c r="H1370" s="6">
        <v>12500</v>
      </c>
      <c r="I1370" s="6">
        <v>46502</v>
      </c>
      <c r="J1370" s="16">
        <v>3720</v>
      </c>
    </row>
    <row r="1371" spans="1:10" x14ac:dyDescent="0.3">
      <c r="A1371" s="15" t="s">
        <v>18</v>
      </c>
      <c r="B1371" s="7" t="s">
        <v>16</v>
      </c>
      <c r="C1371" s="7" t="s">
        <v>12</v>
      </c>
      <c r="D1371" s="7" t="s">
        <v>186</v>
      </c>
      <c r="E1371" s="13">
        <f t="shared" ca="1" si="21"/>
        <v>45921</v>
      </c>
      <c r="F1371" s="7" t="s">
        <v>33</v>
      </c>
      <c r="G1371" s="8">
        <v>5</v>
      </c>
      <c r="H1371" s="9">
        <v>45000</v>
      </c>
      <c r="I1371" s="9">
        <v>231916</v>
      </c>
      <c r="J1371" s="17">
        <v>41745</v>
      </c>
    </row>
    <row r="1372" spans="1:10" x14ac:dyDescent="0.3">
      <c r="A1372" s="14" t="s">
        <v>15</v>
      </c>
      <c r="B1372" s="4" t="s">
        <v>38</v>
      </c>
      <c r="C1372" s="4" t="s">
        <v>23</v>
      </c>
      <c r="D1372" s="4" t="s">
        <v>139</v>
      </c>
      <c r="E1372" s="13">
        <f t="shared" ca="1" si="21"/>
        <v>45870</v>
      </c>
      <c r="F1372" s="4" t="s">
        <v>36</v>
      </c>
      <c r="G1372" s="5">
        <v>2</v>
      </c>
      <c r="H1372" s="6">
        <v>55000</v>
      </c>
      <c r="I1372" s="6">
        <v>112028</v>
      </c>
      <c r="J1372" s="16">
        <v>24646</v>
      </c>
    </row>
    <row r="1373" spans="1:10" x14ac:dyDescent="0.3">
      <c r="A1373" s="15" t="s">
        <v>37</v>
      </c>
      <c r="B1373" s="7" t="s">
        <v>51</v>
      </c>
      <c r="C1373" s="7" t="s">
        <v>12</v>
      </c>
      <c r="D1373" s="7" t="s">
        <v>50</v>
      </c>
      <c r="E1373" s="13">
        <f t="shared" ca="1" si="21"/>
        <v>45935</v>
      </c>
      <c r="F1373" s="7" t="s">
        <v>33</v>
      </c>
      <c r="G1373" s="8">
        <v>5</v>
      </c>
      <c r="H1373" s="9">
        <v>45000</v>
      </c>
      <c r="I1373" s="9">
        <v>237380</v>
      </c>
      <c r="J1373" s="17">
        <v>42728</v>
      </c>
    </row>
    <row r="1374" spans="1:10" x14ac:dyDescent="0.3">
      <c r="A1374" s="14" t="s">
        <v>15</v>
      </c>
      <c r="B1374" s="4" t="s">
        <v>77</v>
      </c>
      <c r="C1374" s="4" t="s">
        <v>12</v>
      </c>
      <c r="D1374" s="4" t="s">
        <v>190</v>
      </c>
      <c r="E1374" s="13">
        <f t="shared" ca="1" si="21"/>
        <v>45855</v>
      </c>
      <c r="F1374" s="4" t="s">
        <v>36</v>
      </c>
      <c r="G1374" s="5">
        <v>2</v>
      </c>
      <c r="H1374" s="6">
        <v>55000</v>
      </c>
      <c r="I1374" s="6">
        <v>117845</v>
      </c>
      <c r="J1374" s="16">
        <v>25926</v>
      </c>
    </row>
    <row r="1375" spans="1:10" x14ac:dyDescent="0.3">
      <c r="A1375" s="15" t="s">
        <v>18</v>
      </c>
      <c r="B1375" s="7" t="s">
        <v>56</v>
      </c>
      <c r="C1375" s="7" t="s">
        <v>23</v>
      </c>
      <c r="D1375" s="7" t="s">
        <v>71</v>
      </c>
      <c r="E1375" s="13">
        <f t="shared" ca="1" si="21"/>
        <v>45872</v>
      </c>
      <c r="F1375" s="7" t="s">
        <v>33</v>
      </c>
      <c r="G1375" s="8">
        <v>2</v>
      </c>
      <c r="H1375" s="9">
        <v>45000</v>
      </c>
      <c r="I1375" s="9">
        <v>87928</v>
      </c>
      <c r="J1375" s="17">
        <v>15827</v>
      </c>
    </row>
    <row r="1376" spans="1:10" x14ac:dyDescent="0.3">
      <c r="A1376" s="14" t="s">
        <v>41</v>
      </c>
      <c r="B1376" s="4" t="s">
        <v>31</v>
      </c>
      <c r="C1376" s="4" t="s">
        <v>12</v>
      </c>
      <c r="D1376" s="4" t="s">
        <v>163</v>
      </c>
      <c r="E1376" s="13">
        <f t="shared" ca="1" si="21"/>
        <v>45823</v>
      </c>
      <c r="F1376" s="4" t="s">
        <v>21</v>
      </c>
      <c r="G1376" s="5">
        <v>9</v>
      </c>
      <c r="H1376" s="6">
        <v>12500</v>
      </c>
      <c r="I1376" s="6">
        <v>112995</v>
      </c>
      <c r="J1376" s="16">
        <v>9040</v>
      </c>
    </row>
    <row r="1377" spans="1:10" x14ac:dyDescent="0.3">
      <c r="A1377" s="15" t="s">
        <v>15</v>
      </c>
      <c r="B1377" s="7" t="s">
        <v>11</v>
      </c>
      <c r="C1377" s="7" t="s">
        <v>12</v>
      </c>
      <c r="D1377" s="7" t="s">
        <v>58</v>
      </c>
      <c r="E1377" s="13">
        <f t="shared" ca="1" si="21"/>
        <v>45865</v>
      </c>
      <c r="F1377" s="7" t="s">
        <v>36</v>
      </c>
      <c r="G1377" s="8">
        <v>7</v>
      </c>
      <c r="H1377" s="9">
        <v>55000</v>
      </c>
      <c r="I1377" s="9">
        <v>379535</v>
      </c>
      <c r="J1377" s="17">
        <v>83498</v>
      </c>
    </row>
    <row r="1378" spans="1:10" x14ac:dyDescent="0.3">
      <c r="A1378" s="14" t="s">
        <v>15</v>
      </c>
      <c r="B1378" s="4" t="s">
        <v>56</v>
      </c>
      <c r="C1378" s="4" t="s">
        <v>23</v>
      </c>
      <c r="D1378" s="4" t="s">
        <v>97</v>
      </c>
      <c r="E1378" s="13">
        <f t="shared" ca="1" si="21"/>
        <v>45861</v>
      </c>
      <c r="F1378" s="4" t="s">
        <v>14</v>
      </c>
      <c r="G1378" s="5">
        <v>6</v>
      </c>
      <c r="H1378" s="6">
        <v>18500</v>
      </c>
      <c r="I1378" s="6">
        <v>112413</v>
      </c>
      <c r="J1378" s="16">
        <v>13490</v>
      </c>
    </row>
    <row r="1379" spans="1:10" x14ac:dyDescent="0.3">
      <c r="A1379" s="15" t="s">
        <v>37</v>
      </c>
      <c r="B1379" s="7" t="s">
        <v>84</v>
      </c>
      <c r="C1379" s="7" t="s">
        <v>12</v>
      </c>
      <c r="D1379" s="7" t="s">
        <v>122</v>
      </c>
      <c r="E1379" s="13">
        <f t="shared" ca="1" si="21"/>
        <v>45681</v>
      </c>
      <c r="F1379" s="7" t="s">
        <v>33</v>
      </c>
      <c r="G1379" s="8">
        <v>2</v>
      </c>
      <c r="H1379" s="9">
        <v>45000</v>
      </c>
      <c r="I1379" s="9">
        <v>94430</v>
      </c>
      <c r="J1379" s="17">
        <v>16997</v>
      </c>
    </row>
    <row r="1380" spans="1:10" x14ac:dyDescent="0.3">
      <c r="A1380" s="14" t="s">
        <v>37</v>
      </c>
      <c r="B1380" s="4" t="s">
        <v>81</v>
      </c>
      <c r="C1380" s="4" t="s">
        <v>26</v>
      </c>
      <c r="D1380" s="4" t="s">
        <v>199</v>
      </c>
      <c r="E1380" s="13">
        <f t="shared" ca="1" si="21"/>
        <v>45714</v>
      </c>
      <c r="F1380" s="4" t="s">
        <v>21</v>
      </c>
      <c r="G1380" s="5">
        <v>8</v>
      </c>
      <c r="H1380" s="6">
        <v>12500</v>
      </c>
      <c r="I1380" s="6">
        <v>99812</v>
      </c>
      <c r="J1380" s="16">
        <v>7985</v>
      </c>
    </row>
    <row r="1381" spans="1:10" x14ac:dyDescent="0.3">
      <c r="A1381" s="15" t="s">
        <v>41</v>
      </c>
      <c r="B1381" s="7" t="s">
        <v>38</v>
      </c>
      <c r="C1381" s="7" t="s">
        <v>23</v>
      </c>
      <c r="D1381" s="7" t="s">
        <v>172</v>
      </c>
      <c r="E1381" s="13">
        <f t="shared" ca="1" si="21"/>
        <v>45800</v>
      </c>
      <c r="F1381" s="7" t="s">
        <v>40</v>
      </c>
      <c r="G1381" s="8">
        <v>7</v>
      </c>
      <c r="H1381" s="9">
        <v>15000</v>
      </c>
      <c r="I1381" s="9">
        <v>111783</v>
      </c>
      <c r="J1381" s="17">
        <v>11178</v>
      </c>
    </row>
    <row r="1382" spans="1:10" x14ac:dyDescent="0.3">
      <c r="A1382" s="14" t="s">
        <v>15</v>
      </c>
      <c r="B1382" s="4" t="s">
        <v>11</v>
      </c>
      <c r="C1382" s="4" t="s">
        <v>12</v>
      </c>
      <c r="D1382" s="4" t="s">
        <v>261</v>
      </c>
      <c r="E1382" s="13">
        <f t="shared" ca="1" si="21"/>
        <v>45997</v>
      </c>
      <c r="F1382" s="4" t="s">
        <v>14</v>
      </c>
      <c r="G1382" s="5">
        <v>6</v>
      </c>
      <c r="H1382" s="6">
        <v>18500</v>
      </c>
      <c r="I1382" s="6">
        <v>103525</v>
      </c>
      <c r="J1382" s="16">
        <v>12423</v>
      </c>
    </row>
    <row r="1383" spans="1:10" x14ac:dyDescent="0.3">
      <c r="A1383" s="15" t="s">
        <v>41</v>
      </c>
      <c r="B1383" s="7" t="s">
        <v>46</v>
      </c>
      <c r="C1383" s="7" t="s">
        <v>26</v>
      </c>
      <c r="D1383" s="7" t="s">
        <v>189</v>
      </c>
      <c r="E1383" s="13">
        <f t="shared" ca="1" si="21"/>
        <v>45973</v>
      </c>
      <c r="F1383" s="7" t="s">
        <v>14</v>
      </c>
      <c r="G1383" s="8">
        <v>5</v>
      </c>
      <c r="H1383" s="9">
        <v>18500</v>
      </c>
      <c r="I1383" s="9">
        <v>88313</v>
      </c>
      <c r="J1383" s="17">
        <v>10598</v>
      </c>
    </row>
    <row r="1384" spans="1:10" x14ac:dyDescent="0.3">
      <c r="A1384" s="14" t="s">
        <v>41</v>
      </c>
      <c r="B1384" s="4" t="s">
        <v>46</v>
      </c>
      <c r="C1384" s="4" t="s">
        <v>26</v>
      </c>
      <c r="D1384" s="4" t="s">
        <v>133</v>
      </c>
      <c r="E1384" s="13">
        <f t="shared" ca="1" si="21"/>
        <v>45736</v>
      </c>
      <c r="F1384" s="4" t="s">
        <v>40</v>
      </c>
      <c r="G1384" s="5">
        <v>8</v>
      </c>
      <c r="H1384" s="6">
        <v>15000</v>
      </c>
      <c r="I1384" s="6">
        <v>114506</v>
      </c>
      <c r="J1384" s="16">
        <v>11451</v>
      </c>
    </row>
    <row r="1385" spans="1:10" x14ac:dyDescent="0.3">
      <c r="A1385" s="15" t="s">
        <v>41</v>
      </c>
      <c r="B1385" s="7" t="s">
        <v>77</v>
      </c>
      <c r="C1385" s="7" t="s">
        <v>12</v>
      </c>
      <c r="D1385" s="7" t="s">
        <v>54</v>
      </c>
      <c r="E1385" s="13">
        <f t="shared" ca="1" si="21"/>
        <v>45689</v>
      </c>
      <c r="F1385" s="7" t="s">
        <v>33</v>
      </c>
      <c r="G1385" s="8">
        <v>7</v>
      </c>
      <c r="H1385" s="9">
        <v>45000</v>
      </c>
      <c r="I1385" s="9">
        <v>325898</v>
      </c>
      <c r="J1385" s="17">
        <v>58662</v>
      </c>
    </row>
    <row r="1386" spans="1:10" x14ac:dyDescent="0.3">
      <c r="A1386" s="14" t="s">
        <v>10</v>
      </c>
      <c r="B1386" s="4" t="s">
        <v>22</v>
      </c>
      <c r="C1386" s="4" t="s">
        <v>23</v>
      </c>
      <c r="D1386" s="4" t="s">
        <v>62</v>
      </c>
      <c r="E1386" s="13">
        <f t="shared" ca="1" si="21"/>
        <v>45840</v>
      </c>
      <c r="F1386" s="4" t="s">
        <v>36</v>
      </c>
      <c r="G1386" s="5">
        <v>8</v>
      </c>
      <c r="H1386" s="6">
        <v>55000</v>
      </c>
      <c r="I1386" s="6">
        <v>423561</v>
      </c>
      <c r="J1386" s="16">
        <v>93183</v>
      </c>
    </row>
    <row r="1387" spans="1:10" x14ac:dyDescent="0.3">
      <c r="A1387" s="15" t="s">
        <v>37</v>
      </c>
      <c r="B1387" s="7" t="s">
        <v>31</v>
      </c>
      <c r="C1387" s="7" t="s">
        <v>12</v>
      </c>
      <c r="D1387" s="7" t="s">
        <v>187</v>
      </c>
      <c r="E1387" s="13">
        <f t="shared" ca="1" si="21"/>
        <v>45714</v>
      </c>
      <c r="F1387" s="7" t="s">
        <v>21</v>
      </c>
      <c r="G1387" s="8">
        <v>9</v>
      </c>
      <c r="H1387" s="9">
        <v>12500</v>
      </c>
      <c r="I1387" s="9">
        <v>113961</v>
      </c>
      <c r="J1387" s="17">
        <v>9117</v>
      </c>
    </row>
    <row r="1388" spans="1:10" x14ac:dyDescent="0.3">
      <c r="A1388" s="14" t="s">
        <v>15</v>
      </c>
      <c r="B1388" s="4" t="s">
        <v>56</v>
      </c>
      <c r="C1388" s="4" t="s">
        <v>23</v>
      </c>
      <c r="D1388" s="4" t="s">
        <v>132</v>
      </c>
      <c r="E1388" s="13">
        <f t="shared" ca="1" si="21"/>
        <v>45851</v>
      </c>
      <c r="F1388" s="4" t="s">
        <v>33</v>
      </c>
      <c r="G1388" s="5">
        <v>4</v>
      </c>
      <c r="H1388" s="6">
        <v>45000</v>
      </c>
      <c r="I1388" s="6">
        <v>180804</v>
      </c>
      <c r="J1388" s="16">
        <v>32545</v>
      </c>
    </row>
    <row r="1389" spans="1:10" x14ac:dyDescent="0.3">
      <c r="A1389" s="15" t="s">
        <v>18</v>
      </c>
      <c r="B1389" s="7" t="s">
        <v>51</v>
      </c>
      <c r="C1389" s="7" t="s">
        <v>12</v>
      </c>
      <c r="D1389" s="7" t="s">
        <v>170</v>
      </c>
      <c r="E1389" s="13">
        <f t="shared" ca="1" si="21"/>
        <v>45806</v>
      </c>
      <c r="F1389" s="7" t="s">
        <v>36</v>
      </c>
      <c r="G1389" s="8">
        <v>9</v>
      </c>
      <c r="H1389" s="9">
        <v>55000</v>
      </c>
      <c r="I1389" s="9">
        <v>467136</v>
      </c>
      <c r="J1389" s="17">
        <v>102770</v>
      </c>
    </row>
    <row r="1390" spans="1:10" x14ac:dyDescent="0.3">
      <c r="A1390" s="14" t="s">
        <v>37</v>
      </c>
      <c r="B1390" s="4" t="s">
        <v>22</v>
      </c>
      <c r="C1390" s="4" t="s">
        <v>23</v>
      </c>
      <c r="D1390" s="4" t="s">
        <v>184</v>
      </c>
      <c r="E1390" s="13">
        <f t="shared" ca="1" si="21"/>
        <v>45682</v>
      </c>
      <c r="F1390" s="4" t="s">
        <v>36</v>
      </c>
      <c r="G1390" s="5">
        <v>10</v>
      </c>
      <c r="H1390" s="6">
        <v>55000</v>
      </c>
      <c r="I1390" s="6">
        <v>566702</v>
      </c>
      <c r="J1390" s="16">
        <v>124674</v>
      </c>
    </row>
    <row r="1391" spans="1:10" x14ac:dyDescent="0.3">
      <c r="A1391" s="15" t="s">
        <v>37</v>
      </c>
      <c r="B1391" s="7" t="s">
        <v>88</v>
      </c>
      <c r="C1391" s="7" t="s">
        <v>12</v>
      </c>
      <c r="D1391" s="7" t="s">
        <v>89</v>
      </c>
      <c r="E1391" s="13">
        <f t="shared" ca="1" si="21"/>
        <v>45757</v>
      </c>
      <c r="F1391" s="7" t="s">
        <v>40</v>
      </c>
      <c r="G1391" s="8">
        <v>9</v>
      </c>
      <c r="H1391" s="9">
        <v>15000</v>
      </c>
      <c r="I1391" s="9">
        <v>140450</v>
      </c>
      <c r="J1391" s="17">
        <v>14045</v>
      </c>
    </row>
    <row r="1392" spans="1:10" x14ac:dyDescent="0.3">
      <c r="A1392" s="14" t="s">
        <v>37</v>
      </c>
      <c r="B1392" s="4" t="s">
        <v>88</v>
      </c>
      <c r="C1392" s="4" t="s">
        <v>12</v>
      </c>
      <c r="D1392" s="4" t="s">
        <v>135</v>
      </c>
      <c r="E1392" s="13">
        <f t="shared" ca="1" si="21"/>
        <v>45739</v>
      </c>
      <c r="F1392" s="4" t="s">
        <v>21</v>
      </c>
      <c r="G1392" s="5">
        <v>10</v>
      </c>
      <c r="H1392" s="6">
        <v>12500</v>
      </c>
      <c r="I1392" s="6">
        <v>120098</v>
      </c>
      <c r="J1392" s="16">
        <v>9608</v>
      </c>
    </row>
    <row r="1393" spans="1:10" x14ac:dyDescent="0.3">
      <c r="A1393" s="15" t="s">
        <v>15</v>
      </c>
      <c r="B1393" s="7" t="s">
        <v>84</v>
      </c>
      <c r="C1393" s="7" t="s">
        <v>12</v>
      </c>
      <c r="D1393" s="7" t="s">
        <v>82</v>
      </c>
      <c r="E1393" s="13">
        <f t="shared" ca="1" si="21"/>
        <v>45800</v>
      </c>
      <c r="F1393" s="7" t="s">
        <v>40</v>
      </c>
      <c r="G1393" s="8">
        <v>7</v>
      </c>
      <c r="H1393" s="9">
        <v>15000</v>
      </c>
      <c r="I1393" s="9">
        <v>97479</v>
      </c>
      <c r="J1393" s="17">
        <v>9748</v>
      </c>
    </row>
    <row r="1394" spans="1:10" x14ac:dyDescent="0.3">
      <c r="A1394" s="14" t="s">
        <v>41</v>
      </c>
      <c r="B1394" s="4" t="s">
        <v>46</v>
      </c>
      <c r="C1394" s="4" t="s">
        <v>26</v>
      </c>
      <c r="D1394" s="4" t="s">
        <v>216</v>
      </c>
      <c r="E1394" s="13">
        <f t="shared" ca="1" si="21"/>
        <v>45956</v>
      </c>
      <c r="F1394" s="4" t="s">
        <v>33</v>
      </c>
      <c r="G1394" s="5">
        <v>7</v>
      </c>
      <c r="H1394" s="6">
        <v>45000</v>
      </c>
      <c r="I1394" s="6">
        <v>289593</v>
      </c>
      <c r="J1394" s="16">
        <v>52127</v>
      </c>
    </row>
    <row r="1395" spans="1:10" x14ac:dyDescent="0.3">
      <c r="A1395" s="15" t="s">
        <v>37</v>
      </c>
      <c r="B1395" s="7" t="s">
        <v>84</v>
      </c>
      <c r="C1395" s="7" t="s">
        <v>12</v>
      </c>
      <c r="D1395" s="7" t="s">
        <v>167</v>
      </c>
      <c r="E1395" s="13">
        <f t="shared" ca="1" si="21"/>
        <v>45731</v>
      </c>
      <c r="F1395" s="7" t="s">
        <v>33</v>
      </c>
      <c r="G1395" s="8">
        <v>6</v>
      </c>
      <c r="H1395" s="9">
        <v>45000</v>
      </c>
      <c r="I1395" s="9">
        <v>262848</v>
      </c>
      <c r="J1395" s="17">
        <v>47313</v>
      </c>
    </row>
    <row r="1396" spans="1:10" x14ac:dyDescent="0.3">
      <c r="A1396" s="14" t="s">
        <v>10</v>
      </c>
      <c r="B1396" s="4" t="s">
        <v>46</v>
      </c>
      <c r="C1396" s="4" t="s">
        <v>26</v>
      </c>
      <c r="D1396" s="4" t="s">
        <v>79</v>
      </c>
      <c r="E1396" s="13">
        <f t="shared" ca="1" si="21"/>
        <v>45799</v>
      </c>
      <c r="F1396" s="4" t="s">
        <v>14</v>
      </c>
      <c r="G1396" s="5">
        <v>2</v>
      </c>
      <c r="H1396" s="6">
        <v>18500</v>
      </c>
      <c r="I1396" s="6">
        <v>33388</v>
      </c>
      <c r="J1396" s="16">
        <v>4007</v>
      </c>
    </row>
    <row r="1397" spans="1:10" x14ac:dyDescent="0.3">
      <c r="A1397" s="15" t="s">
        <v>15</v>
      </c>
      <c r="B1397" s="7" t="s">
        <v>29</v>
      </c>
      <c r="C1397" s="7" t="s">
        <v>26</v>
      </c>
      <c r="D1397" s="7" t="s">
        <v>136</v>
      </c>
      <c r="E1397" s="13">
        <f t="shared" ca="1" si="21"/>
        <v>45980</v>
      </c>
      <c r="F1397" s="7" t="s">
        <v>33</v>
      </c>
      <c r="G1397" s="8">
        <v>4</v>
      </c>
      <c r="H1397" s="9">
        <v>45000</v>
      </c>
      <c r="I1397" s="9">
        <v>163722</v>
      </c>
      <c r="J1397" s="17">
        <v>29470</v>
      </c>
    </row>
    <row r="1398" spans="1:10" x14ac:dyDescent="0.3">
      <c r="A1398" s="14" t="s">
        <v>37</v>
      </c>
      <c r="B1398" s="4" t="s">
        <v>29</v>
      </c>
      <c r="C1398" s="4" t="s">
        <v>26</v>
      </c>
      <c r="D1398" s="4" t="s">
        <v>177</v>
      </c>
      <c r="E1398" s="13">
        <f t="shared" ca="1" si="21"/>
        <v>45792</v>
      </c>
      <c r="F1398" s="4" t="s">
        <v>40</v>
      </c>
      <c r="G1398" s="5">
        <v>2</v>
      </c>
      <c r="H1398" s="6">
        <v>15000</v>
      </c>
      <c r="I1398" s="6">
        <v>28710</v>
      </c>
      <c r="J1398" s="16">
        <v>2871</v>
      </c>
    </row>
    <row r="1399" spans="1:10" x14ac:dyDescent="0.3">
      <c r="A1399" s="15" t="s">
        <v>37</v>
      </c>
      <c r="B1399" s="7" t="s">
        <v>19</v>
      </c>
      <c r="C1399" s="7" t="s">
        <v>12</v>
      </c>
      <c r="D1399" s="7" t="s">
        <v>96</v>
      </c>
      <c r="E1399" s="13">
        <f t="shared" ca="1" si="21"/>
        <v>45694</v>
      </c>
      <c r="F1399" s="7" t="s">
        <v>14</v>
      </c>
      <c r="G1399" s="8">
        <v>2</v>
      </c>
      <c r="H1399" s="9">
        <v>18500</v>
      </c>
      <c r="I1399" s="9">
        <v>35991</v>
      </c>
      <c r="J1399" s="17">
        <v>4319</v>
      </c>
    </row>
    <row r="1400" spans="1:10" x14ac:dyDescent="0.3">
      <c r="A1400" s="14" t="s">
        <v>10</v>
      </c>
      <c r="B1400" s="4" t="s">
        <v>77</v>
      </c>
      <c r="C1400" s="4" t="s">
        <v>12</v>
      </c>
      <c r="D1400" s="4" t="s">
        <v>218</v>
      </c>
      <c r="E1400" s="13">
        <f t="shared" ca="1" si="21"/>
        <v>45826</v>
      </c>
      <c r="F1400" s="4" t="s">
        <v>40</v>
      </c>
      <c r="G1400" s="5">
        <v>1</v>
      </c>
      <c r="H1400" s="6">
        <v>15000</v>
      </c>
      <c r="I1400" s="6">
        <v>14674</v>
      </c>
      <c r="J1400" s="16">
        <v>1467</v>
      </c>
    </row>
    <row r="1401" spans="1:10" x14ac:dyDescent="0.3">
      <c r="A1401" s="15" t="s">
        <v>18</v>
      </c>
      <c r="B1401" s="7" t="s">
        <v>84</v>
      </c>
      <c r="C1401" s="7" t="s">
        <v>12</v>
      </c>
      <c r="D1401" s="7" t="s">
        <v>104</v>
      </c>
      <c r="E1401" s="13">
        <f t="shared" ca="1" si="21"/>
        <v>46013</v>
      </c>
      <c r="F1401" s="7" t="s">
        <v>36</v>
      </c>
      <c r="G1401" s="8">
        <v>1</v>
      </c>
      <c r="H1401" s="9">
        <v>55000</v>
      </c>
      <c r="I1401" s="9">
        <v>59992</v>
      </c>
      <c r="J1401" s="17">
        <v>13198</v>
      </c>
    </row>
    <row r="1402" spans="1:10" x14ac:dyDescent="0.3">
      <c r="A1402" s="14" t="s">
        <v>15</v>
      </c>
      <c r="B1402" s="4" t="s">
        <v>46</v>
      </c>
      <c r="C1402" s="4" t="s">
        <v>26</v>
      </c>
      <c r="D1402" s="4" t="s">
        <v>133</v>
      </c>
      <c r="E1402" s="13">
        <f t="shared" ca="1" si="21"/>
        <v>45810</v>
      </c>
      <c r="F1402" s="4" t="s">
        <v>21</v>
      </c>
      <c r="G1402" s="5">
        <v>9</v>
      </c>
      <c r="H1402" s="6">
        <v>12500</v>
      </c>
      <c r="I1402" s="6">
        <v>107818</v>
      </c>
      <c r="J1402" s="16">
        <v>8625</v>
      </c>
    </row>
    <row r="1403" spans="1:10" x14ac:dyDescent="0.3">
      <c r="A1403" s="15" t="s">
        <v>41</v>
      </c>
      <c r="B1403" s="7" t="s">
        <v>22</v>
      </c>
      <c r="C1403" s="7" t="s">
        <v>23</v>
      </c>
      <c r="D1403" s="7" t="s">
        <v>191</v>
      </c>
      <c r="E1403" s="13">
        <f t="shared" ca="1" si="21"/>
        <v>45839</v>
      </c>
      <c r="F1403" s="7" t="s">
        <v>33</v>
      </c>
      <c r="G1403" s="8">
        <v>2</v>
      </c>
      <c r="H1403" s="9">
        <v>45000</v>
      </c>
      <c r="I1403" s="9">
        <v>86960</v>
      </c>
      <c r="J1403" s="17">
        <v>15653</v>
      </c>
    </row>
    <row r="1404" spans="1:10" x14ac:dyDescent="0.3">
      <c r="A1404" s="14" t="s">
        <v>41</v>
      </c>
      <c r="B1404" s="4" t="s">
        <v>77</v>
      </c>
      <c r="C1404" s="4" t="s">
        <v>12</v>
      </c>
      <c r="D1404" s="4" t="s">
        <v>147</v>
      </c>
      <c r="E1404" s="13">
        <f t="shared" ca="1" si="21"/>
        <v>46006</v>
      </c>
      <c r="F1404" s="4" t="s">
        <v>40</v>
      </c>
      <c r="G1404" s="5">
        <v>6</v>
      </c>
      <c r="H1404" s="6">
        <v>15000</v>
      </c>
      <c r="I1404" s="6">
        <v>97591</v>
      </c>
      <c r="J1404" s="16">
        <v>9759</v>
      </c>
    </row>
    <row r="1405" spans="1:10" x14ac:dyDescent="0.3">
      <c r="A1405" s="15" t="s">
        <v>37</v>
      </c>
      <c r="B1405" s="7" t="s">
        <v>77</v>
      </c>
      <c r="C1405" s="7" t="s">
        <v>12</v>
      </c>
      <c r="D1405" s="7" t="s">
        <v>201</v>
      </c>
      <c r="E1405" s="13">
        <f t="shared" ca="1" si="21"/>
        <v>45973</v>
      </c>
      <c r="F1405" s="7" t="s">
        <v>33</v>
      </c>
      <c r="G1405" s="8">
        <v>3</v>
      </c>
      <c r="H1405" s="9">
        <v>45000</v>
      </c>
      <c r="I1405" s="9">
        <v>135105</v>
      </c>
      <c r="J1405" s="17">
        <v>24319</v>
      </c>
    </row>
    <row r="1406" spans="1:10" x14ac:dyDescent="0.3">
      <c r="A1406" s="14" t="s">
        <v>18</v>
      </c>
      <c r="B1406" s="4" t="s">
        <v>31</v>
      </c>
      <c r="C1406" s="4" t="s">
        <v>12</v>
      </c>
      <c r="D1406" s="4" t="s">
        <v>147</v>
      </c>
      <c r="E1406" s="13">
        <f t="shared" ca="1" si="21"/>
        <v>45957</v>
      </c>
      <c r="F1406" s="4" t="s">
        <v>21</v>
      </c>
      <c r="G1406" s="5">
        <v>10</v>
      </c>
      <c r="H1406" s="6">
        <v>12500</v>
      </c>
      <c r="I1406" s="6">
        <v>115586</v>
      </c>
      <c r="J1406" s="16">
        <v>9247</v>
      </c>
    </row>
    <row r="1407" spans="1:10" x14ac:dyDescent="0.3">
      <c r="A1407" s="15" t="s">
        <v>10</v>
      </c>
      <c r="B1407" s="7" t="s">
        <v>81</v>
      </c>
      <c r="C1407" s="7" t="s">
        <v>26</v>
      </c>
      <c r="D1407" s="7" t="s">
        <v>109</v>
      </c>
      <c r="E1407" s="13">
        <f t="shared" ca="1" si="21"/>
        <v>45957</v>
      </c>
      <c r="F1407" s="7" t="s">
        <v>14</v>
      </c>
      <c r="G1407" s="8">
        <v>5</v>
      </c>
      <c r="H1407" s="9">
        <v>18500</v>
      </c>
      <c r="I1407" s="9">
        <v>86428</v>
      </c>
      <c r="J1407" s="17">
        <v>10371</v>
      </c>
    </row>
    <row r="1408" spans="1:10" x14ac:dyDescent="0.3">
      <c r="A1408" s="14" t="s">
        <v>18</v>
      </c>
      <c r="B1408" s="4" t="s">
        <v>31</v>
      </c>
      <c r="C1408" s="4" t="s">
        <v>12</v>
      </c>
      <c r="D1408" s="4" t="s">
        <v>181</v>
      </c>
      <c r="E1408" s="13">
        <f t="shared" ca="1" si="21"/>
        <v>45855</v>
      </c>
      <c r="F1408" s="4" t="s">
        <v>36</v>
      </c>
      <c r="G1408" s="5">
        <v>8</v>
      </c>
      <c r="H1408" s="6">
        <v>55000</v>
      </c>
      <c r="I1408" s="6">
        <v>479649</v>
      </c>
      <c r="J1408" s="16">
        <v>105523</v>
      </c>
    </row>
    <row r="1409" spans="1:10" x14ac:dyDescent="0.3">
      <c r="A1409" s="15" t="s">
        <v>15</v>
      </c>
      <c r="B1409" s="7" t="s">
        <v>38</v>
      </c>
      <c r="C1409" s="7" t="s">
        <v>23</v>
      </c>
      <c r="D1409" s="7" t="s">
        <v>203</v>
      </c>
      <c r="E1409" s="13">
        <f t="shared" ca="1" si="21"/>
        <v>45761</v>
      </c>
      <c r="F1409" s="7" t="s">
        <v>36</v>
      </c>
      <c r="G1409" s="8">
        <v>7</v>
      </c>
      <c r="H1409" s="9">
        <v>55000</v>
      </c>
      <c r="I1409" s="9">
        <v>422914</v>
      </c>
      <c r="J1409" s="17">
        <v>93041</v>
      </c>
    </row>
    <row r="1410" spans="1:10" x14ac:dyDescent="0.3">
      <c r="A1410" s="14" t="s">
        <v>41</v>
      </c>
      <c r="B1410" s="4" t="s">
        <v>77</v>
      </c>
      <c r="C1410" s="4" t="s">
        <v>12</v>
      </c>
      <c r="D1410" s="4" t="s">
        <v>258</v>
      </c>
      <c r="E1410" s="13">
        <f t="shared" ca="1" si="21"/>
        <v>45819</v>
      </c>
      <c r="F1410" s="4" t="s">
        <v>14</v>
      </c>
      <c r="G1410" s="5">
        <v>2</v>
      </c>
      <c r="H1410" s="6">
        <v>18500</v>
      </c>
      <c r="I1410" s="6">
        <v>33538</v>
      </c>
      <c r="J1410" s="16">
        <v>4025</v>
      </c>
    </row>
    <row r="1411" spans="1:10" x14ac:dyDescent="0.3">
      <c r="A1411" s="15" t="s">
        <v>41</v>
      </c>
      <c r="B1411" s="7" t="s">
        <v>31</v>
      </c>
      <c r="C1411" s="7" t="s">
        <v>12</v>
      </c>
      <c r="D1411" s="7" t="s">
        <v>143</v>
      </c>
      <c r="E1411" s="13">
        <f t="shared" ref="E1411:E1474" ca="1" si="22">DATE(2025,1,1)+RANDBETWEEN(0,364)</f>
        <v>45857</v>
      </c>
      <c r="F1411" s="7" t="s">
        <v>36</v>
      </c>
      <c r="G1411" s="8">
        <v>2</v>
      </c>
      <c r="H1411" s="9">
        <v>55000</v>
      </c>
      <c r="I1411" s="9">
        <v>112176</v>
      </c>
      <c r="J1411" s="17">
        <v>24679</v>
      </c>
    </row>
    <row r="1412" spans="1:10" x14ac:dyDescent="0.3">
      <c r="A1412" s="14" t="s">
        <v>37</v>
      </c>
      <c r="B1412" s="4" t="s">
        <v>11</v>
      </c>
      <c r="C1412" s="4" t="s">
        <v>12</v>
      </c>
      <c r="D1412" s="4" t="s">
        <v>140</v>
      </c>
      <c r="E1412" s="13">
        <f t="shared" ca="1" si="22"/>
        <v>45878</v>
      </c>
      <c r="F1412" s="4" t="s">
        <v>21</v>
      </c>
      <c r="G1412" s="5">
        <v>8</v>
      </c>
      <c r="H1412" s="6">
        <v>12500</v>
      </c>
      <c r="I1412" s="6">
        <v>92544</v>
      </c>
      <c r="J1412" s="16">
        <v>7404</v>
      </c>
    </row>
    <row r="1413" spans="1:10" x14ac:dyDescent="0.3">
      <c r="A1413" s="15" t="s">
        <v>15</v>
      </c>
      <c r="B1413" s="7" t="s">
        <v>84</v>
      </c>
      <c r="C1413" s="7" t="s">
        <v>12</v>
      </c>
      <c r="D1413" s="7" t="s">
        <v>120</v>
      </c>
      <c r="E1413" s="13">
        <f t="shared" ca="1" si="22"/>
        <v>46009</v>
      </c>
      <c r="F1413" s="7" t="s">
        <v>33</v>
      </c>
      <c r="G1413" s="8">
        <v>1</v>
      </c>
      <c r="H1413" s="9">
        <v>45000</v>
      </c>
      <c r="I1413" s="9">
        <v>43502</v>
      </c>
      <c r="J1413" s="17">
        <v>7830</v>
      </c>
    </row>
    <row r="1414" spans="1:10" x14ac:dyDescent="0.3">
      <c r="A1414" s="14" t="s">
        <v>15</v>
      </c>
      <c r="B1414" s="4" t="s">
        <v>56</v>
      </c>
      <c r="C1414" s="4" t="s">
        <v>23</v>
      </c>
      <c r="D1414" s="4" t="s">
        <v>250</v>
      </c>
      <c r="E1414" s="13">
        <f t="shared" ca="1" si="22"/>
        <v>45736</v>
      </c>
      <c r="F1414" s="4" t="s">
        <v>36</v>
      </c>
      <c r="G1414" s="5">
        <v>6</v>
      </c>
      <c r="H1414" s="6">
        <v>55000</v>
      </c>
      <c r="I1414" s="6">
        <v>313984</v>
      </c>
      <c r="J1414" s="16">
        <v>69076</v>
      </c>
    </row>
    <row r="1415" spans="1:10" x14ac:dyDescent="0.3">
      <c r="A1415" s="15" t="s">
        <v>18</v>
      </c>
      <c r="B1415" s="7" t="s">
        <v>81</v>
      </c>
      <c r="C1415" s="7" t="s">
        <v>26</v>
      </c>
      <c r="D1415" s="7" t="s">
        <v>195</v>
      </c>
      <c r="E1415" s="13">
        <f t="shared" ca="1" si="22"/>
        <v>45818</v>
      </c>
      <c r="F1415" s="7" t="s">
        <v>33</v>
      </c>
      <c r="G1415" s="8">
        <v>4</v>
      </c>
      <c r="H1415" s="9">
        <v>45000</v>
      </c>
      <c r="I1415" s="9">
        <v>181922</v>
      </c>
      <c r="J1415" s="17">
        <v>32746</v>
      </c>
    </row>
    <row r="1416" spans="1:10" x14ac:dyDescent="0.3">
      <c r="A1416" s="14" t="s">
        <v>10</v>
      </c>
      <c r="B1416" s="4" t="s">
        <v>25</v>
      </c>
      <c r="C1416" s="4" t="s">
        <v>26</v>
      </c>
      <c r="D1416" s="4" t="s">
        <v>239</v>
      </c>
      <c r="E1416" s="13">
        <f t="shared" ca="1" si="22"/>
        <v>46012</v>
      </c>
      <c r="F1416" s="4" t="s">
        <v>33</v>
      </c>
      <c r="G1416" s="5">
        <v>2</v>
      </c>
      <c r="H1416" s="6">
        <v>45000</v>
      </c>
      <c r="I1416" s="6">
        <v>89458</v>
      </c>
      <c r="J1416" s="16">
        <v>16102</v>
      </c>
    </row>
    <row r="1417" spans="1:10" x14ac:dyDescent="0.3">
      <c r="A1417" s="15" t="s">
        <v>15</v>
      </c>
      <c r="B1417" s="7" t="s">
        <v>29</v>
      </c>
      <c r="C1417" s="7" t="s">
        <v>26</v>
      </c>
      <c r="D1417" s="7" t="s">
        <v>176</v>
      </c>
      <c r="E1417" s="13">
        <f t="shared" ca="1" si="22"/>
        <v>45884</v>
      </c>
      <c r="F1417" s="7" t="s">
        <v>14</v>
      </c>
      <c r="G1417" s="8">
        <v>1</v>
      </c>
      <c r="H1417" s="9">
        <v>18500</v>
      </c>
      <c r="I1417" s="9">
        <v>18642</v>
      </c>
      <c r="J1417" s="17">
        <v>2237</v>
      </c>
    </row>
    <row r="1418" spans="1:10" x14ac:dyDescent="0.3">
      <c r="A1418" s="14" t="s">
        <v>15</v>
      </c>
      <c r="B1418" s="4" t="s">
        <v>25</v>
      </c>
      <c r="C1418" s="4" t="s">
        <v>26</v>
      </c>
      <c r="D1418" s="4" t="s">
        <v>132</v>
      </c>
      <c r="E1418" s="13">
        <f t="shared" ca="1" si="22"/>
        <v>45764</v>
      </c>
      <c r="F1418" s="4" t="s">
        <v>21</v>
      </c>
      <c r="G1418" s="5">
        <v>10</v>
      </c>
      <c r="H1418" s="6">
        <v>12500</v>
      </c>
      <c r="I1418" s="6">
        <v>117914</v>
      </c>
      <c r="J1418" s="16">
        <v>9433</v>
      </c>
    </row>
    <row r="1419" spans="1:10" x14ac:dyDescent="0.3">
      <c r="A1419" s="15" t="s">
        <v>41</v>
      </c>
      <c r="B1419" s="7" t="s">
        <v>51</v>
      </c>
      <c r="C1419" s="7" t="s">
        <v>12</v>
      </c>
      <c r="D1419" s="7" t="s">
        <v>208</v>
      </c>
      <c r="E1419" s="13">
        <f t="shared" ca="1" si="22"/>
        <v>45888</v>
      </c>
      <c r="F1419" s="7" t="s">
        <v>14</v>
      </c>
      <c r="G1419" s="8">
        <v>9</v>
      </c>
      <c r="H1419" s="9">
        <v>18500</v>
      </c>
      <c r="I1419" s="9">
        <v>183098</v>
      </c>
      <c r="J1419" s="17">
        <v>21972</v>
      </c>
    </row>
    <row r="1420" spans="1:10" x14ac:dyDescent="0.3">
      <c r="A1420" s="14" t="s">
        <v>41</v>
      </c>
      <c r="B1420" s="4" t="s">
        <v>29</v>
      </c>
      <c r="C1420" s="4" t="s">
        <v>26</v>
      </c>
      <c r="D1420" s="4" t="s">
        <v>180</v>
      </c>
      <c r="E1420" s="13">
        <f t="shared" ca="1" si="22"/>
        <v>45717</v>
      </c>
      <c r="F1420" s="4" t="s">
        <v>36</v>
      </c>
      <c r="G1420" s="5">
        <v>10</v>
      </c>
      <c r="H1420" s="6">
        <v>55000</v>
      </c>
      <c r="I1420" s="6">
        <v>557880</v>
      </c>
      <c r="J1420" s="16">
        <v>122734</v>
      </c>
    </row>
    <row r="1421" spans="1:10" x14ac:dyDescent="0.3">
      <c r="A1421" s="15" t="s">
        <v>10</v>
      </c>
      <c r="B1421" s="7" t="s">
        <v>22</v>
      </c>
      <c r="C1421" s="7" t="s">
        <v>23</v>
      </c>
      <c r="D1421" s="7" t="s">
        <v>120</v>
      </c>
      <c r="E1421" s="13">
        <f t="shared" ca="1" si="22"/>
        <v>45847</v>
      </c>
      <c r="F1421" s="7" t="s">
        <v>33</v>
      </c>
      <c r="G1421" s="8">
        <v>8</v>
      </c>
      <c r="H1421" s="9">
        <v>45000</v>
      </c>
      <c r="I1421" s="9">
        <v>385269</v>
      </c>
      <c r="J1421" s="17">
        <v>69348</v>
      </c>
    </row>
    <row r="1422" spans="1:10" x14ac:dyDescent="0.3">
      <c r="A1422" s="14" t="s">
        <v>10</v>
      </c>
      <c r="B1422" s="4" t="s">
        <v>81</v>
      </c>
      <c r="C1422" s="4" t="s">
        <v>26</v>
      </c>
      <c r="D1422" s="4" t="s">
        <v>201</v>
      </c>
      <c r="E1422" s="13">
        <f t="shared" ca="1" si="22"/>
        <v>45819</v>
      </c>
      <c r="F1422" s="4" t="s">
        <v>14</v>
      </c>
      <c r="G1422" s="5">
        <v>6</v>
      </c>
      <c r="H1422" s="6">
        <v>18500</v>
      </c>
      <c r="I1422" s="6">
        <v>112057</v>
      </c>
      <c r="J1422" s="16">
        <v>13447</v>
      </c>
    </row>
    <row r="1423" spans="1:10" x14ac:dyDescent="0.3">
      <c r="A1423" s="15" t="s">
        <v>18</v>
      </c>
      <c r="B1423" s="7" t="s">
        <v>46</v>
      </c>
      <c r="C1423" s="7" t="s">
        <v>26</v>
      </c>
      <c r="D1423" s="7" t="s">
        <v>64</v>
      </c>
      <c r="E1423" s="13">
        <f t="shared" ca="1" si="22"/>
        <v>45677</v>
      </c>
      <c r="F1423" s="7" t="s">
        <v>36</v>
      </c>
      <c r="G1423" s="8">
        <v>5</v>
      </c>
      <c r="H1423" s="9">
        <v>55000</v>
      </c>
      <c r="I1423" s="9">
        <v>288861</v>
      </c>
      <c r="J1423" s="17">
        <v>63549</v>
      </c>
    </row>
    <row r="1424" spans="1:10" x14ac:dyDescent="0.3">
      <c r="A1424" s="14" t="s">
        <v>41</v>
      </c>
      <c r="B1424" s="4" t="s">
        <v>77</v>
      </c>
      <c r="C1424" s="4" t="s">
        <v>12</v>
      </c>
      <c r="D1424" s="4" t="s">
        <v>124</v>
      </c>
      <c r="E1424" s="13">
        <f t="shared" ca="1" si="22"/>
        <v>45691</v>
      </c>
      <c r="F1424" s="4" t="s">
        <v>14</v>
      </c>
      <c r="G1424" s="5">
        <v>5</v>
      </c>
      <c r="H1424" s="6">
        <v>18500</v>
      </c>
      <c r="I1424" s="6">
        <v>91113</v>
      </c>
      <c r="J1424" s="16">
        <v>10934</v>
      </c>
    </row>
    <row r="1425" spans="1:10" x14ac:dyDescent="0.3">
      <c r="A1425" s="15" t="s">
        <v>10</v>
      </c>
      <c r="B1425" s="7" t="s">
        <v>22</v>
      </c>
      <c r="C1425" s="7" t="s">
        <v>23</v>
      </c>
      <c r="D1425" s="7" t="s">
        <v>240</v>
      </c>
      <c r="E1425" s="13">
        <f t="shared" ca="1" si="22"/>
        <v>45851</v>
      </c>
      <c r="F1425" s="7" t="s">
        <v>33</v>
      </c>
      <c r="G1425" s="8">
        <v>9</v>
      </c>
      <c r="H1425" s="9">
        <v>45000</v>
      </c>
      <c r="I1425" s="9">
        <v>433541</v>
      </c>
      <c r="J1425" s="17">
        <v>78037</v>
      </c>
    </row>
    <row r="1426" spans="1:10" x14ac:dyDescent="0.3">
      <c r="A1426" s="14" t="s">
        <v>10</v>
      </c>
      <c r="B1426" s="4" t="s">
        <v>84</v>
      </c>
      <c r="C1426" s="4" t="s">
        <v>12</v>
      </c>
      <c r="D1426" s="4" t="s">
        <v>176</v>
      </c>
      <c r="E1426" s="13">
        <f t="shared" ca="1" si="22"/>
        <v>45710</v>
      </c>
      <c r="F1426" s="4" t="s">
        <v>33</v>
      </c>
      <c r="G1426" s="5">
        <v>3</v>
      </c>
      <c r="H1426" s="6">
        <v>45000</v>
      </c>
      <c r="I1426" s="6">
        <v>141077</v>
      </c>
      <c r="J1426" s="16">
        <v>25394</v>
      </c>
    </row>
    <row r="1427" spans="1:10" x14ac:dyDescent="0.3">
      <c r="A1427" s="15" t="s">
        <v>41</v>
      </c>
      <c r="B1427" s="7" t="s">
        <v>81</v>
      </c>
      <c r="C1427" s="7" t="s">
        <v>26</v>
      </c>
      <c r="D1427" s="7" t="s">
        <v>261</v>
      </c>
      <c r="E1427" s="13">
        <f t="shared" ca="1" si="22"/>
        <v>45782</v>
      </c>
      <c r="F1427" s="7" t="s">
        <v>14</v>
      </c>
      <c r="G1427" s="8">
        <v>8</v>
      </c>
      <c r="H1427" s="9">
        <v>18500</v>
      </c>
      <c r="I1427" s="9">
        <v>133225</v>
      </c>
      <c r="J1427" s="17">
        <v>15987</v>
      </c>
    </row>
    <row r="1428" spans="1:10" x14ac:dyDescent="0.3">
      <c r="A1428" s="14" t="s">
        <v>10</v>
      </c>
      <c r="B1428" s="4" t="s">
        <v>22</v>
      </c>
      <c r="C1428" s="4" t="s">
        <v>23</v>
      </c>
      <c r="D1428" s="4" t="s">
        <v>205</v>
      </c>
      <c r="E1428" s="13">
        <f t="shared" ca="1" si="22"/>
        <v>45973</v>
      </c>
      <c r="F1428" s="4" t="s">
        <v>21</v>
      </c>
      <c r="G1428" s="5">
        <v>3</v>
      </c>
      <c r="H1428" s="6">
        <v>12500</v>
      </c>
      <c r="I1428" s="6">
        <v>41010</v>
      </c>
      <c r="J1428" s="16">
        <v>3281</v>
      </c>
    </row>
    <row r="1429" spans="1:10" x14ac:dyDescent="0.3">
      <c r="A1429" s="15" t="s">
        <v>41</v>
      </c>
      <c r="B1429" s="7" t="s">
        <v>11</v>
      </c>
      <c r="C1429" s="7" t="s">
        <v>12</v>
      </c>
      <c r="D1429" s="7" t="s">
        <v>211</v>
      </c>
      <c r="E1429" s="13">
        <f t="shared" ca="1" si="22"/>
        <v>45783</v>
      </c>
      <c r="F1429" s="7" t="s">
        <v>14</v>
      </c>
      <c r="G1429" s="8">
        <v>1</v>
      </c>
      <c r="H1429" s="9">
        <v>18500</v>
      </c>
      <c r="I1429" s="9">
        <v>19114</v>
      </c>
      <c r="J1429" s="17">
        <v>2294</v>
      </c>
    </row>
    <row r="1430" spans="1:10" x14ac:dyDescent="0.3">
      <c r="A1430" s="14" t="s">
        <v>37</v>
      </c>
      <c r="B1430" s="4" t="s">
        <v>11</v>
      </c>
      <c r="C1430" s="4" t="s">
        <v>12</v>
      </c>
      <c r="D1430" s="4" t="s">
        <v>63</v>
      </c>
      <c r="E1430" s="13">
        <f t="shared" ca="1" si="22"/>
        <v>45812</v>
      </c>
      <c r="F1430" s="4" t="s">
        <v>40</v>
      </c>
      <c r="G1430" s="5">
        <v>1</v>
      </c>
      <c r="H1430" s="6">
        <v>15000</v>
      </c>
      <c r="I1430" s="6">
        <v>15176</v>
      </c>
      <c r="J1430" s="16">
        <v>1518</v>
      </c>
    </row>
    <row r="1431" spans="1:10" x14ac:dyDescent="0.3">
      <c r="A1431" s="15" t="s">
        <v>15</v>
      </c>
      <c r="B1431" s="7" t="s">
        <v>51</v>
      </c>
      <c r="C1431" s="7" t="s">
        <v>12</v>
      </c>
      <c r="D1431" s="7" t="s">
        <v>78</v>
      </c>
      <c r="E1431" s="13">
        <f t="shared" ca="1" si="22"/>
        <v>45864</v>
      </c>
      <c r="F1431" s="7" t="s">
        <v>40</v>
      </c>
      <c r="G1431" s="8">
        <v>10</v>
      </c>
      <c r="H1431" s="9">
        <v>15000</v>
      </c>
      <c r="I1431" s="9">
        <v>139423</v>
      </c>
      <c r="J1431" s="17">
        <v>13942</v>
      </c>
    </row>
    <row r="1432" spans="1:10" x14ac:dyDescent="0.3">
      <c r="A1432" s="14" t="s">
        <v>41</v>
      </c>
      <c r="B1432" s="4" t="s">
        <v>19</v>
      </c>
      <c r="C1432" s="4" t="s">
        <v>12</v>
      </c>
      <c r="D1432" s="4" t="s">
        <v>85</v>
      </c>
      <c r="E1432" s="13">
        <f t="shared" ca="1" si="22"/>
        <v>45908</v>
      </c>
      <c r="F1432" s="4" t="s">
        <v>14</v>
      </c>
      <c r="G1432" s="5">
        <v>7</v>
      </c>
      <c r="H1432" s="6">
        <v>18500</v>
      </c>
      <c r="I1432" s="6">
        <v>122532</v>
      </c>
      <c r="J1432" s="16">
        <v>14704</v>
      </c>
    </row>
    <row r="1433" spans="1:10" x14ac:dyDescent="0.3">
      <c r="A1433" s="15" t="s">
        <v>10</v>
      </c>
      <c r="B1433" s="7" t="s">
        <v>25</v>
      </c>
      <c r="C1433" s="7" t="s">
        <v>26</v>
      </c>
      <c r="D1433" s="7" t="s">
        <v>257</v>
      </c>
      <c r="E1433" s="13">
        <f t="shared" ca="1" si="22"/>
        <v>45701</v>
      </c>
      <c r="F1433" s="7" t="s">
        <v>14</v>
      </c>
      <c r="G1433" s="8">
        <v>8</v>
      </c>
      <c r="H1433" s="9">
        <v>18500</v>
      </c>
      <c r="I1433" s="9">
        <v>157765</v>
      </c>
      <c r="J1433" s="17">
        <v>18932</v>
      </c>
    </row>
    <row r="1434" spans="1:10" x14ac:dyDescent="0.3">
      <c r="A1434" s="14" t="s">
        <v>10</v>
      </c>
      <c r="B1434" s="4" t="s">
        <v>38</v>
      </c>
      <c r="C1434" s="4" t="s">
        <v>23</v>
      </c>
      <c r="D1434" s="4" t="s">
        <v>61</v>
      </c>
      <c r="E1434" s="13">
        <f t="shared" ca="1" si="22"/>
        <v>45832</v>
      </c>
      <c r="F1434" s="4" t="s">
        <v>21</v>
      </c>
      <c r="G1434" s="5">
        <v>9</v>
      </c>
      <c r="H1434" s="6">
        <v>12500</v>
      </c>
      <c r="I1434" s="6">
        <v>119313</v>
      </c>
      <c r="J1434" s="16">
        <v>9545</v>
      </c>
    </row>
    <row r="1435" spans="1:10" x14ac:dyDescent="0.3">
      <c r="A1435" s="15" t="s">
        <v>15</v>
      </c>
      <c r="B1435" s="7" t="s">
        <v>19</v>
      </c>
      <c r="C1435" s="7" t="s">
        <v>12</v>
      </c>
      <c r="D1435" s="7" t="s">
        <v>215</v>
      </c>
      <c r="E1435" s="13">
        <f t="shared" ca="1" si="22"/>
        <v>45767</v>
      </c>
      <c r="F1435" s="7" t="s">
        <v>40</v>
      </c>
      <c r="G1435" s="8">
        <v>5</v>
      </c>
      <c r="H1435" s="9">
        <v>15000</v>
      </c>
      <c r="I1435" s="9">
        <v>71770</v>
      </c>
      <c r="J1435" s="17">
        <v>7177</v>
      </c>
    </row>
    <row r="1436" spans="1:10" x14ac:dyDescent="0.3">
      <c r="A1436" s="14" t="s">
        <v>15</v>
      </c>
      <c r="B1436" s="4" t="s">
        <v>81</v>
      </c>
      <c r="C1436" s="4" t="s">
        <v>26</v>
      </c>
      <c r="D1436" s="4" t="s">
        <v>146</v>
      </c>
      <c r="E1436" s="13">
        <f t="shared" ca="1" si="22"/>
        <v>45743</v>
      </c>
      <c r="F1436" s="4" t="s">
        <v>14</v>
      </c>
      <c r="G1436" s="5">
        <v>10</v>
      </c>
      <c r="H1436" s="6">
        <v>18500</v>
      </c>
      <c r="I1436" s="6">
        <v>172771</v>
      </c>
      <c r="J1436" s="16">
        <v>20733</v>
      </c>
    </row>
    <row r="1437" spans="1:10" x14ac:dyDescent="0.3">
      <c r="A1437" s="15" t="s">
        <v>15</v>
      </c>
      <c r="B1437" s="7" t="s">
        <v>11</v>
      </c>
      <c r="C1437" s="7" t="s">
        <v>12</v>
      </c>
      <c r="D1437" s="7" t="s">
        <v>258</v>
      </c>
      <c r="E1437" s="13">
        <f t="shared" ca="1" si="22"/>
        <v>45732</v>
      </c>
      <c r="F1437" s="7" t="s">
        <v>40</v>
      </c>
      <c r="G1437" s="8">
        <v>7</v>
      </c>
      <c r="H1437" s="9">
        <v>15000</v>
      </c>
      <c r="I1437" s="9">
        <v>108912</v>
      </c>
      <c r="J1437" s="17">
        <v>10891</v>
      </c>
    </row>
    <row r="1438" spans="1:10" x14ac:dyDescent="0.3">
      <c r="A1438" s="14" t="s">
        <v>41</v>
      </c>
      <c r="B1438" s="4" t="s">
        <v>56</v>
      </c>
      <c r="C1438" s="4" t="s">
        <v>23</v>
      </c>
      <c r="D1438" s="4" t="s">
        <v>60</v>
      </c>
      <c r="E1438" s="13">
        <f t="shared" ca="1" si="22"/>
        <v>45955</v>
      </c>
      <c r="F1438" s="4" t="s">
        <v>33</v>
      </c>
      <c r="G1438" s="5">
        <v>2</v>
      </c>
      <c r="H1438" s="6">
        <v>45000</v>
      </c>
      <c r="I1438" s="6">
        <v>83841</v>
      </c>
      <c r="J1438" s="16">
        <v>15091</v>
      </c>
    </row>
    <row r="1439" spans="1:10" x14ac:dyDescent="0.3">
      <c r="A1439" s="15" t="s">
        <v>18</v>
      </c>
      <c r="B1439" s="7" t="s">
        <v>77</v>
      </c>
      <c r="C1439" s="7" t="s">
        <v>12</v>
      </c>
      <c r="D1439" s="7" t="s">
        <v>95</v>
      </c>
      <c r="E1439" s="13">
        <f t="shared" ca="1" si="22"/>
        <v>45970</v>
      </c>
      <c r="F1439" s="7" t="s">
        <v>21</v>
      </c>
      <c r="G1439" s="8">
        <v>8</v>
      </c>
      <c r="H1439" s="9">
        <v>12500</v>
      </c>
      <c r="I1439" s="9">
        <v>93657</v>
      </c>
      <c r="J1439" s="17">
        <v>7493</v>
      </c>
    </row>
    <row r="1440" spans="1:10" x14ac:dyDescent="0.3">
      <c r="A1440" s="14" t="s">
        <v>18</v>
      </c>
      <c r="B1440" s="4" t="s">
        <v>84</v>
      </c>
      <c r="C1440" s="4" t="s">
        <v>12</v>
      </c>
      <c r="D1440" s="4" t="s">
        <v>155</v>
      </c>
      <c r="E1440" s="13">
        <f t="shared" ca="1" si="22"/>
        <v>45694</v>
      </c>
      <c r="F1440" s="4" t="s">
        <v>14</v>
      </c>
      <c r="G1440" s="5">
        <v>3</v>
      </c>
      <c r="H1440" s="6">
        <v>18500</v>
      </c>
      <c r="I1440" s="6">
        <v>50925</v>
      </c>
      <c r="J1440" s="16">
        <v>6111</v>
      </c>
    </row>
    <row r="1441" spans="1:10" x14ac:dyDescent="0.3">
      <c r="A1441" s="15" t="s">
        <v>18</v>
      </c>
      <c r="B1441" s="7" t="s">
        <v>81</v>
      </c>
      <c r="C1441" s="7" t="s">
        <v>26</v>
      </c>
      <c r="D1441" s="7" t="s">
        <v>136</v>
      </c>
      <c r="E1441" s="13">
        <f t="shared" ca="1" si="22"/>
        <v>45989</v>
      </c>
      <c r="F1441" s="7" t="s">
        <v>14</v>
      </c>
      <c r="G1441" s="8">
        <v>9</v>
      </c>
      <c r="H1441" s="9">
        <v>18500</v>
      </c>
      <c r="I1441" s="9">
        <v>153278</v>
      </c>
      <c r="J1441" s="17">
        <v>18393</v>
      </c>
    </row>
    <row r="1442" spans="1:10" x14ac:dyDescent="0.3">
      <c r="A1442" s="14" t="s">
        <v>18</v>
      </c>
      <c r="B1442" s="4" t="s">
        <v>46</v>
      </c>
      <c r="C1442" s="4" t="s">
        <v>26</v>
      </c>
      <c r="D1442" s="4" t="s">
        <v>94</v>
      </c>
      <c r="E1442" s="13">
        <f t="shared" ca="1" si="22"/>
        <v>45689</v>
      </c>
      <c r="F1442" s="4" t="s">
        <v>21</v>
      </c>
      <c r="G1442" s="5">
        <v>10</v>
      </c>
      <c r="H1442" s="6">
        <v>12500</v>
      </c>
      <c r="I1442" s="6">
        <v>127448</v>
      </c>
      <c r="J1442" s="16">
        <v>10196</v>
      </c>
    </row>
    <row r="1443" spans="1:10" x14ac:dyDescent="0.3">
      <c r="A1443" s="15" t="s">
        <v>41</v>
      </c>
      <c r="B1443" s="7" t="s">
        <v>56</v>
      </c>
      <c r="C1443" s="7" t="s">
        <v>23</v>
      </c>
      <c r="D1443" s="7" t="s">
        <v>209</v>
      </c>
      <c r="E1443" s="13">
        <f t="shared" ca="1" si="22"/>
        <v>45760</v>
      </c>
      <c r="F1443" s="7" t="s">
        <v>40</v>
      </c>
      <c r="G1443" s="8">
        <v>1</v>
      </c>
      <c r="H1443" s="9">
        <v>15000</v>
      </c>
      <c r="I1443" s="9">
        <v>16499</v>
      </c>
      <c r="J1443" s="17">
        <v>1650</v>
      </c>
    </row>
    <row r="1444" spans="1:10" x14ac:dyDescent="0.3">
      <c r="A1444" s="14" t="s">
        <v>41</v>
      </c>
      <c r="B1444" s="4" t="s">
        <v>19</v>
      </c>
      <c r="C1444" s="4" t="s">
        <v>12</v>
      </c>
      <c r="D1444" s="4" t="s">
        <v>82</v>
      </c>
      <c r="E1444" s="13">
        <f t="shared" ca="1" si="22"/>
        <v>46002</v>
      </c>
      <c r="F1444" s="4" t="s">
        <v>40</v>
      </c>
      <c r="G1444" s="5">
        <v>6</v>
      </c>
      <c r="H1444" s="6">
        <v>15000</v>
      </c>
      <c r="I1444" s="6">
        <v>82790</v>
      </c>
      <c r="J1444" s="16">
        <v>8279</v>
      </c>
    </row>
    <row r="1445" spans="1:10" x14ac:dyDescent="0.3">
      <c r="A1445" s="15" t="s">
        <v>41</v>
      </c>
      <c r="B1445" s="7" t="s">
        <v>88</v>
      </c>
      <c r="C1445" s="7" t="s">
        <v>12</v>
      </c>
      <c r="D1445" s="7" t="s">
        <v>183</v>
      </c>
      <c r="E1445" s="13">
        <f t="shared" ca="1" si="22"/>
        <v>46016</v>
      </c>
      <c r="F1445" s="7" t="s">
        <v>14</v>
      </c>
      <c r="G1445" s="8">
        <v>9</v>
      </c>
      <c r="H1445" s="9">
        <v>18500</v>
      </c>
      <c r="I1445" s="9">
        <v>180879</v>
      </c>
      <c r="J1445" s="17">
        <v>21705</v>
      </c>
    </row>
    <row r="1446" spans="1:10" x14ac:dyDescent="0.3">
      <c r="A1446" s="14" t="s">
        <v>37</v>
      </c>
      <c r="B1446" s="4" t="s">
        <v>16</v>
      </c>
      <c r="C1446" s="4" t="s">
        <v>12</v>
      </c>
      <c r="D1446" s="4" t="s">
        <v>123</v>
      </c>
      <c r="E1446" s="13">
        <f t="shared" ca="1" si="22"/>
        <v>45794</v>
      </c>
      <c r="F1446" s="4" t="s">
        <v>40</v>
      </c>
      <c r="G1446" s="5">
        <v>3</v>
      </c>
      <c r="H1446" s="6">
        <v>15000</v>
      </c>
      <c r="I1446" s="6">
        <v>43394</v>
      </c>
      <c r="J1446" s="16">
        <v>4339</v>
      </c>
    </row>
    <row r="1447" spans="1:10" x14ac:dyDescent="0.3">
      <c r="A1447" s="15" t="s">
        <v>15</v>
      </c>
      <c r="B1447" s="7" t="s">
        <v>16</v>
      </c>
      <c r="C1447" s="7" t="s">
        <v>12</v>
      </c>
      <c r="D1447" s="7" t="s">
        <v>142</v>
      </c>
      <c r="E1447" s="13">
        <f t="shared" ca="1" si="22"/>
        <v>45733</v>
      </c>
      <c r="F1447" s="7" t="s">
        <v>33</v>
      </c>
      <c r="G1447" s="8">
        <v>5</v>
      </c>
      <c r="H1447" s="9">
        <v>45000</v>
      </c>
      <c r="I1447" s="9">
        <v>209828</v>
      </c>
      <c r="J1447" s="17">
        <v>37769</v>
      </c>
    </row>
    <row r="1448" spans="1:10" x14ac:dyDescent="0.3">
      <c r="A1448" s="14" t="s">
        <v>37</v>
      </c>
      <c r="B1448" s="4" t="s">
        <v>38</v>
      </c>
      <c r="C1448" s="4" t="s">
        <v>23</v>
      </c>
      <c r="D1448" s="4" t="s">
        <v>87</v>
      </c>
      <c r="E1448" s="13">
        <f t="shared" ca="1" si="22"/>
        <v>45765</v>
      </c>
      <c r="F1448" s="4" t="s">
        <v>21</v>
      </c>
      <c r="G1448" s="5">
        <v>3</v>
      </c>
      <c r="H1448" s="6">
        <v>12500</v>
      </c>
      <c r="I1448" s="6">
        <v>39766</v>
      </c>
      <c r="J1448" s="16">
        <v>3181</v>
      </c>
    </row>
    <row r="1449" spans="1:10" x14ac:dyDescent="0.3">
      <c r="A1449" s="15" t="s">
        <v>37</v>
      </c>
      <c r="B1449" s="7" t="s">
        <v>19</v>
      </c>
      <c r="C1449" s="7" t="s">
        <v>12</v>
      </c>
      <c r="D1449" s="7" t="s">
        <v>67</v>
      </c>
      <c r="E1449" s="13">
        <f t="shared" ca="1" si="22"/>
        <v>45854</v>
      </c>
      <c r="F1449" s="7" t="s">
        <v>33</v>
      </c>
      <c r="G1449" s="8">
        <v>10</v>
      </c>
      <c r="H1449" s="9">
        <v>45000</v>
      </c>
      <c r="I1449" s="9">
        <v>425177</v>
      </c>
      <c r="J1449" s="17">
        <v>76532</v>
      </c>
    </row>
    <row r="1450" spans="1:10" x14ac:dyDescent="0.3">
      <c r="A1450" s="14" t="s">
        <v>10</v>
      </c>
      <c r="B1450" s="4" t="s">
        <v>77</v>
      </c>
      <c r="C1450" s="4" t="s">
        <v>12</v>
      </c>
      <c r="D1450" s="4" t="s">
        <v>198</v>
      </c>
      <c r="E1450" s="13">
        <f t="shared" ca="1" si="22"/>
        <v>45666</v>
      </c>
      <c r="F1450" s="4" t="s">
        <v>40</v>
      </c>
      <c r="G1450" s="5">
        <v>7</v>
      </c>
      <c r="H1450" s="6">
        <v>15000</v>
      </c>
      <c r="I1450" s="6">
        <v>105493</v>
      </c>
      <c r="J1450" s="16">
        <v>10549</v>
      </c>
    </row>
    <row r="1451" spans="1:10" x14ac:dyDescent="0.3">
      <c r="A1451" s="15" t="s">
        <v>18</v>
      </c>
      <c r="B1451" s="7" t="s">
        <v>11</v>
      </c>
      <c r="C1451" s="7" t="s">
        <v>12</v>
      </c>
      <c r="D1451" s="7" t="s">
        <v>58</v>
      </c>
      <c r="E1451" s="13">
        <f t="shared" ca="1" si="22"/>
        <v>45973</v>
      </c>
      <c r="F1451" s="7" t="s">
        <v>36</v>
      </c>
      <c r="G1451" s="8">
        <v>2</v>
      </c>
      <c r="H1451" s="9">
        <v>55000</v>
      </c>
      <c r="I1451" s="9">
        <v>109340</v>
      </c>
      <c r="J1451" s="17">
        <v>24055</v>
      </c>
    </row>
    <row r="1452" spans="1:10" x14ac:dyDescent="0.3">
      <c r="A1452" s="14" t="s">
        <v>18</v>
      </c>
      <c r="B1452" s="4" t="s">
        <v>88</v>
      </c>
      <c r="C1452" s="4" t="s">
        <v>12</v>
      </c>
      <c r="D1452" s="4" t="s">
        <v>174</v>
      </c>
      <c r="E1452" s="13">
        <f t="shared" ca="1" si="22"/>
        <v>46000</v>
      </c>
      <c r="F1452" s="4" t="s">
        <v>21</v>
      </c>
      <c r="G1452" s="5">
        <v>2</v>
      </c>
      <c r="H1452" s="6">
        <v>12500</v>
      </c>
      <c r="I1452" s="6">
        <v>23607</v>
      </c>
      <c r="J1452" s="16">
        <v>1889</v>
      </c>
    </row>
    <row r="1453" spans="1:10" x14ac:dyDescent="0.3">
      <c r="A1453" s="15" t="s">
        <v>37</v>
      </c>
      <c r="B1453" s="7" t="s">
        <v>84</v>
      </c>
      <c r="C1453" s="7" t="s">
        <v>12</v>
      </c>
      <c r="D1453" s="7" t="s">
        <v>90</v>
      </c>
      <c r="E1453" s="13">
        <f t="shared" ca="1" si="22"/>
        <v>45995</v>
      </c>
      <c r="F1453" s="7" t="s">
        <v>40</v>
      </c>
      <c r="G1453" s="8">
        <v>7</v>
      </c>
      <c r="H1453" s="9">
        <v>15000</v>
      </c>
      <c r="I1453" s="9">
        <v>110971</v>
      </c>
      <c r="J1453" s="17">
        <v>11097</v>
      </c>
    </row>
    <row r="1454" spans="1:10" x14ac:dyDescent="0.3">
      <c r="A1454" s="14" t="s">
        <v>10</v>
      </c>
      <c r="B1454" s="4" t="s">
        <v>77</v>
      </c>
      <c r="C1454" s="4" t="s">
        <v>12</v>
      </c>
      <c r="D1454" s="4" t="s">
        <v>52</v>
      </c>
      <c r="E1454" s="13">
        <f t="shared" ca="1" si="22"/>
        <v>45696</v>
      </c>
      <c r="F1454" s="4" t="s">
        <v>36</v>
      </c>
      <c r="G1454" s="5">
        <v>7</v>
      </c>
      <c r="H1454" s="6">
        <v>55000</v>
      </c>
      <c r="I1454" s="6">
        <v>382965</v>
      </c>
      <c r="J1454" s="16">
        <v>84252</v>
      </c>
    </row>
    <row r="1455" spans="1:10" x14ac:dyDescent="0.3">
      <c r="A1455" s="15" t="s">
        <v>18</v>
      </c>
      <c r="B1455" s="7" t="s">
        <v>22</v>
      </c>
      <c r="C1455" s="7" t="s">
        <v>23</v>
      </c>
      <c r="D1455" s="7" t="s">
        <v>34</v>
      </c>
      <c r="E1455" s="13">
        <f t="shared" ca="1" si="22"/>
        <v>45862</v>
      </c>
      <c r="F1455" s="7" t="s">
        <v>40</v>
      </c>
      <c r="G1455" s="8">
        <v>3</v>
      </c>
      <c r="H1455" s="9">
        <v>15000</v>
      </c>
      <c r="I1455" s="9">
        <v>45590</v>
      </c>
      <c r="J1455" s="17">
        <v>4559</v>
      </c>
    </row>
    <row r="1456" spans="1:10" x14ac:dyDescent="0.3">
      <c r="A1456" s="14" t="s">
        <v>15</v>
      </c>
      <c r="B1456" s="4" t="s">
        <v>11</v>
      </c>
      <c r="C1456" s="4" t="s">
        <v>12</v>
      </c>
      <c r="D1456" s="4" t="s">
        <v>126</v>
      </c>
      <c r="E1456" s="13">
        <f t="shared" ca="1" si="22"/>
        <v>45694</v>
      </c>
      <c r="F1456" s="4" t="s">
        <v>14</v>
      </c>
      <c r="G1456" s="5">
        <v>1</v>
      </c>
      <c r="H1456" s="6">
        <v>18500</v>
      </c>
      <c r="I1456" s="6">
        <v>18702</v>
      </c>
      <c r="J1456" s="16">
        <v>2244</v>
      </c>
    </row>
    <row r="1457" spans="1:10" x14ac:dyDescent="0.3">
      <c r="A1457" s="15" t="s">
        <v>18</v>
      </c>
      <c r="B1457" s="7" t="s">
        <v>84</v>
      </c>
      <c r="C1457" s="7" t="s">
        <v>12</v>
      </c>
      <c r="D1457" s="7" t="s">
        <v>47</v>
      </c>
      <c r="E1457" s="13">
        <f t="shared" ca="1" si="22"/>
        <v>45880</v>
      </c>
      <c r="F1457" s="7" t="s">
        <v>14</v>
      </c>
      <c r="G1457" s="8">
        <v>9</v>
      </c>
      <c r="H1457" s="9">
        <v>18500</v>
      </c>
      <c r="I1457" s="9">
        <v>162786</v>
      </c>
      <c r="J1457" s="17">
        <v>19534</v>
      </c>
    </row>
    <row r="1458" spans="1:10" x14ac:dyDescent="0.3">
      <c r="A1458" s="14" t="s">
        <v>10</v>
      </c>
      <c r="B1458" s="4" t="s">
        <v>22</v>
      </c>
      <c r="C1458" s="4" t="s">
        <v>23</v>
      </c>
      <c r="D1458" s="4" t="s">
        <v>260</v>
      </c>
      <c r="E1458" s="13">
        <f t="shared" ca="1" si="22"/>
        <v>45686</v>
      </c>
      <c r="F1458" s="4" t="s">
        <v>33</v>
      </c>
      <c r="G1458" s="5">
        <v>10</v>
      </c>
      <c r="H1458" s="6">
        <v>45000</v>
      </c>
      <c r="I1458" s="6">
        <v>421299</v>
      </c>
      <c r="J1458" s="16">
        <v>75834</v>
      </c>
    </row>
    <row r="1459" spans="1:10" x14ac:dyDescent="0.3">
      <c r="A1459" s="15" t="s">
        <v>18</v>
      </c>
      <c r="B1459" s="7" t="s">
        <v>22</v>
      </c>
      <c r="C1459" s="7" t="s">
        <v>23</v>
      </c>
      <c r="D1459" s="7" t="s">
        <v>140</v>
      </c>
      <c r="E1459" s="13">
        <f t="shared" ca="1" si="22"/>
        <v>45723</v>
      </c>
      <c r="F1459" s="7" t="s">
        <v>36</v>
      </c>
      <c r="G1459" s="8">
        <v>9</v>
      </c>
      <c r="H1459" s="9">
        <v>55000</v>
      </c>
      <c r="I1459" s="9">
        <v>457858</v>
      </c>
      <c r="J1459" s="17">
        <v>100729</v>
      </c>
    </row>
    <row r="1460" spans="1:10" x14ac:dyDescent="0.3">
      <c r="A1460" s="14" t="s">
        <v>41</v>
      </c>
      <c r="B1460" s="4" t="s">
        <v>11</v>
      </c>
      <c r="C1460" s="4" t="s">
        <v>12</v>
      </c>
      <c r="D1460" s="4" t="s">
        <v>179</v>
      </c>
      <c r="E1460" s="13">
        <f t="shared" ca="1" si="22"/>
        <v>46013</v>
      </c>
      <c r="F1460" s="4" t="s">
        <v>14</v>
      </c>
      <c r="G1460" s="5">
        <v>5</v>
      </c>
      <c r="H1460" s="6">
        <v>18500</v>
      </c>
      <c r="I1460" s="6">
        <v>91305</v>
      </c>
      <c r="J1460" s="16">
        <v>10957</v>
      </c>
    </row>
    <row r="1461" spans="1:10" x14ac:dyDescent="0.3">
      <c r="A1461" s="15" t="s">
        <v>37</v>
      </c>
      <c r="B1461" s="7" t="s">
        <v>31</v>
      </c>
      <c r="C1461" s="7" t="s">
        <v>12</v>
      </c>
      <c r="D1461" s="7" t="s">
        <v>89</v>
      </c>
      <c r="E1461" s="13">
        <f t="shared" ca="1" si="22"/>
        <v>46017</v>
      </c>
      <c r="F1461" s="7" t="s">
        <v>14</v>
      </c>
      <c r="G1461" s="8">
        <v>1</v>
      </c>
      <c r="H1461" s="9">
        <v>18500</v>
      </c>
      <c r="I1461" s="9">
        <v>17818</v>
      </c>
      <c r="J1461" s="17">
        <v>2138</v>
      </c>
    </row>
    <row r="1462" spans="1:10" x14ac:dyDescent="0.3">
      <c r="A1462" s="14" t="s">
        <v>41</v>
      </c>
      <c r="B1462" s="4" t="s">
        <v>88</v>
      </c>
      <c r="C1462" s="4" t="s">
        <v>12</v>
      </c>
      <c r="D1462" s="4" t="s">
        <v>201</v>
      </c>
      <c r="E1462" s="13">
        <f t="shared" ca="1" si="22"/>
        <v>45740</v>
      </c>
      <c r="F1462" s="4" t="s">
        <v>36</v>
      </c>
      <c r="G1462" s="5">
        <v>1</v>
      </c>
      <c r="H1462" s="6">
        <v>55000</v>
      </c>
      <c r="I1462" s="6">
        <v>50305</v>
      </c>
      <c r="J1462" s="16">
        <v>11067</v>
      </c>
    </row>
    <row r="1463" spans="1:10" x14ac:dyDescent="0.3">
      <c r="A1463" s="15" t="s">
        <v>37</v>
      </c>
      <c r="B1463" s="7" t="s">
        <v>16</v>
      </c>
      <c r="C1463" s="7" t="s">
        <v>12</v>
      </c>
      <c r="D1463" s="7" t="s">
        <v>111</v>
      </c>
      <c r="E1463" s="13">
        <f t="shared" ca="1" si="22"/>
        <v>45707</v>
      </c>
      <c r="F1463" s="7" t="s">
        <v>33</v>
      </c>
      <c r="G1463" s="8">
        <v>1</v>
      </c>
      <c r="H1463" s="9">
        <v>45000</v>
      </c>
      <c r="I1463" s="9">
        <v>48143</v>
      </c>
      <c r="J1463" s="17">
        <v>8666</v>
      </c>
    </row>
    <row r="1464" spans="1:10" x14ac:dyDescent="0.3">
      <c r="A1464" s="14" t="s">
        <v>15</v>
      </c>
      <c r="B1464" s="4" t="s">
        <v>88</v>
      </c>
      <c r="C1464" s="4" t="s">
        <v>12</v>
      </c>
      <c r="D1464" s="4" t="s">
        <v>234</v>
      </c>
      <c r="E1464" s="13">
        <f t="shared" ca="1" si="22"/>
        <v>45880</v>
      </c>
      <c r="F1464" s="4" t="s">
        <v>33</v>
      </c>
      <c r="G1464" s="5">
        <v>1</v>
      </c>
      <c r="H1464" s="6">
        <v>45000</v>
      </c>
      <c r="I1464" s="6">
        <v>49024</v>
      </c>
      <c r="J1464" s="16">
        <v>8824</v>
      </c>
    </row>
    <row r="1465" spans="1:10" x14ac:dyDescent="0.3">
      <c r="A1465" s="15" t="s">
        <v>10</v>
      </c>
      <c r="B1465" s="7" t="s">
        <v>84</v>
      </c>
      <c r="C1465" s="7" t="s">
        <v>12</v>
      </c>
      <c r="D1465" s="7" t="s">
        <v>125</v>
      </c>
      <c r="E1465" s="13">
        <f t="shared" ca="1" si="22"/>
        <v>46010</v>
      </c>
      <c r="F1465" s="7" t="s">
        <v>40</v>
      </c>
      <c r="G1465" s="8">
        <v>2</v>
      </c>
      <c r="H1465" s="9">
        <v>15000</v>
      </c>
      <c r="I1465" s="9">
        <v>29000</v>
      </c>
      <c r="J1465" s="17">
        <v>2900</v>
      </c>
    </row>
    <row r="1466" spans="1:10" x14ac:dyDescent="0.3">
      <c r="A1466" s="14" t="s">
        <v>18</v>
      </c>
      <c r="B1466" s="4" t="s">
        <v>38</v>
      </c>
      <c r="C1466" s="4" t="s">
        <v>23</v>
      </c>
      <c r="D1466" s="4" t="s">
        <v>73</v>
      </c>
      <c r="E1466" s="13">
        <f t="shared" ca="1" si="22"/>
        <v>45791</v>
      </c>
      <c r="F1466" s="4" t="s">
        <v>33</v>
      </c>
      <c r="G1466" s="5">
        <v>6</v>
      </c>
      <c r="H1466" s="6">
        <v>45000</v>
      </c>
      <c r="I1466" s="6">
        <v>291623</v>
      </c>
      <c r="J1466" s="16">
        <v>52492</v>
      </c>
    </row>
    <row r="1467" spans="1:10" x14ac:dyDescent="0.3">
      <c r="A1467" s="15" t="s">
        <v>15</v>
      </c>
      <c r="B1467" s="7" t="s">
        <v>22</v>
      </c>
      <c r="C1467" s="7" t="s">
        <v>23</v>
      </c>
      <c r="D1467" s="7" t="s">
        <v>191</v>
      </c>
      <c r="E1467" s="13">
        <f t="shared" ca="1" si="22"/>
        <v>45949</v>
      </c>
      <c r="F1467" s="7" t="s">
        <v>36</v>
      </c>
      <c r="G1467" s="8">
        <v>10</v>
      </c>
      <c r="H1467" s="9">
        <v>55000</v>
      </c>
      <c r="I1467" s="9">
        <v>596995</v>
      </c>
      <c r="J1467" s="17">
        <v>131339</v>
      </c>
    </row>
    <row r="1468" spans="1:10" x14ac:dyDescent="0.3">
      <c r="A1468" s="14" t="s">
        <v>41</v>
      </c>
      <c r="B1468" s="4" t="s">
        <v>29</v>
      </c>
      <c r="C1468" s="4" t="s">
        <v>26</v>
      </c>
      <c r="D1468" s="4" t="s">
        <v>120</v>
      </c>
      <c r="E1468" s="13">
        <f t="shared" ca="1" si="22"/>
        <v>46013</v>
      </c>
      <c r="F1468" s="4" t="s">
        <v>14</v>
      </c>
      <c r="G1468" s="5">
        <v>9</v>
      </c>
      <c r="H1468" s="6">
        <v>18500</v>
      </c>
      <c r="I1468" s="6">
        <v>177447</v>
      </c>
      <c r="J1468" s="16">
        <v>21294</v>
      </c>
    </row>
    <row r="1469" spans="1:10" x14ac:dyDescent="0.3">
      <c r="A1469" s="15" t="s">
        <v>37</v>
      </c>
      <c r="B1469" s="7" t="s">
        <v>16</v>
      </c>
      <c r="C1469" s="7" t="s">
        <v>12</v>
      </c>
      <c r="D1469" s="7" t="s">
        <v>188</v>
      </c>
      <c r="E1469" s="13">
        <f t="shared" ca="1" si="22"/>
        <v>46015</v>
      </c>
      <c r="F1469" s="7" t="s">
        <v>14</v>
      </c>
      <c r="G1469" s="8">
        <v>6</v>
      </c>
      <c r="H1469" s="9">
        <v>18500</v>
      </c>
      <c r="I1469" s="9">
        <v>109039</v>
      </c>
      <c r="J1469" s="17">
        <v>13085</v>
      </c>
    </row>
    <row r="1470" spans="1:10" x14ac:dyDescent="0.3">
      <c r="A1470" s="14" t="s">
        <v>37</v>
      </c>
      <c r="B1470" s="4" t="s">
        <v>51</v>
      </c>
      <c r="C1470" s="4" t="s">
        <v>12</v>
      </c>
      <c r="D1470" s="4" t="s">
        <v>253</v>
      </c>
      <c r="E1470" s="13">
        <f t="shared" ca="1" si="22"/>
        <v>45805</v>
      </c>
      <c r="F1470" s="4" t="s">
        <v>21</v>
      </c>
      <c r="G1470" s="5">
        <v>10</v>
      </c>
      <c r="H1470" s="6">
        <v>12500</v>
      </c>
      <c r="I1470" s="6">
        <v>116382</v>
      </c>
      <c r="J1470" s="16">
        <v>9311</v>
      </c>
    </row>
    <row r="1471" spans="1:10" x14ac:dyDescent="0.3">
      <c r="A1471" s="15" t="s">
        <v>10</v>
      </c>
      <c r="B1471" s="7" t="s">
        <v>46</v>
      </c>
      <c r="C1471" s="7" t="s">
        <v>26</v>
      </c>
      <c r="D1471" s="7" t="s">
        <v>43</v>
      </c>
      <c r="E1471" s="13">
        <f t="shared" ca="1" si="22"/>
        <v>45966</v>
      </c>
      <c r="F1471" s="7" t="s">
        <v>36</v>
      </c>
      <c r="G1471" s="8">
        <v>3</v>
      </c>
      <c r="H1471" s="9">
        <v>55000</v>
      </c>
      <c r="I1471" s="9">
        <v>159429</v>
      </c>
      <c r="J1471" s="17">
        <v>35074</v>
      </c>
    </row>
    <row r="1472" spans="1:10" x14ac:dyDescent="0.3">
      <c r="A1472" s="14" t="s">
        <v>10</v>
      </c>
      <c r="B1472" s="4" t="s">
        <v>84</v>
      </c>
      <c r="C1472" s="4" t="s">
        <v>12</v>
      </c>
      <c r="D1472" s="4" t="s">
        <v>55</v>
      </c>
      <c r="E1472" s="13">
        <f t="shared" ca="1" si="22"/>
        <v>45832</v>
      </c>
      <c r="F1472" s="4" t="s">
        <v>40</v>
      </c>
      <c r="G1472" s="5">
        <v>6</v>
      </c>
      <c r="H1472" s="6">
        <v>15000</v>
      </c>
      <c r="I1472" s="6">
        <v>88382</v>
      </c>
      <c r="J1472" s="16">
        <v>8838</v>
      </c>
    </row>
    <row r="1473" spans="1:10" x14ac:dyDescent="0.3">
      <c r="A1473" s="15" t="s">
        <v>37</v>
      </c>
      <c r="B1473" s="7" t="s">
        <v>88</v>
      </c>
      <c r="C1473" s="7" t="s">
        <v>12</v>
      </c>
      <c r="D1473" s="7" t="s">
        <v>80</v>
      </c>
      <c r="E1473" s="13">
        <f t="shared" ca="1" si="22"/>
        <v>45905</v>
      </c>
      <c r="F1473" s="7" t="s">
        <v>33</v>
      </c>
      <c r="G1473" s="8">
        <v>9</v>
      </c>
      <c r="H1473" s="9">
        <v>45000</v>
      </c>
      <c r="I1473" s="9">
        <v>396275</v>
      </c>
      <c r="J1473" s="17">
        <v>71330</v>
      </c>
    </row>
    <row r="1474" spans="1:10" x14ac:dyDescent="0.3">
      <c r="A1474" s="14" t="s">
        <v>10</v>
      </c>
      <c r="B1474" s="4" t="s">
        <v>81</v>
      </c>
      <c r="C1474" s="4" t="s">
        <v>26</v>
      </c>
      <c r="D1474" s="4" t="s">
        <v>101</v>
      </c>
      <c r="E1474" s="13">
        <f t="shared" ca="1" si="22"/>
        <v>45831</v>
      </c>
      <c r="F1474" s="4" t="s">
        <v>21</v>
      </c>
      <c r="G1474" s="5">
        <v>9</v>
      </c>
      <c r="H1474" s="6">
        <v>12500</v>
      </c>
      <c r="I1474" s="6">
        <v>101558</v>
      </c>
      <c r="J1474" s="16">
        <v>8125</v>
      </c>
    </row>
    <row r="1475" spans="1:10" x14ac:dyDescent="0.3">
      <c r="A1475" s="15" t="s">
        <v>18</v>
      </c>
      <c r="B1475" s="7" t="s">
        <v>11</v>
      </c>
      <c r="C1475" s="7" t="s">
        <v>12</v>
      </c>
      <c r="D1475" s="7" t="s">
        <v>175</v>
      </c>
      <c r="E1475" s="13">
        <f t="shared" ref="E1475:E1538" ca="1" si="23">DATE(2025,1,1)+RANDBETWEEN(0,364)</f>
        <v>45740</v>
      </c>
      <c r="F1475" s="7" t="s">
        <v>36</v>
      </c>
      <c r="G1475" s="8">
        <v>8</v>
      </c>
      <c r="H1475" s="9">
        <v>55000</v>
      </c>
      <c r="I1475" s="9">
        <v>408973</v>
      </c>
      <c r="J1475" s="17">
        <v>89974</v>
      </c>
    </row>
    <row r="1476" spans="1:10" x14ac:dyDescent="0.3">
      <c r="A1476" s="14" t="s">
        <v>10</v>
      </c>
      <c r="B1476" s="4" t="s">
        <v>81</v>
      </c>
      <c r="C1476" s="4" t="s">
        <v>26</v>
      </c>
      <c r="D1476" s="4" t="s">
        <v>78</v>
      </c>
      <c r="E1476" s="13">
        <f t="shared" ca="1" si="23"/>
        <v>45810</v>
      </c>
      <c r="F1476" s="4" t="s">
        <v>36</v>
      </c>
      <c r="G1476" s="5">
        <v>4</v>
      </c>
      <c r="H1476" s="6">
        <v>55000</v>
      </c>
      <c r="I1476" s="6">
        <v>210009</v>
      </c>
      <c r="J1476" s="16">
        <v>46202</v>
      </c>
    </row>
    <row r="1477" spans="1:10" x14ac:dyDescent="0.3">
      <c r="A1477" s="15" t="s">
        <v>41</v>
      </c>
      <c r="B1477" s="7" t="s">
        <v>46</v>
      </c>
      <c r="C1477" s="7" t="s">
        <v>26</v>
      </c>
      <c r="D1477" s="7" t="s">
        <v>129</v>
      </c>
      <c r="E1477" s="13">
        <f t="shared" ca="1" si="23"/>
        <v>45990</v>
      </c>
      <c r="F1477" s="7" t="s">
        <v>21</v>
      </c>
      <c r="G1477" s="8">
        <v>3</v>
      </c>
      <c r="H1477" s="9">
        <v>12500</v>
      </c>
      <c r="I1477" s="9">
        <v>36299</v>
      </c>
      <c r="J1477" s="17">
        <v>2904</v>
      </c>
    </row>
    <row r="1478" spans="1:10" x14ac:dyDescent="0.3">
      <c r="A1478" s="14" t="s">
        <v>10</v>
      </c>
      <c r="B1478" s="4" t="s">
        <v>88</v>
      </c>
      <c r="C1478" s="4" t="s">
        <v>12</v>
      </c>
      <c r="D1478" s="4" t="s">
        <v>247</v>
      </c>
      <c r="E1478" s="13">
        <f t="shared" ca="1" si="23"/>
        <v>45946</v>
      </c>
      <c r="F1478" s="4" t="s">
        <v>21</v>
      </c>
      <c r="G1478" s="5">
        <v>5</v>
      </c>
      <c r="H1478" s="6">
        <v>12500</v>
      </c>
      <c r="I1478" s="6">
        <v>63152</v>
      </c>
      <c r="J1478" s="16">
        <v>5052</v>
      </c>
    </row>
    <row r="1479" spans="1:10" x14ac:dyDescent="0.3">
      <c r="A1479" s="15" t="s">
        <v>15</v>
      </c>
      <c r="B1479" s="7" t="s">
        <v>56</v>
      </c>
      <c r="C1479" s="7" t="s">
        <v>23</v>
      </c>
      <c r="D1479" s="7" t="s">
        <v>240</v>
      </c>
      <c r="E1479" s="13">
        <f t="shared" ca="1" si="23"/>
        <v>46009</v>
      </c>
      <c r="F1479" s="7" t="s">
        <v>33</v>
      </c>
      <c r="G1479" s="8">
        <v>1</v>
      </c>
      <c r="H1479" s="9">
        <v>45000</v>
      </c>
      <c r="I1479" s="9">
        <v>48556</v>
      </c>
      <c r="J1479" s="17">
        <v>8740</v>
      </c>
    </row>
    <row r="1480" spans="1:10" x14ac:dyDescent="0.3">
      <c r="A1480" s="14" t="s">
        <v>18</v>
      </c>
      <c r="B1480" s="4" t="s">
        <v>16</v>
      </c>
      <c r="C1480" s="4" t="s">
        <v>12</v>
      </c>
      <c r="D1480" s="4" t="s">
        <v>252</v>
      </c>
      <c r="E1480" s="13">
        <f t="shared" ca="1" si="23"/>
        <v>46020</v>
      </c>
      <c r="F1480" s="4" t="s">
        <v>14</v>
      </c>
      <c r="G1480" s="5">
        <v>8</v>
      </c>
      <c r="H1480" s="6">
        <v>18500</v>
      </c>
      <c r="I1480" s="6">
        <v>137734</v>
      </c>
      <c r="J1480" s="16">
        <v>16528</v>
      </c>
    </row>
    <row r="1481" spans="1:10" x14ac:dyDescent="0.3">
      <c r="A1481" s="15" t="s">
        <v>37</v>
      </c>
      <c r="B1481" s="7" t="s">
        <v>29</v>
      </c>
      <c r="C1481" s="7" t="s">
        <v>26</v>
      </c>
      <c r="D1481" s="7" t="s">
        <v>241</v>
      </c>
      <c r="E1481" s="13">
        <f t="shared" ca="1" si="23"/>
        <v>45740</v>
      </c>
      <c r="F1481" s="7" t="s">
        <v>33</v>
      </c>
      <c r="G1481" s="8">
        <v>8</v>
      </c>
      <c r="H1481" s="9">
        <v>45000</v>
      </c>
      <c r="I1481" s="9">
        <v>366127</v>
      </c>
      <c r="J1481" s="17">
        <v>65903</v>
      </c>
    </row>
    <row r="1482" spans="1:10" x14ac:dyDescent="0.3">
      <c r="A1482" s="14" t="s">
        <v>18</v>
      </c>
      <c r="B1482" s="4" t="s">
        <v>29</v>
      </c>
      <c r="C1482" s="4" t="s">
        <v>26</v>
      </c>
      <c r="D1482" s="4" t="s">
        <v>262</v>
      </c>
      <c r="E1482" s="13">
        <f t="shared" ca="1" si="23"/>
        <v>46007</v>
      </c>
      <c r="F1482" s="4" t="s">
        <v>40</v>
      </c>
      <c r="G1482" s="5">
        <v>7</v>
      </c>
      <c r="H1482" s="6">
        <v>15000</v>
      </c>
      <c r="I1482" s="6">
        <v>104903</v>
      </c>
      <c r="J1482" s="16">
        <v>10490</v>
      </c>
    </row>
    <row r="1483" spans="1:10" x14ac:dyDescent="0.3">
      <c r="A1483" s="15" t="s">
        <v>15</v>
      </c>
      <c r="B1483" s="7" t="s">
        <v>84</v>
      </c>
      <c r="C1483" s="7" t="s">
        <v>12</v>
      </c>
      <c r="D1483" s="7" t="s">
        <v>237</v>
      </c>
      <c r="E1483" s="13">
        <f t="shared" ca="1" si="23"/>
        <v>45825</v>
      </c>
      <c r="F1483" s="7" t="s">
        <v>40</v>
      </c>
      <c r="G1483" s="8">
        <v>6</v>
      </c>
      <c r="H1483" s="9">
        <v>15000</v>
      </c>
      <c r="I1483" s="9">
        <v>87340</v>
      </c>
      <c r="J1483" s="17">
        <v>8734</v>
      </c>
    </row>
    <row r="1484" spans="1:10" x14ac:dyDescent="0.3">
      <c r="A1484" s="14" t="s">
        <v>41</v>
      </c>
      <c r="B1484" s="4" t="s">
        <v>29</v>
      </c>
      <c r="C1484" s="4" t="s">
        <v>26</v>
      </c>
      <c r="D1484" s="4" t="s">
        <v>75</v>
      </c>
      <c r="E1484" s="13">
        <f t="shared" ca="1" si="23"/>
        <v>45827</v>
      </c>
      <c r="F1484" s="4" t="s">
        <v>36</v>
      </c>
      <c r="G1484" s="5">
        <v>4</v>
      </c>
      <c r="H1484" s="6">
        <v>55000</v>
      </c>
      <c r="I1484" s="6">
        <v>231021</v>
      </c>
      <c r="J1484" s="16">
        <v>50825</v>
      </c>
    </row>
    <row r="1485" spans="1:10" x14ac:dyDescent="0.3">
      <c r="A1485" s="15" t="s">
        <v>15</v>
      </c>
      <c r="B1485" s="7" t="s">
        <v>88</v>
      </c>
      <c r="C1485" s="7" t="s">
        <v>12</v>
      </c>
      <c r="D1485" s="7" t="s">
        <v>196</v>
      </c>
      <c r="E1485" s="13">
        <f t="shared" ca="1" si="23"/>
        <v>45948</v>
      </c>
      <c r="F1485" s="7" t="s">
        <v>40</v>
      </c>
      <c r="G1485" s="8">
        <v>3</v>
      </c>
      <c r="H1485" s="9">
        <v>15000</v>
      </c>
      <c r="I1485" s="9">
        <v>46299</v>
      </c>
      <c r="J1485" s="17">
        <v>4630</v>
      </c>
    </row>
    <row r="1486" spans="1:10" x14ac:dyDescent="0.3">
      <c r="A1486" s="14" t="s">
        <v>10</v>
      </c>
      <c r="B1486" s="4" t="s">
        <v>51</v>
      </c>
      <c r="C1486" s="4" t="s">
        <v>12</v>
      </c>
      <c r="D1486" s="4" t="s">
        <v>162</v>
      </c>
      <c r="E1486" s="13">
        <f t="shared" ca="1" si="23"/>
        <v>45802</v>
      </c>
      <c r="F1486" s="4" t="s">
        <v>14</v>
      </c>
      <c r="G1486" s="5">
        <v>1</v>
      </c>
      <c r="H1486" s="6">
        <v>18500</v>
      </c>
      <c r="I1486" s="6">
        <v>16959</v>
      </c>
      <c r="J1486" s="16">
        <v>2035</v>
      </c>
    </row>
    <row r="1487" spans="1:10" x14ac:dyDescent="0.3">
      <c r="A1487" s="15" t="s">
        <v>41</v>
      </c>
      <c r="B1487" s="7" t="s">
        <v>84</v>
      </c>
      <c r="C1487" s="7" t="s">
        <v>12</v>
      </c>
      <c r="D1487" s="7" t="s">
        <v>200</v>
      </c>
      <c r="E1487" s="13">
        <f t="shared" ca="1" si="23"/>
        <v>45673</v>
      </c>
      <c r="F1487" s="7" t="s">
        <v>40</v>
      </c>
      <c r="G1487" s="8">
        <v>6</v>
      </c>
      <c r="H1487" s="9">
        <v>15000</v>
      </c>
      <c r="I1487" s="9">
        <v>81791</v>
      </c>
      <c r="J1487" s="17">
        <v>8179</v>
      </c>
    </row>
    <row r="1488" spans="1:10" x14ac:dyDescent="0.3">
      <c r="A1488" s="14" t="s">
        <v>41</v>
      </c>
      <c r="B1488" s="4" t="s">
        <v>19</v>
      </c>
      <c r="C1488" s="4" t="s">
        <v>12</v>
      </c>
      <c r="D1488" s="4" t="s">
        <v>128</v>
      </c>
      <c r="E1488" s="13">
        <f t="shared" ca="1" si="23"/>
        <v>45798</v>
      </c>
      <c r="F1488" s="4" t="s">
        <v>21</v>
      </c>
      <c r="G1488" s="5">
        <v>6</v>
      </c>
      <c r="H1488" s="6">
        <v>12500</v>
      </c>
      <c r="I1488" s="6">
        <v>76954</v>
      </c>
      <c r="J1488" s="16">
        <v>6156</v>
      </c>
    </row>
    <row r="1489" spans="1:10" x14ac:dyDescent="0.3">
      <c r="A1489" s="15" t="s">
        <v>15</v>
      </c>
      <c r="B1489" s="7" t="s">
        <v>88</v>
      </c>
      <c r="C1489" s="7" t="s">
        <v>12</v>
      </c>
      <c r="D1489" s="7" t="s">
        <v>78</v>
      </c>
      <c r="E1489" s="13">
        <f t="shared" ca="1" si="23"/>
        <v>45972</v>
      </c>
      <c r="F1489" s="7" t="s">
        <v>40</v>
      </c>
      <c r="G1489" s="8">
        <v>8</v>
      </c>
      <c r="H1489" s="9">
        <v>15000</v>
      </c>
      <c r="I1489" s="9">
        <v>109217</v>
      </c>
      <c r="J1489" s="17">
        <v>10922</v>
      </c>
    </row>
    <row r="1490" spans="1:10" x14ac:dyDescent="0.3">
      <c r="A1490" s="14" t="s">
        <v>37</v>
      </c>
      <c r="B1490" s="4" t="s">
        <v>81</v>
      </c>
      <c r="C1490" s="4" t="s">
        <v>26</v>
      </c>
      <c r="D1490" s="4" t="s">
        <v>210</v>
      </c>
      <c r="E1490" s="13">
        <f t="shared" ca="1" si="23"/>
        <v>45762</v>
      </c>
      <c r="F1490" s="4" t="s">
        <v>33</v>
      </c>
      <c r="G1490" s="5">
        <v>8</v>
      </c>
      <c r="H1490" s="6">
        <v>45000</v>
      </c>
      <c r="I1490" s="6">
        <v>393328</v>
      </c>
      <c r="J1490" s="16">
        <v>70799</v>
      </c>
    </row>
    <row r="1491" spans="1:10" x14ac:dyDescent="0.3">
      <c r="A1491" s="15" t="s">
        <v>15</v>
      </c>
      <c r="B1491" s="7" t="s">
        <v>51</v>
      </c>
      <c r="C1491" s="7" t="s">
        <v>12</v>
      </c>
      <c r="D1491" s="7" t="s">
        <v>86</v>
      </c>
      <c r="E1491" s="13">
        <f t="shared" ca="1" si="23"/>
        <v>45991</v>
      </c>
      <c r="F1491" s="7" t="s">
        <v>33</v>
      </c>
      <c r="G1491" s="8">
        <v>4</v>
      </c>
      <c r="H1491" s="9">
        <v>45000</v>
      </c>
      <c r="I1491" s="9">
        <v>167012</v>
      </c>
      <c r="J1491" s="17">
        <v>30062</v>
      </c>
    </row>
    <row r="1492" spans="1:10" x14ac:dyDescent="0.3">
      <c r="A1492" s="14" t="s">
        <v>18</v>
      </c>
      <c r="B1492" s="4" t="s">
        <v>56</v>
      </c>
      <c r="C1492" s="4" t="s">
        <v>23</v>
      </c>
      <c r="D1492" s="4" t="s">
        <v>68</v>
      </c>
      <c r="E1492" s="13">
        <f t="shared" ca="1" si="23"/>
        <v>45912</v>
      </c>
      <c r="F1492" s="4" t="s">
        <v>36</v>
      </c>
      <c r="G1492" s="5">
        <v>5</v>
      </c>
      <c r="H1492" s="6">
        <v>55000</v>
      </c>
      <c r="I1492" s="6">
        <v>258528</v>
      </c>
      <c r="J1492" s="16">
        <v>56876</v>
      </c>
    </row>
    <row r="1493" spans="1:10" x14ac:dyDescent="0.3">
      <c r="A1493" s="15" t="s">
        <v>18</v>
      </c>
      <c r="B1493" s="7" t="s">
        <v>19</v>
      </c>
      <c r="C1493" s="7" t="s">
        <v>12</v>
      </c>
      <c r="D1493" s="7" t="s">
        <v>251</v>
      </c>
      <c r="E1493" s="13">
        <f t="shared" ca="1" si="23"/>
        <v>45912</v>
      </c>
      <c r="F1493" s="7" t="s">
        <v>40</v>
      </c>
      <c r="G1493" s="8">
        <v>1</v>
      </c>
      <c r="H1493" s="9">
        <v>15000</v>
      </c>
      <c r="I1493" s="9">
        <v>15868</v>
      </c>
      <c r="J1493" s="17">
        <v>1587</v>
      </c>
    </row>
    <row r="1494" spans="1:10" x14ac:dyDescent="0.3">
      <c r="A1494" s="14" t="s">
        <v>18</v>
      </c>
      <c r="B1494" s="4" t="s">
        <v>77</v>
      </c>
      <c r="C1494" s="4" t="s">
        <v>12</v>
      </c>
      <c r="D1494" s="4" t="s">
        <v>107</v>
      </c>
      <c r="E1494" s="13">
        <f t="shared" ca="1" si="23"/>
        <v>45867</v>
      </c>
      <c r="F1494" s="4" t="s">
        <v>21</v>
      </c>
      <c r="G1494" s="5">
        <v>6</v>
      </c>
      <c r="H1494" s="6">
        <v>12500</v>
      </c>
      <c r="I1494" s="6">
        <v>76852</v>
      </c>
      <c r="J1494" s="16">
        <v>6148</v>
      </c>
    </row>
    <row r="1495" spans="1:10" x14ac:dyDescent="0.3">
      <c r="A1495" s="15" t="s">
        <v>10</v>
      </c>
      <c r="B1495" s="7" t="s">
        <v>81</v>
      </c>
      <c r="C1495" s="7" t="s">
        <v>26</v>
      </c>
      <c r="D1495" s="7" t="s">
        <v>254</v>
      </c>
      <c r="E1495" s="13">
        <f t="shared" ca="1" si="23"/>
        <v>45979</v>
      </c>
      <c r="F1495" s="7" t="s">
        <v>14</v>
      </c>
      <c r="G1495" s="8">
        <v>10</v>
      </c>
      <c r="H1495" s="9">
        <v>18500</v>
      </c>
      <c r="I1495" s="9">
        <v>177582</v>
      </c>
      <c r="J1495" s="17">
        <v>21310</v>
      </c>
    </row>
    <row r="1496" spans="1:10" x14ac:dyDescent="0.3">
      <c r="A1496" s="14" t="s">
        <v>18</v>
      </c>
      <c r="B1496" s="4" t="s">
        <v>16</v>
      </c>
      <c r="C1496" s="4" t="s">
        <v>12</v>
      </c>
      <c r="D1496" s="4" t="s">
        <v>20</v>
      </c>
      <c r="E1496" s="13">
        <f t="shared" ca="1" si="23"/>
        <v>45690</v>
      </c>
      <c r="F1496" s="4" t="s">
        <v>33</v>
      </c>
      <c r="G1496" s="5">
        <v>6</v>
      </c>
      <c r="H1496" s="6">
        <v>45000</v>
      </c>
      <c r="I1496" s="6">
        <v>289026</v>
      </c>
      <c r="J1496" s="16">
        <v>52025</v>
      </c>
    </row>
    <row r="1497" spans="1:10" x14ac:dyDescent="0.3">
      <c r="A1497" s="15" t="s">
        <v>15</v>
      </c>
      <c r="B1497" s="7" t="s">
        <v>84</v>
      </c>
      <c r="C1497" s="7" t="s">
        <v>12</v>
      </c>
      <c r="D1497" s="7" t="s">
        <v>208</v>
      </c>
      <c r="E1497" s="13">
        <f t="shared" ca="1" si="23"/>
        <v>45891</v>
      </c>
      <c r="F1497" s="7" t="s">
        <v>40</v>
      </c>
      <c r="G1497" s="8">
        <v>6</v>
      </c>
      <c r="H1497" s="9">
        <v>15000</v>
      </c>
      <c r="I1497" s="9">
        <v>96419</v>
      </c>
      <c r="J1497" s="17">
        <v>9642</v>
      </c>
    </row>
    <row r="1498" spans="1:10" x14ac:dyDescent="0.3">
      <c r="A1498" s="14" t="s">
        <v>41</v>
      </c>
      <c r="B1498" s="4" t="s">
        <v>29</v>
      </c>
      <c r="C1498" s="4" t="s">
        <v>26</v>
      </c>
      <c r="D1498" s="4" t="s">
        <v>66</v>
      </c>
      <c r="E1498" s="13">
        <f t="shared" ca="1" si="23"/>
        <v>45886</v>
      </c>
      <c r="F1498" s="4" t="s">
        <v>21</v>
      </c>
      <c r="G1498" s="5">
        <v>4</v>
      </c>
      <c r="H1498" s="6">
        <v>12500</v>
      </c>
      <c r="I1498" s="6">
        <v>46752</v>
      </c>
      <c r="J1498" s="16">
        <v>3740</v>
      </c>
    </row>
    <row r="1499" spans="1:10" x14ac:dyDescent="0.3">
      <c r="A1499" s="15" t="s">
        <v>18</v>
      </c>
      <c r="B1499" s="7" t="s">
        <v>11</v>
      </c>
      <c r="C1499" s="7" t="s">
        <v>12</v>
      </c>
      <c r="D1499" s="7" t="s">
        <v>250</v>
      </c>
      <c r="E1499" s="13">
        <f t="shared" ca="1" si="23"/>
        <v>45702</v>
      </c>
      <c r="F1499" s="7" t="s">
        <v>21</v>
      </c>
      <c r="G1499" s="8">
        <v>1</v>
      </c>
      <c r="H1499" s="9">
        <v>12500</v>
      </c>
      <c r="I1499" s="9">
        <v>13704</v>
      </c>
      <c r="J1499" s="17">
        <v>1096</v>
      </c>
    </row>
    <row r="1500" spans="1:10" x14ac:dyDescent="0.3">
      <c r="A1500" s="14" t="s">
        <v>18</v>
      </c>
      <c r="B1500" s="4" t="s">
        <v>84</v>
      </c>
      <c r="C1500" s="4" t="s">
        <v>12</v>
      </c>
      <c r="D1500" s="4" t="s">
        <v>66</v>
      </c>
      <c r="E1500" s="13">
        <f t="shared" ca="1" si="23"/>
        <v>45872</v>
      </c>
      <c r="F1500" s="4" t="s">
        <v>36</v>
      </c>
      <c r="G1500" s="5">
        <v>6</v>
      </c>
      <c r="H1500" s="6">
        <v>55000</v>
      </c>
      <c r="I1500" s="6">
        <v>308675</v>
      </c>
      <c r="J1500" s="16">
        <v>67908</v>
      </c>
    </row>
    <row r="1501" spans="1:10" x14ac:dyDescent="0.3">
      <c r="A1501" s="15" t="s">
        <v>37</v>
      </c>
      <c r="B1501" s="7" t="s">
        <v>11</v>
      </c>
      <c r="C1501" s="7" t="s">
        <v>12</v>
      </c>
      <c r="D1501" s="7" t="s">
        <v>125</v>
      </c>
      <c r="E1501" s="13">
        <f t="shared" ca="1" si="23"/>
        <v>45887</v>
      </c>
      <c r="F1501" s="7" t="s">
        <v>33</v>
      </c>
      <c r="G1501" s="8">
        <v>10</v>
      </c>
      <c r="H1501" s="9">
        <v>45000</v>
      </c>
      <c r="I1501" s="9">
        <v>440049</v>
      </c>
      <c r="J1501" s="17">
        <v>79209</v>
      </c>
    </row>
    <row r="1502" spans="1:10" x14ac:dyDescent="0.3">
      <c r="A1502" s="14" t="s">
        <v>18</v>
      </c>
      <c r="B1502" s="4" t="s">
        <v>22</v>
      </c>
      <c r="C1502" s="4" t="s">
        <v>23</v>
      </c>
      <c r="D1502" s="4" t="s">
        <v>141</v>
      </c>
      <c r="E1502" s="13">
        <f t="shared" ca="1" si="23"/>
        <v>45913</v>
      </c>
      <c r="F1502" s="4" t="s">
        <v>33</v>
      </c>
      <c r="G1502" s="5">
        <v>1</v>
      </c>
      <c r="H1502" s="6">
        <v>45000</v>
      </c>
      <c r="I1502" s="6">
        <v>44720</v>
      </c>
      <c r="J1502" s="16">
        <v>8050</v>
      </c>
    </row>
    <row r="1503" spans="1:10" x14ac:dyDescent="0.3">
      <c r="A1503" s="15" t="s">
        <v>18</v>
      </c>
      <c r="B1503" s="7" t="s">
        <v>38</v>
      </c>
      <c r="C1503" s="7" t="s">
        <v>23</v>
      </c>
      <c r="D1503" s="7" t="s">
        <v>135</v>
      </c>
      <c r="E1503" s="13">
        <f t="shared" ca="1" si="23"/>
        <v>45873</v>
      </c>
      <c r="F1503" s="7" t="s">
        <v>36</v>
      </c>
      <c r="G1503" s="8">
        <v>2</v>
      </c>
      <c r="H1503" s="9">
        <v>55000</v>
      </c>
      <c r="I1503" s="9">
        <v>117608</v>
      </c>
      <c r="J1503" s="17">
        <v>25874</v>
      </c>
    </row>
    <row r="1504" spans="1:10" x14ac:dyDescent="0.3">
      <c r="A1504" s="14" t="s">
        <v>18</v>
      </c>
      <c r="B1504" s="4" t="s">
        <v>19</v>
      </c>
      <c r="C1504" s="4" t="s">
        <v>12</v>
      </c>
      <c r="D1504" s="4" t="s">
        <v>78</v>
      </c>
      <c r="E1504" s="13">
        <f t="shared" ca="1" si="23"/>
        <v>45767</v>
      </c>
      <c r="F1504" s="4" t="s">
        <v>14</v>
      </c>
      <c r="G1504" s="5">
        <v>6</v>
      </c>
      <c r="H1504" s="6">
        <v>18500</v>
      </c>
      <c r="I1504" s="6">
        <v>119045</v>
      </c>
      <c r="J1504" s="16">
        <v>14285</v>
      </c>
    </row>
    <row r="1505" spans="1:10" x14ac:dyDescent="0.3">
      <c r="A1505" s="15" t="s">
        <v>15</v>
      </c>
      <c r="B1505" s="7" t="s">
        <v>16</v>
      </c>
      <c r="C1505" s="7" t="s">
        <v>12</v>
      </c>
      <c r="D1505" s="7" t="s">
        <v>70</v>
      </c>
      <c r="E1505" s="13">
        <f t="shared" ca="1" si="23"/>
        <v>45682</v>
      </c>
      <c r="F1505" s="7" t="s">
        <v>40</v>
      </c>
      <c r="G1505" s="8">
        <v>3</v>
      </c>
      <c r="H1505" s="9">
        <v>15000</v>
      </c>
      <c r="I1505" s="9">
        <v>47824</v>
      </c>
      <c r="J1505" s="17">
        <v>4782</v>
      </c>
    </row>
    <row r="1506" spans="1:10" x14ac:dyDescent="0.3">
      <c r="A1506" s="14" t="s">
        <v>37</v>
      </c>
      <c r="B1506" s="4" t="s">
        <v>25</v>
      </c>
      <c r="C1506" s="4" t="s">
        <v>26</v>
      </c>
      <c r="D1506" s="4" t="s">
        <v>171</v>
      </c>
      <c r="E1506" s="13">
        <f t="shared" ca="1" si="23"/>
        <v>45726</v>
      </c>
      <c r="F1506" s="4" t="s">
        <v>14</v>
      </c>
      <c r="G1506" s="5">
        <v>5</v>
      </c>
      <c r="H1506" s="6">
        <v>18500</v>
      </c>
      <c r="I1506" s="6">
        <v>85833</v>
      </c>
      <c r="J1506" s="16">
        <v>10300</v>
      </c>
    </row>
    <row r="1507" spans="1:10" x14ac:dyDescent="0.3">
      <c r="A1507" s="15" t="s">
        <v>10</v>
      </c>
      <c r="B1507" s="7" t="s">
        <v>84</v>
      </c>
      <c r="C1507" s="7" t="s">
        <v>12</v>
      </c>
      <c r="D1507" s="7" t="s">
        <v>121</v>
      </c>
      <c r="E1507" s="13">
        <f t="shared" ca="1" si="23"/>
        <v>45832</v>
      </c>
      <c r="F1507" s="7" t="s">
        <v>14</v>
      </c>
      <c r="G1507" s="8">
        <v>6</v>
      </c>
      <c r="H1507" s="9">
        <v>18500</v>
      </c>
      <c r="I1507" s="9">
        <v>111787</v>
      </c>
      <c r="J1507" s="17">
        <v>13414</v>
      </c>
    </row>
    <row r="1508" spans="1:10" x14ac:dyDescent="0.3">
      <c r="A1508" s="14" t="s">
        <v>10</v>
      </c>
      <c r="B1508" s="4" t="s">
        <v>38</v>
      </c>
      <c r="C1508" s="4" t="s">
        <v>23</v>
      </c>
      <c r="D1508" s="4" t="s">
        <v>132</v>
      </c>
      <c r="E1508" s="13">
        <f t="shared" ca="1" si="23"/>
        <v>45728</v>
      </c>
      <c r="F1508" s="4" t="s">
        <v>21</v>
      </c>
      <c r="G1508" s="5">
        <v>3</v>
      </c>
      <c r="H1508" s="6">
        <v>12500</v>
      </c>
      <c r="I1508" s="6">
        <v>40952</v>
      </c>
      <c r="J1508" s="16">
        <v>3276</v>
      </c>
    </row>
    <row r="1509" spans="1:10" x14ac:dyDescent="0.3">
      <c r="A1509" s="15" t="s">
        <v>37</v>
      </c>
      <c r="B1509" s="7" t="s">
        <v>38</v>
      </c>
      <c r="C1509" s="7" t="s">
        <v>23</v>
      </c>
      <c r="D1509" s="7" t="s">
        <v>64</v>
      </c>
      <c r="E1509" s="13">
        <f t="shared" ca="1" si="23"/>
        <v>46006</v>
      </c>
      <c r="F1509" s="7" t="s">
        <v>21</v>
      </c>
      <c r="G1509" s="8">
        <v>2</v>
      </c>
      <c r="H1509" s="9">
        <v>12500</v>
      </c>
      <c r="I1509" s="9">
        <v>26135</v>
      </c>
      <c r="J1509" s="17">
        <v>2091</v>
      </c>
    </row>
    <row r="1510" spans="1:10" x14ac:dyDescent="0.3">
      <c r="A1510" s="14" t="s">
        <v>10</v>
      </c>
      <c r="B1510" s="4" t="s">
        <v>19</v>
      </c>
      <c r="C1510" s="4" t="s">
        <v>12</v>
      </c>
      <c r="D1510" s="4" t="s">
        <v>146</v>
      </c>
      <c r="E1510" s="13">
        <f t="shared" ca="1" si="23"/>
        <v>45874</v>
      </c>
      <c r="F1510" s="4" t="s">
        <v>36</v>
      </c>
      <c r="G1510" s="5">
        <v>5</v>
      </c>
      <c r="H1510" s="6">
        <v>55000</v>
      </c>
      <c r="I1510" s="6">
        <v>279637</v>
      </c>
      <c r="J1510" s="16">
        <v>61520</v>
      </c>
    </row>
    <row r="1511" spans="1:10" x14ac:dyDescent="0.3">
      <c r="A1511" s="15" t="s">
        <v>41</v>
      </c>
      <c r="B1511" s="7" t="s">
        <v>77</v>
      </c>
      <c r="C1511" s="7" t="s">
        <v>12</v>
      </c>
      <c r="D1511" s="7" t="s">
        <v>189</v>
      </c>
      <c r="E1511" s="13">
        <f t="shared" ca="1" si="23"/>
        <v>45712</v>
      </c>
      <c r="F1511" s="7" t="s">
        <v>36</v>
      </c>
      <c r="G1511" s="8">
        <v>6</v>
      </c>
      <c r="H1511" s="9">
        <v>55000</v>
      </c>
      <c r="I1511" s="9">
        <v>342488</v>
      </c>
      <c r="J1511" s="17">
        <v>75347</v>
      </c>
    </row>
    <row r="1512" spans="1:10" x14ac:dyDescent="0.3">
      <c r="A1512" s="14" t="s">
        <v>15</v>
      </c>
      <c r="B1512" s="4" t="s">
        <v>77</v>
      </c>
      <c r="C1512" s="4" t="s">
        <v>12</v>
      </c>
      <c r="D1512" s="4" t="s">
        <v>227</v>
      </c>
      <c r="E1512" s="13">
        <f t="shared" ca="1" si="23"/>
        <v>45678</v>
      </c>
      <c r="F1512" s="4" t="s">
        <v>33</v>
      </c>
      <c r="G1512" s="5">
        <v>3</v>
      </c>
      <c r="H1512" s="6">
        <v>45000</v>
      </c>
      <c r="I1512" s="6">
        <v>130323</v>
      </c>
      <c r="J1512" s="16">
        <v>23458</v>
      </c>
    </row>
    <row r="1513" spans="1:10" x14ac:dyDescent="0.3">
      <c r="A1513" s="15" t="s">
        <v>15</v>
      </c>
      <c r="B1513" s="7" t="s">
        <v>38</v>
      </c>
      <c r="C1513" s="7" t="s">
        <v>23</v>
      </c>
      <c r="D1513" s="7" t="s">
        <v>173</v>
      </c>
      <c r="E1513" s="13">
        <f t="shared" ca="1" si="23"/>
        <v>45994</v>
      </c>
      <c r="F1513" s="7" t="s">
        <v>36</v>
      </c>
      <c r="G1513" s="8">
        <v>9</v>
      </c>
      <c r="H1513" s="9">
        <v>55000</v>
      </c>
      <c r="I1513" s="9">
        <v>457158</v>
      </c>
      <c r="J1513" s="17">
        <v>100575</v>
      </c>
    </row>
    <row r="1514" spans="1:10" x14ac:dyDescent="0.3">
      <c r="A1514" s="14" t="s">
        <v>37</v>
      </c>
      <c r="B1514" s="4" t="s">
        <v>88</v>
      </c>
      <c r="C1514" s="4" t="s">
        <v>12</v>
      </c>
      <c r="D1514" s="4" t="s">
        <v>123</v>
      </c>
      <c r="E1514" s="13">
        <f t="shared" ca="1" si="23"/>
        <v>45710</v>
      </c>
      <c r="F1514" s="4" t="s">
        <v>36</v>
      </c>
      <c r="G1514" s="5">
        <v>8</v>
      </c>
      <c r="H1514" s="6">
        <v>55000</v>
      </c>
      <c r="I1514" s="6">
        <v>427810</v>
      </c>
      <c r="J1514" s="16">
        <v>94118</v>
      </c>
    </row>
    <row r="1515" spans="1:10" x14ac:dyDescent="0.3">
      <c r="A1515" s="15" t="s">
        <v>15</v>
      </c>
      <c r="B1515" s="7" t="s">
        <v>11</v>
      </c>
      <c r="C1515" s="7" t="s">
        <v>12</v>
      </c>
      <c r="D1515" s="7" t="s">
        <v>252</v>
      </c>
      <c r="E1515" s="13">
        <f t="shared" ca="1" si="23"/>
        <v>45907</v>
      </c>
      <c r="F1515" s="7" t="s">
        <v>36</v>
      </c>
      <c r="G1515" s="8">
        <v>1</v>
      </c>
      <c r="H1515" s="9">
        <v>55000</v>
      </c>
      <c r="I1515" s="9">
        <v>49589</v>
      </c>
      <c r="J1515" s="17">
        <v>10910</v>
      </c>
    </row>
    <row r="1516" spans="1:10" x14ac:dyDescent="0.3">
      <c r="A1516" s="14" t="s">
        <v>41</v>
      </c>
      <c r="B1516" s="4" t="s">
        <v>29</v>
      </c>
      <c r="C1516" s="4" t="s">
        <v>26</v>
      </c>
      <c r="D1516" s="4" t="s">
        <v>211</v>
      </c>
      <c r="E1516" s="13">
        <f t="shared" ca="1" si="23"/>
        <v>45664</v>
      </c>
      <c r="F1516" s="4" t="s">
        <v>21</v>
      </c>
      <c r="G1516" s="5">
        <v>4</v>
      </c>
      <c r="H1516" s="6">
        <v>12500</v>
      </c>
      <c r="I1516" s="6">
        <v>52631</v>
      </c>
      <c r="J1516" s="16">
        <v>4210</v>
      </c>
    </row>
    <row r="1517" spans="1:10" x14ac:dyDescent="0.3">
      <c r="A1517" s="15" t="s">
        <v>10</v>
      </c>
      <c r="B1517" s="7" t="s">
        <v>88</v>
      </c>
      <c r="C1517" s="7" t="s">
        <v>12</v>
      </c>
      <c r="D1517" s="7" t="s">
        <v>55</v>
      </c>
      <c r="E1517" s="13">
        <f t="shared" ca="1" si="23"/>
        <v>45903</v>
      </c>
      <c r="F1517" s="7" t="s">
        <v>40</v>
      </c>
      <c r="G1517" s="8">
        <v>4</v>
      </c>
      <c r="H1517" s="9">
        <v>15000</v>
      </c>
      <c r="I1517" s="9">
        <v>55857</v>
      </c>
      <c r="J1517" s="17">
        <v>5586</v>
      </c>
    </row>
    <row r="1518" spans="1:10" x14ac:dyDescent="0.3">
      <c r="A1518" s="14" t="s">
        <v>10</v>
      </c>
      <c r="B1518" s="4" t="s">
        <v>84</v>
      </c>
      <c r="C1518" s="4" t="s">
        <v>12</v>
      </c>
      <c r="D1518" s="4" t="s">
        <v>92</v>
      </c>
      <c r="E1518" s="13">
        <f t="shared" ca="1" si="23"/>
        <v>45718</v>
      </c>
      <c r="F1518" s="4" t="s">
        <v>14</v>
      </c>
      <c r="G1518" s="5">
        <v>5</v>
      </c>
      <c r="H1518" s="6">
        <v>18500</v>
      </c>
      <c r="I1518" s="6">
        <v>84071</v>
      </c>
      <c r="J1518" s="16">
        <v>10089</v>
      </c>
    </row>
    <row r="1519" spans="1:10" x14ac:dyDescent="0.3">
      <c r="A1519" s="15" t="s">
        <v>10</v>
      </c>
      <c r="B1519" s="7" t="s">
        <v>88</v>
      </c>
      <c r="C1519" s="7" t="s">
        <v>12</v>
      </c>
      <c r="D1519" s="7" t="s">
        <v>67</v>
      </c>
      <c r="E1519" s="13">
        <f t="shared" ca="1" si="23"/>
        <v>45672</v>
      </c>
      <c r="F1519" s="7" t="s">
        <v>14</v>
      </c>
      <c r="G1519" s="8">
        <v>1</v>
      </c>
      <c r="H1519" s="9">
        <v>18500</v>
      </c>
      <c r="I1519" s="9">
        <v>18595</v>
      </c>
      <c r="J1519" s="17">
        <v>2231</v>
      </c>
    </row>
    <row r="1520" spans="1:10" x14ac:dyDescent="0.3">
      <c r="A1520" s="14" t="s">
        <v>37</v>
      </c>
      <c r="B1520" s="4" t="s">
        <v>29</v>
      </c>
      <c r="C1520" s="4" t="s">
        <v>26</v>
      </c>
      <c r="D1520" s="4" t="s">
        <v>137</v>
      </c>
      <c r="E1520" s="13">
        <f t="shared" ca="1" si="23"/>
        <v>45767</v>
      </c>
      <c r="F1520" s="4" t="s">
        <v>36</v>
      </c>
      <c r="G1520" s="5">
        <v>5</v>
      </c>
      <c r="H1520" s="6">
        <v>55000</v>
      </c>
      <c r="I1520" s="6">
        <v>255457</v>
      </c>
      <c r="J1520" s="16">
        <v>56201</v>
      </c>
    </row>
    <row r="1521" spans="1:10" x14ac:dyDescent="0.3">
      <c r="A1521" s="15" t="s">
        <v>41</v>
      </c>
      <c r="B1521" s="7" t="s">
        <v>51</v>
      </c>
      <c r="C1521" s="7" t="s">
        <v>12</v>
      </c>
      <c r="D1521" s="7" t="s">
        <v>123</v>
      </c>
      <c r="E1521" s="13">
        <f t="shared" ca="1" si="23"/>
        <v>45935</v>
      </c>
      <c r="F1521" s="7" t="s">
        <v>36</v>
      </c>
      <c r="G1521" s="8">
        <v>5</v>
      </c>
      <c r="H1521" s="9">
        <v>55000</v>
      </c>
      <c r="I1521" s="9">
        <v>293554</v>
      </c>
      <c r="J1521" s="17">
        <v>64582</v>
      </c>
    </row>
    <row r="1522" spans="1:10" x14ac:dyDescent="0.3">
      <c r="A1522" s="14" t="s">
        <v>18</v>
      </c>
      <c r="B1522" s="4" t="s">
        <v>46</v>
      </c>
      <c r="C1522" s="4" t="s">
        <v>26</v>
      </c>
      <c r="D1522" s="4" t="s">
        <v>233</v>
      </c>
      <c r="E1522" s="13">
        <f t="shared" ca="1" si="23"/>
        <v>45829</v>
      </c>
      <c r="F1522" s="4" t="s">
        <v>33</v>
      </c>
      <c r="G1522" s="5">
        <v>4</v>
      </c>
      <c r="H1522" s="6">
        <v>45000</v>
      </c>
      <c r="I1522" s="6">
        <v>171690</v>
      </c>
      <c r="J1522" s="16">
        <v>30904</v>
      </c>
    </row>
    <row r="1523" spans="1:10" x14ac:dyDescent="0.3">
      <c r="A1523" s="15" t="s">
        <v>18</v>
      </c>
      <c r="B1523" s="7" t="s">
        <v>22</v>
      </c>
      <c r="C1523" s="7" t="s">
        <v>23</v>
      </c>
      <c r="D1523" s="7" t="s">
        <v>206</v>
      </c>
      <c r="E1523" s="13">
        <f t="shared" ca="1" si="23"/>
        <v>45888</v>
      </c>
      <c r="F1523" s="7" t="s">
        <v>21</v>
      </c>
      <c r="G1523" s="8">
        <v>2</v>
      </c>
      <c r="H1523" s="9">
        <v>12500</v>
      </c>
      <c r="I1523" s="9">
        <v>25874</v>
      </c>
      <c r="J1523" s="17">
        <v>2070</v>
      </c>
    </row>
    <row r="1524" spans="1:10" x14ac:dyDescent="0.3">
      <c r="A1524" s="14" t="s">
        <v>41</v>
      </c>
      <c r="B1524" s="4" t="s">
        <v>56</v>
      </c>
      <c r="C1524" s="4" t="s">
        <v>23</v>
      </c>
      <c r="D1524" s="4" t="s">
        <v>71</v>
      </c>
      <c r="E1524" s="13">
        <f t="shared" ca="1" si="23"/>
        <v>46003</v>
      </c>
      <c r="F1524" s="4" t="s">
        <v>14</v>
      </c>
      <c r="G1524" s="5">
        <v>4</v>
      </c>
      <c r="H1524" s="6">
        <v>18500</v>
      </c>
      <c r="I1524" s="6">
        <v>75151</v>
      </c>
      <c r="J1524" s="16">
        <v>9018</v>
      </c>
    </row>
    <row r="1525" spans="1:10" x14ac:dyDescent="0.3">
      <c r="A1525" s="15" t="s">
        <v>41</v>
      </c>
      <c r="B1525" s="7" t="s">
        <v>19</v>
      </c>
      <c r="C1525" s="7" t="s">
        <v>12</v>
      </c>
      <c r="D1525" s="7" t="s">
        <v>99</v>
      </c>
      <c r="E1525" s="13">
        <f t="shared" ca="1" si="23"/>
        <v>45775</v>
      </c>
      <c r="F1525" s="7" t="s">
        <v>36</v>
      </c>
      <c r="G1525" s="8">
        <v>7</v>
      </c>
      <c r="H1525" s="9">
        <v>55000</v>
      </c>
      <c r="I1525" s="9">
        <v>387936</v>
      </c>
      <c r="J1525" s="17">
        <v>85346</v>
      </c>
    </row>
    <row r="1526" spans="1:10" x14ac:dyDescent="0.3">
      <c r="A1526" s="14" t="s">
        <v>18</v>
      </c>
      <c r="B1526" s="4" t="s">
        <v>56</v>
      </c>
      <c r="C1526" s="4" t="s">
        <v>23</v>
      </c>
      <c r="D1526" s="4" t="s">
        <v>169</v>
      </c>
      <c r="E1526" s="13">
        <f t="shared" ca="1" si="23"/>
        <v>45960</v>
      </c>
      <c r="F1526" s="4" t="s">
        <v>36</v>
      </c>
      <c r="G1526" s="5">
        <v>3</v>
      </c>
      <c r="H1526" s="6">
        <v>55000</v>
      </c>
      <c r="I1526" s="6">
        <v>174031</v>
      </c>
      <c r="J1526" s="16">
        <v>38287</v>
      </c>
    </row>
    <row r="1527" spans="1:10" x14ac:dyDescent="0.3">
      <c r="A1527" s="15" t="s">
        <v>10</v>
      </c>
      <c r="B1527" s="7" t="s">
        <v>88</v>
      </c>
      <c r="C1527" s="7" t="s">
        <v>12</v>
      </c>
      <c r="D1527" s="7" t="s">
        <v>245</v>
      </c>
      <c r="E1527" s="13">
        <f t="shared" ca="1" si="23"/>
        <v>45897</v>
      </c>
      <c r="F1527" s="7" t="s">
        <v>21</v>
      </c>
      <c r="G1527" s="8">
        <v>3</v>
      </c>
      <c r="H1527" s="9">
        <v>12500</v>
      </c>
      <c r="I1527" s="9">
        <v>34569</v>
      </c>
      <c r="J1527" s="17">
        <v>2766</v>
      </c>
    </row>
    <row r="1528" spans="1:10" x14ac:dyDescent="0.3">
      <c r="A1528" s="14" t="s">
        <v>41</v>
      </c>
      <c r="B1528" s="4" t="s">
        <v>81</v>
      </c>
      <c r="C1528" s="4" t="s">
        <v>26</v>
      </c>
      <c r="D1528" s="4" t="s">
        <v>59</v>
      </c>
      <c r="E1528" s="13">
        <f t="shared" ca="1" si="23"/>
        <v>45757</v>
      </c>
      <c r="F1528" s="4" t="s">
        <v>21</v>
      </c>
      <c r="G1528" s="5">
        <v>9</v>
      </c>
      <c r="H1528" s="6">
        <v>12500</v>
      </c>
      <c r="I1528" s="6">
        <v>104963</v>
      </c>
      <c r="J1528" s="16">
        <v>8397</v>
      </c>
    </row>
    <row r="1529" spans="1:10" x14ac:dyDescent="0.3">
      <c r="A1529" s="15" t="s">
        <v>41</v>
      </c>
      <c r="B1529" s="7" t="s">
        <v>38</v>
      </c>
      <c r="C1529" s="7" t="s">
        <v>23</v>
      </c>
      <c r="D1529" s="7" t="s">
        <v>241</v>
      </c>
      <c r="E1529" s="13">
        <f t="shared" ca="1" si="23"/>
        <v>45999</v>
      </c>
      <c r="F1529" s="7" t="s">
        <v>40</v>
      </c>
      <c r="G1529" s="8">
        <v>3</v>
      </c>
      <c r="H1529" s="9">
        <v>15000</v>
      </c>
      <c r="I1529" s="9">
        <v>45908</v>
      </c>
      <c r="J1529" s="17">
        <v>4591</v>
      </c>
    </row>
    <row r="1530" spans="1:10" x14ac:dyDescent="0.3">
      <c r="A1530" s="14" t="s">
        <v>10</v>
      </c>
      <c r="B1530" s="4" t="s">
        <v>19</v>
      </c>
      <c r="C1530" s="4" t="s">
        <v>12</v>
      </c>
      <c r="D1530" s="4" t="s">
        <v>201</v>
      </c>
      <c r="E1530" s="13">
        <f t="shared" ca="1" si="23"/>
        <v>45830</v>
      </c>
      <c r="F1530" s="4" t="s">
        <v>21</v>
      </c>
      <c r="G1530" s="5">
        <v>1</v>
      </c>
      <c r="H1530" s="6">
        <v>12500</v>
      </c>
      <c r="I1530" s="6">
        <v>13566</v>
      </c>
      <c r="J1530" s="16">
        <v>1085</v>
      </c>
    </row>
    <row r="1531" spans="1:10" x14ac:dyDescent="0.3">
      <c r="A1531" s="15" t="s">
        <v>18</v>
      </c>
      <c r="B1531" s="7" t="s">
        <v>77</v>
      </c>
      <c r="C1531" s="7" t="s">
        <v>12</v>
      </c>
      <c r="D1531" s="7" t="s">
        <v>27</v>
      </c>
      <c r="E1531" s="13">
        <f t="shared" ca="1" si="23"/>
        <v>45661</v>
      </c>
      <c r="F1531" s="7" t="s">
        <v>40</v>
      </c>
      <c r="G1531" s="8">
        <v>9</v>
      </c>
      <c r="H1531" s="9">
        <v>15000</v>
      </c>
      <c r="I1531" s="9">
        <v>133522</v>
      </c>
      <c r="J1531" s="17">
        <v>13352</v>
      </c>
    </row>
    <row r="1532" spans="1:10" x14ac:dyDescent="0.3">
      <c r="A1532" s="14" t="s">
        <v>15</v>
      </c>
      <c r="B1532" s="4" t="s">
        <v>25</v>
      </c>
      <c r="C1532" s="4" t="s">
        <v>26</v>
      </c>
      <c r="D1532" s="4" t="s">
        <v>149</v>
      </c>
      <c r="E1532" s="13">
        <f t="shared" ca="1" si="23"/>
        <v>45822</v>
      </c>
      <c r="F1532" s="4" t="s">
        <v>33</v>
      </c>
      <c r="G1532" s="5">
        <v>5</v>
      </c>
      <c r="H1532" s="6">
        <v>45000</v>
      </c>
      <c r="I1532" s="6">
        <v>231974</v>
      </c>
      <c r="J1532" s="16">
        <v>41755</v>
      </c>
    </row>
    <row r="1533" spans="1:10" x14ac:dyDescent="0.3">
      <c r="A1533" s="15" t="s">
        <v>15</v>
      </c>
      <c r="B1533" s="7" t="s">
        <v>29</v>
      </c>
      <c r="C1533" s="7" t="s">
        <v>26</v>
      </c>
      <c r="D1533" s="7" t="s">
        <v>117</v>
      </c>
      <c r="E1533" s="13">
        <f t="shared" ca="1" si="23"/>
        <v>45771</v>
      </c>
      <c r="F1533" s="7" t="s">
        <v>33</v>
      </c>
      <c r="G1533" s="8">
        <v>3</v>
      </c>
      <c r="H1533" s="9">
        <v>45000</v>
      </c>
      <c r="I1533" s="9">
        <v>139411</v>
      </c>
      <c r="J1533" s="17">
        <v>25094</v>
      </c>
    </row>
    <row r="1534" spans="1:10" x14ac:dyDescent="0.3">
      <c r="A1534" s="14" t="s">
        <v>37</v>
      </c>
      <c r="B1534" s="4" t="s">
        <v>25</v>
      </c>
      <c r="C1534" s="4" t="s">
        <v>26</v>
      </c>
      <c r="D1534" s="4" t="s">
        <v>128</v>
      </c>
      <c r="E1534" s="13">
        <f t="shared" ca="1" si="23"/>
        <v>45849</v>
      </c>
      <c r="F1534" s="4" t="s">
        <v>14</v>
      </c>
      <c r="G1534" s="5">
        <v>3</v>
      </c>
      <c r="H1534" s="6">
        <v>18500</v>
      </c>
      <c r="I1534" s="6">
        <v>50109</v>
      </c>
      <c r="J1534" s="16">
        <v>6013</v>
      </c>
    </row>
    <row r="1535" spans="1:10" x14ac:dyDescent="0.3">
      <c r="A1535" s="15" t="s">
        <v>18</v>
      </c>
      <c r="B1535" s="7" t="s">
        <v>81</v>
      </c>
      <c r="C1535" s="7" t="s">
        <v>26</v>
      </c>
      <c r="D1535" s="7" t="s">
        <v>248</v>
      </c>
      <c r="E1535" s="13">
        <f t="shared" ca="1" si="23"/>
        <v>45786</v>
      </c>
      <c r="F1535" s="7" t="s">
        <v>40</v>
      </c>
      <c r="G1535" s="8">
        <v>5</v>
      </c>
      <c r="H1535" s="9">
        <v>15000</v>
      </c>
      <c r="I1535" s="9">
        <v>80945</v>
      </c>
      <c r="J1535" s="17">
        <v>8094</v>
      </c>
    </row>
    <row r="1536" spans="1:10" x14ac:dyDescent="0.3">
      <c r="A1536" s="14" t="s">
        <v>41</v>
      </c>
      <c r="B1536" s="4" t="s">
        <v>88</v>
      </c>
      <c r="C1536" s="4" t="s">
        <v>12</v>
      </c>
      <c r="D1536" s="4" t="s">
        <v>192</v>
      </c>
      <c r="E1536" s="13">
        <f t="shared" ca="1" si="23"/>
        <v>45852</v>
      </c>
      <c r="F1536" s="4" t="s">
        <v>40</v>
      </c>
      <c r="G1536" s="5">
        <v>7</v>
      </c>
      <c r="H1536" s="6">
        <v>15000</v>
      </c>
      <c r="I1536" s="6">
        <v>113605</v>
      </c>
      <c r="J1536" s="16">
        <v>11360</v>
      </c>
    </row>
    <row r="1537" spans="1:10" x14ac:dyDescent="0.3">
      <c r="A1537" s="15" t="s">
        <v>37</v>
      </c>
      <c r="B1537" s="7" t="s">
        <v>56</v>
      </c>
      <c r="C1537" s="7" t="s">
        <v>23</v>
      </c>
      <c r="D1537" s="7" t="s">
        <v>236</v>
      </c>
      <c r="E1537" s="13">
        <f t="shared" ca="1" si="23"/>
        <v>45663</v>
      </c>
      <c r="F1537" s="7" t="s">
        <v>40</v>
      </c>
      <c r="G1537" s="8">
        <v>10</v>
      </c>
      <c r="H1537" s="9">
        <v>15000</v>
      </c>
      <c r="I1537" s="9">
        <v>140673</v>
      </c>
      <c r="J1537" s="17">
        <v>14067</v>
      </c>
    </row>
    <row r="1538" spans="1:10" x14ac:dyDescent="0.3">
      <c r="A1538" s="14" t="s">
        <v>15</v>
      </c>
      <c r="B1538" s="4" t="s">
        <v>51</v>
      </c>
      <c r="C1538" s="4" t="s">
        <v>12</v>
      </c>
      <c r="D1538" s="4" t="s">
        <v>259</v>
      </c>
      <c r="E1538" s="13">
        <f t="shared" ca="1" si="23"/>
        <v>45843</v>
      </c>
      <c r="F1538" s="4" t="s">
        <v>40</v>
      </c>
      <c r="G1538" s="5">
        <v>2</v>
      </c>
      <c r="H1538" s="6">
        <v>15000</v>
      </c>
      <c r="I1538" s="6">
        <v>30064</v>
      </c>
      <c r="J1538" s="16">
        <v>3006</v>
      </c>
    </row>
    <row r="1539" spans="1:10" x14ac:dyDescent="0.3">
      <c r="A1539" s="15" t="s">
        <v>37</v>
      </c>
      <c r="B1539" s="7" t="s">
        <v>16</v>
      </c>
      <c r="C1539" s="7" t="s">
        <v>12</v>
      </c>
      <c r="D1539" s="7" t="s">
        <v>257</v>
      </c>
      <c r="E1539" s="13">
        <f t="shared" ref="E1539:E1602" ca="1" si="24">DATE(2025,1,1)+RANDBETWEEN(0,364)</f>
        <v>45824</v>
      </c>
      <c r="F1539" s="7" t="s">
        <v>40</v>
      </c>
      <c r="G1539" s="8">
        <v>2</v>
      </c>
      <c r="H1539" s="9">
        <v>15000</v>
      </c>
      <c r="I1539" s="9">
        <v>29861</v>
      </c>
      <c r="J1539" s="17">
        <v>2986</v>
      </c>
    </row>
    <row r="1540" spans="1:10" x14ac:dyDescent="0.3">
      <c r="A1540" s="14" t="s">
        <v>10</v>
      </c>
      <c r="B1540" s="4" t="s">
        <v>11</v>
      </c>
      <c r="C1540" s="4" t="s">
        <v>12</v>
      </c>
      <c r="D1540" s="4" t="s">
        <v>164</v>
      </c>
      <c r="E1540" s="13">
        <f t="shared" ca="1" si="24"/>
        <v>45973</v>
      </c>
      <c r="F1540" s="4" t="s">
        <v>14</v>
      </c>
      <c r="G1540" s="5">
        <v>6</v>
      </c>
      <c r="H1540" s="6">
        <v>18500</v>
      </c>
      <c r="I1540" s="6">
        <v>121685</v>
      </c>
      <c r="J1540" s="16">
        <v>14602</v>
      </c>
    </row>
    <row r="1541" spans="1:10" x14ac:dyDescent="0.3">
      <c r="A1541" s="15" t="s">
        <v>15</v>
      </c>
      <c r="B1541" s="7" t="s">
        <v>25</v>
      </c>
      <c r="C1541" s="7" t="s">
        <v>26</v>
      </c>
      <c r="D1541" s="7" t="s">
        <v>161</v>
      </c>
      <c r="E1541" s="13">
        <f t="shared" ca="1" si="24"/>
        <v>45755</v>
      </c>
      <c r="F1541" s="7" t="s">
        <v>36</v>
      </c>
      <c r="G1541" s="8">
        <v>4</v>
      </c>
      <c r="H1541" s="9">
        <v>55000</v>
      </c>
      <c r="I1541" s="9">
        <v>205739</v>
      </c>
      <c r="J1541" s="17">
        <v>45263</v>
      </c>
    </row>
    <row r="1542" spans="1:10" x14ac:dyDescent="0.3">
      <c r="A1542" s="14" t="s">
        <v>37</v>
      </c>
      <c r="B1542" s="4" t="s">
        <v>46</v>
      </c>
      <c r="C1542" s="4" t="s">
        <v>26</v>
      </c>
      <c r="D1542" s="4" t="s">
        <v>27</v>
      </c>
      <c r="E1542" s="13">
        <f t="shared" ca="1" si="24"/>
        <v>45675</v>
      </c>
      <c r="F1542" s="4" t="s">
        <v>36</v>
      </c>
      <c r="G1542" s="5">
        <v>5</v>
      </c>
      <c r="H1542" s="6">
        <v>55000</v>
      </c>
      <c r="I1542" s="6">
        <v>253181</v>
      </c>
      <c r="J1542" s="16">
        <v>55700</v>
      </c>
    </row>
    <row r="1543" spans="1:10" x14ac:dyDescent="0.3">
      <c r="A1543" s="15" t="s">
        <v>18</v>
      </c>
      <c r="B1543" s="7" t="s">
        <v>38</v>
      </c>
      <c r="C1543" s="7" t="s">
        <v>23</v>
      </c>
      <c r="D1543" s="7" t="s">
        <v>92</v>
      </c>
      <c r="E1543" s="13">
        <f t="shared" ca="1" si="24"/>
        <v>45921</v>
      </c>
      <c r="F1543" s="7" t="s">
        <v>21</v>
      </c>
      <c r="G1543" s="8">
        <v>8</v>
      </c>
      <c r="H1543" s="9">
        <v>12500</v>
      </c>
      <c r="I1543" s="9">
        <v>91697</v>
      </c>
      <c r="J1543" s="17">
        <v>7336</v>
      </c>
    </row>
    <row r="1544" spans="1:10" x14ac:dyDescent="0.3">
      <c r="A1544" s="14" t="s">
        <v>37</v>
      </c>
      <c r="B1544" s="4" t="s">
        <v>81</v>
      </c>
      <c r="C1544" s="4" t="s">
        <v>26</v>
      </c>
      <c r="D1544" s="4" t="s">
        <v>109</v>
      </c>
      <c r="E1544" s="13">
        <f t="shared" ca="1" si="24"/>
        <v>45822</v>
      </c>
      <c r="F1544" s="4" t="s">
        <v>33</v>
      </c>
      <c r="G1544" s="5">
        <v>7</v>
      </c>
      <c r="H1544" s="6">
        <v>45000</v>
      </c>
      <c r="I1544" s="6">
        <v>292656</v>
      </c>
      <c r="J1544" s="16">
        <v>52678</v>
      </c>
    </row>
    <row r="1545" spans="1:10" x14ac:dyDescent="0.3">
      <c r="A1545" s="15" t="s">
        <v>10</v>
      </c>
      <c r="B1545" s="7" t="s">
        <v>84</v>
      </c>
      <c r="C1545" s="7" t="s">
        <v>12</v>
      </c>
      <c r="D1545" s="7" t="s">
        <v>209</v>
      </c>
      <c r="E1545" s="13">
        <f t="shared" ca="1" si="24"/>
        <v>45713</v>
      </c>
      <c r="F1545" s="7" t="s">
        <v>33</v>
      </c>
      <c r="G1545" s="8">
        <v>8</v>
      </c>
      <c r="H1545" s="9">
        <v>45000</v>
      </c>
      <c r="I1545" s="9">
        <v>366838</v>
      </c>
      <c r="J1545" s="17">
        <v>66031</v>
      </c>
    </row>
    <row r="1546" spans="1:10" x14ac:dyDescent="0.3">
      <c r="A1546" s="14" t="s">
        <v>41</v>
      </c>
      <c r="B1546" s="4" t="s">
        <v>38</v>
      </c>
      <c r="C1546" s="4" t="s">
        <v>23</v>
      </c>
      <c r="D1546" s="4" t="s">
        <v>184</v>
      </c>
      <c r="E1546" s="13">
        <f t="shared" ca="1" si="24"/>
        <v>45792</v>
      </c>
      <c r="F1546" s="4" t="s">
        <v>14</v>
      </c>
      <c r="G1546" s="5">
        <v>8</v>
      </c>
      <c r="H1546" s="6">
        <v>18500</v>
      </c>
      <c r="I1546" s="6">
        <v>140087</v>
      </c>
      <c r="J1546" s="16">
        <v>16810</v>
      </c>
    </row>
    <row r="1547" spans="1:10" x14ac:dyDescent="0.3">
      <c r="A1547" s="15" t="s">
        <v>41</v>
      </c>
      <c r="B1547" s="7" t="s">
        <v>19</v>
      </c>
      <c r="C1547" s="7" t="s">
        <v>12</v>
      </c>
      <c r="D1547" s="7" t="s">
        <v>118</v>
      </c>
      <c r="E1547" s="13">
        <f t="shared" ca="1" si="24"/>
        <v>45942</v>
      </c>
      <c r="F1547" s="7" t="s">
        <v>14</v>
      </c>
      <c r="G1547" s="8">
        <v>7</v>
      </c>
      <c r="H1547" s="9">
        <v>18500</v>
      </c>
      <c r="I1547" s="9">
        <v>131363</v>
      </c>
      <c r="J1547" s="17">
        <v>15764</v>
      </c>
    </row>
    <row r="1548" spans="1:10" x14ac:dyDescent="0.3">
      <c r="A1548" s="14" t="s">
        <v>15</v>
      </c>
      <c r="B1548" s="4" t="s">
        <v>19</v>
      </c>
      <c r="C1548" s="4" t="s">
        <v>12</v>
      </c>
      <c r="D1548" s="4" t="s">
        <v>136</v>
      </c>
      <c r="E1548" s="13">
        <f t="shared" ca="1" si="24"/>
        <v>45875</v>
      </c>
      <c r="F1548" s="4" t="s">
        <v>21</v>
      </c>
      <c r="G1548" s="5">
        <v>3</v>
      </c>
      <c r="H1548" s="6">
        <v>12500</v>
      </c>
      <c r="I1548" s="6">
        <v>33967</v>
      </c>
      <c r="J1548" s="16">
        <v>2717</v>
      </c>
    </row>
    <row r="1549" spans="1:10" x14ac:dyDescent="0.3">
      <c r="A1549" s="15" t="s">
        <v>41</v>
      </c>
      <c r="B1549" s="7" t="s">
        <v>88</v>
      </c>
      <c r="C1549" s="7" t="s">
        <v>12</v>
      </c>
      <c r="D1549" s="7" t="s">
        <v>259</v>
      </c>
      <c r="E1549" s="13">
        <f t="shared" ca="1" si="24"/>
        <v>45907</v>
      </c>
      <c r="F1549" s="7" t="s">
        <v>40</v>
      </c>
      <c r="G1549" s="8">
        <v>3</v>
      </c>
      <c r="H1549" s="9">
        <v>15000</v>
      </c>
      <c r="I1549" s="9">
        <v>42951</v>
      </c>
      <c r="J1549" s="17">
        <v>4295</v>
      </c>
    </row>
    <row r="1550" spans="1:10" x14ac:dyDescent="0.3">
      <c r="A1550" s="14" t="s">
        <v>15</v>
      </c>
      <c r="B1550" s="4" t="s">
        <v>46</v>
      </c>
      <c r="C1550" s="4" t="s">
        <v>26</v>
      </c>
      <c r="D1550" s="4" t="s">
        <v>140</v>
      </c>
      <c r="E1550" s="13">
        <f t="shared" ca="1" si="24"/>
        <v>45748</v>
      </c>
      <c r="F1550" s="4" t="s">
        <v>21</v>
      </c>
      <c r="G1550" s="5">
        <v>5</v>
      </c>
      <c r="H1550" s="6">
        <v>12500</v>
      </c>
      <c r="I1550" s="6">
        <v>58080</v>
      </c>
      <c r="J1550" s="16">
        <v>4646</v>
      </c>
    </row>
    <row r="1551" spans="1:10" x14ac:dyDescent="0.3">
      <c r="A1551" s="15" t="s">
        <v>18</v>
      </c>
      <c r="B1551" s="7" t="s">
        <v>11</v>
      </c>
      <c r="C1551" s="7" t="s">
        <v>12</v>
      </c>
      <c r="D1551" s="7" t="s">
        <v>217</v>
      </c>
      <c r="E1551" s="13">
        <f t="shared" ca="1" si="24"/>
        <v>45858</v>
      </c>
      <c r="F1551" s="7" t="s">
        <v>33</v>
      </c>
      <c r="G1551" s="8">
        <v>5</v>
      </c>
      <c r="H1551" s="9">
        <v>45000</v>
      </c>
      <c r="I1551" s="9">
        <v>228443</v>
      </c>
      <c r="J1551" s="17">
        <v>41120</v>
      </c>
    </row>
    <row r="1552" spans="1:10" x14ac:dyDescent="0.3">
      <c r="A1552" s="14" t="s">
        <v>18</v>
      </c>
      <c r="B1552" s="4" t="s">
        <v>51</v>
      </c>
      <c r="C1552" s="4" t="s">
        <v>12</v>
      </c>
      <c r="D1552" s="4" t="s">
        <v>129</v>
      </c>
      <c r="E1552" s="13">
        <f t="shared" ca="1" si="24"/>
        <v>45872</v>
      </c>
      <c r="F1552" s="4" t="s">
        <v>40</v>
      </c>
      <c r="G1552" s="5">
        <v>5</v>
      </c>
      <c r="H1552" s="6">
        <v>15000</v>
      </c>
      <c r="I1552" s="6">
        <v>67585</v>
      </c>
      <c r="J1552" s="16">
        <v>6758</v>
      </c>
    </row>
    <row r="1553" spans="1:10" x14ac:dyDescent="0.3">
      <c r="A1553" s="15" t="s">
        <v>37</v>
      </c>
      <c r="B1553" s="7" t="s">
        <v>56</v>
      </c>
      <c r="C1553" s="7" t="s">
        <v>23</v>
      </c>
      <c r="D1553" s="7" t="s">
        <v>118</v>
      </c>
      <c r="E1553" s="13">
        <f t="shared" ca="1" si="24"/>
        <v>45831</v>
      </c>
      <c r="F1553" s="7" t="s">
        <v>14</v>
      </c>
      <c r="G1553" s="8">
        <v>6</v>
      </c>
      <c r="H1553" s="9">
        <v>18500</v>
      </c>
      <c r="I1553" s="9">
        <v>116485</v>
      </c>
      <c r="J1553" s="17">
        <v>13978</v>
      </c>
    </row>
    <row r="1554" spans="1:10" x14ac:dyDescent="0.3">
      <c r="A1554" s="14" t="s">
        <v>41</v>
      </c>
      <c r="B1554" s="4" t="s">
        <v>88</v>
      </c>
      <c r="C1554" s="4" t="s">
        <v>12</v>
      </c>
      <c r="D1554" s="4" t="s">
        <v>225</v>
      </c>
      <c r="E1554" s="13">
        <f t="shared" ca="1" si="24"/>
        <v>45972</v>
      </c>
      <c r="F1554" s="4" t="s">
        <v>36</v>
      </c>
      <c r="G1554" s="5">
        <v>6</v>
      </c>
      <c r="H1554" s="6">
        <v>55000</v>
      </c>
      <c r="I1554" s="6">
        <v>355045</v>
      </c>
      <c r="J1554" s="16">
        <v>78110</v>
      </c>
    </row>
    <row r="1555" spans="1:10" x14ac:dyDescent="0.3">
      <c r="A1555" s="15" t="s">
        <v>15</v>
      </c>
      <c r="B1555" s="7" t="s">
        <v>88</v>
      </c>
      <c r="C1555" s="7" t="s">
        <v>12</v>
      </c>
      <c r="D1555" s="7" t="s">
        <v>91</v>
      </c>
      <c r="E1555" s="13">
        <f t="shared" ca="1" si="24"/>
        <v>45996</v>
      </c>
      <c r="F1555" s="7" t="s">
        <v>40</v>
      </c>
      <c r="G1555" s="8">
        <v>3</v>
      </c>
      <c r="H1555" s="9">
        <v>15000</v>
      </c>
      <c r="I1555" s="9">
        <v>45324</v>
      </c>
      <c r="J1555" s="17">
        <v>4532</v>
      </c>
    </row>
    <row r="1556" spans="1:10" x14ac:dyDescent="0.3">
      <c r="A1556" s="14" t="s">
        <v>15</v>
      </c>
      <c r="B1556" s="4" t="s">
        <v>25</v>
      </c>
      <c r="C1556" s="4" t="s">
        <v>26</v>
      </c>
      <c r="D1556" s="4" t="s">
        <v>104</v>
      </c>
      <c r="E1556" s="13">
        <f t="shared" ca="1" si="24"/>
        <v>45886</v>
      </c>
      <c r="F1556" s="4" t="s">
        <v>14</v>
      </c>
      <c r="G1556" s="5">
        <v>4</v>
      </c>
      <c r="H1556" s="6">
        <v>18500</v>
      </c>
      <c r="I1556" s="6">
        <v>67579</v>
      </c>
      <c r="J1556" s="16">
        <v>8109</v>
      </c>
    </row>
    <row r="1557" spans="1:10" x14ac:dyDescent="0.3">
      <c r="A1557" s="15" t="s">
        <v>10</v>
      </c>
      <c r="B1557" s="7" t="s">
        <v>22</v>
      </c>
      <c r="C1557" s="7" t="s">
        <v>23</v>
      </c>
      <c r="D1557" s="7" t="s">
        <v>50</v>
      </c>
      <c r="E1557" s="13">
        <f t="shared" ca="1" si="24"/>
        <v>45792</v>
      </c>
      <c r="F1557" s="7" t="s">
        <v>36</v>
      </c>
      <c r="G1557" s="8">
        <v>5</v>
      </c>
      <c r="H1557" s="9">
        <v>55000</v>
      </c>
      <c r="I1557" s="9">
        <v>290750</v>
      </c>
      <c r="J1557" s="17">
        <v>63965</v>
      </c>
    </row>
    <row r="1558" spans="1:10" x14ac:dyDescent="0.3">
      <c r="A1558" s="14" t="s">
        <v>10</v>
      </c>
      <c r="B1558" s="4" t="s">
        <v>22</v>
      </c>
      <c r="C1558" s="4" t="s">
        <v>23</v>
      </c>
      <c r="D1558" s="4" t="s">
        <v>96</v>
      </c>
      <c r="E1558" s="13">
        <f t="shared" ca="1" si="24"/>
        <v>45698</v>
      </c>
      <c r="F1558" s="4" t="s">
        <v>36</v>
      </c>
      <c r="G1558" s="5">
        <v>6</v>
      </c>
      <c r="H1558" s="6">
        <v>55000</v>
      </c>
      <c r="I1558" s="6">
        <v>322815</v>
      </c>
      <c r="J1558" s="16">
        <v>71019</v>
      </c>
    </row>
    <row r="1559" spans="1:10" x14ac:dyDescent="0.3">
      <c r="A1559" s="15" t="s">
        <v>10</v>
      </c>
      <c r="B1559" s="7" t="s">
        <v>88</v>
      </c>
      <c r="C1559" s="7" t="s">
        <v>12</v>
      </c>
      <c r="D1559" s="7" t="s">
        <v>227</v>
      </c>
      <c r="E1559" s="13">
        <f t="shared" ca="1" si="24"/>
        <v>45748</v>
      </c>
      <c r="F1559" s="7" t="s">
        <v>40</v>
      </c>
      <c r="G1559" s="8">
        <v>2</v>
      </c>
      <c r="H1559" s="9">
        <v>15000</v>
      </c>
      <c r="I1559" s="9">
        <v>27079</v>
      </c>
      <c r="J1559" s="17">
        <v>2708</v>
      </c>
    </row>
    <row r="1560" spans="1:10" x14ac:dyDescent="0.3">
      <c r="A1560" s="14" t="s">
        <v>18</v>
      </c>
      <c r="B1560" s="4" t="s">
        <v>16</v>
      </c>
      <c r="C1560" s="4" t="s">
        <v>12</v>
      </c>
      <c r="D1560" s="4" t="s">
        <v>235</v>
      </c>
      <c r="E1560" s="13">
        <f t="shared" ca="1" si="24"/>
        <v>45867</v>
      </c>
      <c r="F1560" s="4" t="s">
        <v>36</v>
      </c>
      <c r="G1560" s="5">
        <v>3</v>
      </c>
      <c r="H1560" s="6">
        <v>55000</v>
      </c>
      <c r="I1560" s="6">
        <v>167357</v>
      </c>
      <c r="J1560" s="16">
        <v>36819</v>
      </c>
    </row>
    <row r="1561" spans="1:10" x14ac:dyDescent="0.3">
      <c r="A1561" s="15" t="s">
        <v>18</v>
      </c>
      <c r="B1561" s="7" t="s">
        <v>25</v>
      </c>
      <c r="C1561" s="7" t="s">
        <v>26</v>
      </c>
      <c r="D1561" s="7" t="s">
        <v>199</v>
      </c>
      <c r="E1561" s="13">
        <f t="shared" ca="1" si="24"/>
        <v>45714</v>
      </c>
      <c r="F1561" s="7" t="s">
        <v>40</v>
      </c>
      <c r="G1561" s="8">
        <v>10</v>
      </c>
      <c r="H1561" s="9">
        <v>15000</v>
      </c>
      <c r="I1561" s="9">
        <v>162614</v>
      </c>
      <c r="J1561" s="17">
        <v>16261</v>
      </c>
    </row>
    <row r="1562" spans="1:10" x14ac:dyDescent="0.3">
      <c r="A1562" s="14" t="s">
        <v>41</v>
      </c>
      <c r="B1562" s="4" t="s">
        <v>51</v>
      </c>
      <c r="C1562" s="4" t="s">
        <v>12</v>
      </c>
      <c r="D1562" s="4" t="s">
        <v>96</v>
      </c>
      <c r="E1562" s="13">
        <f t="shared" ca="1" si="24"/>
        <v>45704</v>
      </c>
      <c r="F1562" s="4" t="s">
        <v>33</v>
      </c>
      <c r="G1562" s="5">
        <v>4</v>
      </c>
      <c r="H1562" s="6">
        <v>45000</v>
      </c>
      <c r="I1562" s="6">
        <v>172705</v>
      </c>
      <c r="J1562" s="16">
        <v>31087</v>
      </c>
    </row>
    <row r="1563" spans="1:10" x14ac:dyDescent="0.3">
      <c r="A1563" s="15" t="s">
        <v>10</v>
      </c>
      <c r="B1563" s="7" t="s">
        <v>77</v>
      </c>
      <c r="C1563" s="7" t="s">
        <v>12</v>
      </c>
      <c r="D1563" s="7" t="s">
        <v>145</v>
      </c>
      <c r="E1563" s="13">
        <f t="shared" ca="1" si="24"/>
        <v>45749</v>
      </c>
      <c r="F1563" s="7" t="s">
        <v>36</v>
      </c>
      <c r="G1563" s="8">
        <v>3</v>
      </c>
      <c r="H1563" s="9">
        <v>55000</v>
      </c>
      <c r="I1563" s="9">
        <v>162335</v>
      </c>
      <c r="J1563" s="17">
        <v>35714</v>
      </c>
    </row>
    <row r="1564" spans="1:10" x14ac:dyDescent="0.3">
      <c r="A1564" s="14" t="s">
        <v>18</v>
      </c>
      <c r="B1564" s="4" t="s">
        <v>46</v>
      </c>
      <c r="C1564" s="4" t="s">
        <v>26</v>
      </c>
      <c r="D1564" s="4" t="s">
        <v>32</v>
      </c>
      <c r="E1564" s="13">
        <f t="shared" ca="1" si="24"/>
        <v>45917</v>
      </c>
      <c r="F1564" s="4" t="s">
        <v>40</v>
      </c>
      <c r="G1564" s="5">
        <v>2</v>
      </c>
      <c r="H1564" s="6">
        <v>15000</v>
      </c>
      <c r="I1564" s="6">
        <v>29585</v>
      </c>
      <c r="J1564" s="16">
        <v>2958</v>
      </c>
    </row>
    <row r="1565" spans="1:10" x14ac:dyDescent="0.3">
      <c r="A1565" s="15" t="s">
        <v>37</v>
      </c>
      <c r="B1565" s="7" t="s">
        <v>46</v>
      </c>
      <c r="C1565" s="7" t="s">
        <v>26</v>
      </c>
      <c r="D1565" s="7" t="s">
        <v>62</v>
      </c>
      <c r="E1565" s="13">
        <f t="shared" ca="1" si="24"/>
        <v>45662</v>
      </c>
      <c r="F1565" s="7" t="s">
        <v>40</v>
      </c>
      <c r="G1565" s="8">
        <v>10</v>
      </c>
      <c r="H1565" s="9">
        <v>15000</v>
      </c>
      <c r="I1565" s="9">
        <v>163646</v>
      </c>
      <c r="J1565" s="17">
        <v>16365</v>
      </c>
    </row>
    <row r="1566" spans="1:10" x14ac:dyDescent="0.3">
      <c r="A1566" s="14" t="s">
        <v>15</v>
      </c>
      <c r="B1566" s="4" t="s">
        <v>16</v>
      </c>
      <c r="C1566" s="4" t="s">
        <v>12</v>
      </c>
      <c r="D1566" s="4" t="s">
        <v>116</v>
      </c>
      <c r="E1566" s="13">
        <f t="shared" ca="1" si="24"/>
        <v>45819</v>
      </c>
      <c r="F1566" s="4" t="s">
        <v>33</v>
      </c>
      <c r="G1566" s="5">
        <v>8</v>
      </c>
      <c r="H1566" s="6">
        <v>45000</v>
      </c>
      <c r="I1566" s="6">
        <v>378753</v>
      </c>
      <c r="J1566" s="16">
        <v>68176</v>
      </c>
    </row>
    <row r="1567" spans="1:10" x14ac:dyDescent="0.3">
      <c r="A1567" s="15" t="s">
        <v>41</v>
      </c>
      <c r="B1567" s="7" t="s">
        <v>19</v>
      </c>
      <c r="C1567" s="7" t="s">
        <v>12</v>
      </c>
      <c r="D1567" s="7" t="s">
        <v>149</v>
      </c>
      <c r="E1567" s="13">
        <f t="shared" ca="1" si="24"/>
        <v>45763</v>
      </c>
      <c r="F1567" s="7" t="s">
        <v>14</v>
      </c>
      <c r="G1567" s="8">
        <v>6</v>
      </c>
      <c r="H1567" s="9">
        <v>18500</v>
      </c>
      <c r="I1567" s="9">
        <v>106818</v>
      </c>
      <c r="J1567" s="17">
        <v>12818</v>
      </c>
    </row>
    <row r="1568" spans="1:10" x14ac:dyDescent="0.3">
      <c r="A1568" s="14" t="s">
        <v>37</v>
      </c>
      <c r="B1568" s="4" t="s">
        <v>19</v>
      </c>
      <c r="C1568" s="4" t="s">
        <v>12</v>
      </c>
      <c r="D1568" s="4" t="s">
        <v>93</v>
      </c>
      <c r="E1568" s="13">
        <f t="shared" ca="1" si="24"/>
        <v>45785</v>
      </c>
      <c r="F1568" s="4" t="s">
        <v>14</v>
      </c>
      <c r="G1568" s="5">
        <v>7</v>
      </c>
      <c r="H1568" s="6">
        <v>18500</v>
      </c>
      <c r="I1568" s="6">
        <v>117528</v>
      </c>
      <c r="J1568" s="16">
        <v>14103</v>
      </c>
    </row>
    <row r="1569" spans="1:10" x14ac:dyDescent="0.3">
      <c r="A1569" s="15" t="s">
        <v>18</v>
      </c>
      <c r="B1569" s="7" t="s">
        <v>38</v>
      </c>
      <c r="C1569" s="7" t="s">
        <v>23</v>
      </c>
      <c r="D1569" s="7" t="s">
        <v>165</v>
      </c>
      <c r="E1569" s="13">
        <f t="shared" ca="1" si="24"/>
        <v>45969</v>
      </c>
      <c r="F1569" s="7" t="s">
        <v>14</v>
      </c>
      <c r="G1569" s="8">
        <v>6</v>
      </c>
      <c r="H1569" s="9">
        <v>18500</v>
      </c>
      <c r="I1569" s="9">
        <v>111333</v>
      </c>
      <c r="J1569" s="17">
        <v>13360</v>
      </c>
    </row>
    <row r="1570" spans="1:10" x14ac:dyDescent="0.3">
      <c r="A1570" s="14" t="s">
        <v>41</v>
      </c>
      <c r="B1570" s="4" t="s">
        <v>16</v>
      </c>
      <c r="C1570" s="4" t="s">
        <v>12</v>
      </c>
      <c r="D1570" s="4" t="s">
        <v>196</v>
      </c>
      <c r="E1570" s="13">
        <f t="shared" ca="1" si="24"/>
        <v>45886</v>
      </c>
      <c r="F1570" s="4" t="s">
        <v>40</v>
      </c>
      <c r="G1570" s="5">
        <v>7</v>
      </c>
      <c r="H1570" s="6">
        <v>15000</v>
      </c>
      <c r="I1570" s="6">
        <v>97260</v>
      </c>
      <c r="J1570" s="16">
        <v>9726</v>
      </c>
    </row>
    <row r="1571" spans="1:10" x14ac:dyDescent="0.3">
      <c r="A1571" s="15" t="s">
        <v>15</v>
      </c>
      <c r="B1571" s="7" t="s">
        <v>31</v>
      </c>
      <c r="C1571" s="7" t="s">
        <v>12</v>
      </c>
      <c r="D1571" s="7" t="s">
        <v>123</v>
      </c>
      <c r="E1571" s="13">
        <f t="shared" ca="1" si="24"/>
        <v>45878</v>
      </c>
      <c r="F1571" s="7" t="s">
        <v>33</v>
      </c>
      <c r="G1571" s="8">
        <v>2</v>
      </c>
      <c r="H1571" s="9">
        <v>45000</v>
      </c>
      <c r="I1571" s="9">
        <v>97730</v>
      </c>
      <c r="J1571" s="17">
        <v>17591</v>
      </c>
    </row>
    <row r="1572" spans="1:10" x14ac:dyDescent="0.3">
      <c r="A1572" s="14" t="s">
        <v>18</v>
      </c>
      <c r="B1572" s="4" t="s">
        <v>11</v>
      </c>
      <c r="C1572" s="4" t="s">
        <v>12</v>
      </c>
      <c r="D1572" s="4" t="s">
        <v>134</v>
      </c>
      <c r="E1572" s="13">
        <f t="shared" ca="1" si="24"/>
        <v>45762</v>
      </c>
      <c r="F1572" s="4" t="s">
        <v>21</v>
      </c>
      <c r="G1572" s="5">
        <v>2</v>
      </c>
      <c r="H1572" s="6">
        <v>12500</v>
      </c>
      <c r="I1572" s="6">
        <v>24684</v>
      </c>
      <c r="J1572" s="16">
        <v>1975</v>
      </c>
    </row>
    <row r="1573" spans="1:10" x14ac:dyDescent="0.3">
      <c r="A1573" s="15" t="s">
        <v>37</v>
      </c>
      <c r="B1573" s="7" t="s">
        <v>46</v>
      </c>
      <c r="C1573" s="7" t="s">
        <v>26</v>
      </c>
      <c r="D1573" s="7" t="s">
        <v>225</v>
      </c>
      <c r="E1573" s="13">
        <f t="shared" ca="1" si="24"/>
        <v>45940</v>
      </c>
      <c r="F1573" s="7" t="s">
        <v>21</v>
      </c>
      <c r="G1573" s="8">
        <v>5</v>
      </c>
      <c r="H1573" s="9">
        <v>12500</v>
      </c>
      <c r="I1573" s="9">
        <v>66507</v>
      </c>
      <c r="J1573" s="17">
        <v>5321</v>
      </c>
    </row>
    <row r="1574" spans="1:10" x14ac:dyDescent="0.3">
      <c r="A1574" s="14" t="s">
        <v>41</v>
      </c>
      <c r="B1574" s="4" t="s">
        <v>22</v>
      </c>
      <c r="C1574" s="4" t="s">
        <v>23</v>
      </c>
      <c r="D1574" s="4" t="s">
        <v>75</v>
      </c>
      <c r="E1574" s="13">
        <f t="shared" ca="1" si="24"/>
        <v>45702</v>
      </c>
      <c r="F1574" s="4" t="s">
        <v>33</v>
      </c>
      <c r="G1574" s="5">
        <v>4</v>
      </c>
      <c r="H1574" s="6">
        <v>45000</v>
      </c>
      <c r="I1574" s="6">
        <v>169355</v>
      </c>
      <c r="J1574" s="16">
        <v>30484</v>
      </c>
    </row>
    <row r="1575" spans="1:10" x14ac:dyDescent="0.3">
      <c r="A1575" s="15" t="s">
        <v>15</v>
      </c>
      <c r="B1575" s="7" t="s">
        <v>22</v>
      </c>
      <c r="C1575" s="7" t="s">
        <v>23</v>
      </c>
      <c r="D1575" s="7" t="s">
        <v>50</v>
      </c>
      <c r="E1575" s="13">
        <f t="shared" ca="1" si="24"/>
        <v>45786</v>
      </c>
      <c r="F1575" s="7" t="s">
        <v>33</v>
      </c>
      <c r="G1575" s="8">
        <v>7</v>
      </c>
      <c r="H1575" s="9">
        <v>45000</v>
      </c>
      <c r="I1575" s="9">
        <v>324736</v>
      </c>
      <c r="J1575" s="17">
        <v>58452</v>
      </c>
    </row>
    <row r="1576" spans="1:10" x14ac:dyDescent="0.3">
      <c r="A1576" s="14" t="s">
        <v>18</v>
      </c>
      <c r="B1576" s="4" t="s">
        <v>51</v>
      </c>
      <c r="C1576" s="4" t="s">
        <v>12</v>
      </c>
      <c r="D1576" s="4" t="s">
        <v>204</v>
      </c>
      <c r="E1576" s="13">
        <f t="shared" ca="1" si="24"/>
        <v>45853</v>
      </c>
      <c r="F1576" s="4" t="s">
        <v>33</v>
      </c>
      <c r="G1576" s="5">
        <v>9</v>
      </c>
      <c r="H1576" s="6">
        <v>45000</v>
      </c>
      <c r="I1576" s="6">
        <v>377409</v>
      </c>
      <c r="J1576" s="16">
        <v>67934</v>
      </c>
    </row>
    <row r="1577" spans="1:10" x14ac:dyDescent="0.3">
      <c r="A1577" s="15" t="s">
        <v>15</v>
      </c>
      <c r="B1577" s="7" t="s">
        <v>81</v>
      </c>
      <c r="C1577" s="7" t="s">
        <v>26</v>
      </c>
      <c r="D1577" s="7" t="s">
        <v>123</v>
      </c>
      <c r="E1577" s="13">
        <f t="shared" ca="1" si="24"/>
        <v>45972</v>
      </c>
      <c r="F1577" s="7" t="s">
        <v>36</v>
      </c>
      <c r="G1577" s="8">
        <v>8</v>
      </c>
      <c r="H1577" s="9">
        <v>55000</v>
      </c>
      <c r="I1577" s="9">
        <v>413770</v>
      </c>
      <c r="J1577" s="17">
        <v>91029</v>
      </c>
    </row>
    <row r="1578" spans="1:10" x14ac:dyDescent="0.3">
      <c r="A1578" s="14" t="s">
        <v>37</v>
      </c>
      <c r="B1578" s="4" t="s">
        <v>22</v>
      </c>
      <c r="C1578" s="4" t="s">
        <v>23</v>
      </c>
      <c r="D1578" s="4" t="s">
        <v>181</v>
      </c>
      <c r="E1578" s="13">
        <f t="shared" ca="1" si="24"/>
        <v>45925</v>
      </c>
      <c r="F1578" s="4" t="s">
        <v>40</v>
      </c>
      <c r="G1578" s="5">
        <v>6</v>
      </c>
      <c r="H1578" s="6">
        <v>15000</v>
      </c>
      <c r="I1578" s="6">
        <v>92090</v>
      </c>
      <c r="J1578" s="16">
        <v>9209</v>
      </c>
    </row>
    <row r="1579" spans="1:10" x14ac:dyDescent="0.3">
      <c r="A1579" s="15" t="s">
        <v>41</v>
      </c>
      <c r="B1579" s="7" t="s">
        <v>38</v>
      </c>
      <c r="C1579" s="7" t="s">
        <v>23</v>
      </c>
      <c r="D1579" s="7" t="s">
        <v>174</v>
      </c>
      <c r="E1579" s="13">
        <f t="shared" ca="1" si="24"/>
        <v>46019</v>
      </c>
      <c r="F1579" s="7" t="s">
        <v>21</v>
      </c>
      <c r="G1579" s="8">
        <v>7</v>
      </c>
      <c r="H1579" s="9">
        <v>12500</v>
      </c>
      <c r="I1579" s="9">
        <v>82228</v>
      </c>
      <c r="J1579" s="17">
        <v>6578</v>
      </c>
    </row>
    <row r="1580" spans="1:10" x14ac:dyDescent="0.3">
      <c r="A1580" s="14" t="s">
        <v>37</v>
      </c>
      <c r="B1580" s="4" t="s">
        <v>56</v>
      </c>
      <c r="C1580" s="4" t="s">
        <v>23</v>
      </c>
      <c r="D1580" s="4" t="s">
        <v>85</v>
      </c>
      <c r="E1580" s="13">
        <f t="shared" ca="1" si="24"/>
        <v>45938</v>
      </c>
      <c r="F1580" s="4" t="s">
        <v>14</v>
      </c>
      <c r="G1580" s="5">
        <v>4</v>
      </c>
      <c r="H1580" s="6">
        <v>18500</v>
      </c>
      <c r="I1580" s="6">
        <v>70300</v>
      </c>
      <c r="J1580" s="16">
        <v>8436</v>
      </c>
    </row>
    <row r="1581" spans="1:10" x14ac:dyDescent="0.3">
      <c r="A1581" s="15" t="s">
        <v>37</v>
      </c>
      <c r="B1581" s="7" t="s">
        <v>19</v>
      </c>
      <c r="C1581" s="7" t="s">
        <v>12</v>
      </c>
      <c r="D1581" s="7" t="s">
        <v>118</v>
      </c>
      <c r="E1581" s="13">
        <f t="shared" ca="1" si="24"/>
        <v>45845</v>
      </c>
      <c r="F1581" s="7" t="s">
        <v>40</v>
      </c>
      <c r="G1581" s="8">
        <v>9</v>
      </c>
      <c r="H1581" s="9">
        <v>15000</v>
      </c>
      <c r="I1581" s="9">
        <v>148474</v>
      </c>
      <c r="J1581" s="17">
        <v>14847</v>
      </c>
    </row>
    <row r="1582" spans="1:10" x14ac:dyDescent="0.3">
      <c r="A1582" s="14" t="s">
        <v>37</v>
      </c>
      <c r="B1582" s="4" t="s">
        <v>77</v>
      </c>
      <c r="C1582" s="4" t="s">
        <v>12</v>
      </c>
      <c r="D1582" s="4" t="s">
        <v>134</v>
      </c>
      <c r="E1582" s="13">
        <f t="shared" ca="1" si="24"/>
        <v>45949</v>
      </c>
      <c r="F1582" s="4" t="s">
        <v>36</v>
      </c>
      <c r="G1582" s="5">
        <v>10</v>
      </c>
      <c r="H1582" s="6">
        <v>55000</v>
      </c>
      <c r="I1582" s="6">
        <v>565729</v>
      </c>
      <c r="J1582" s="16">
        <v>124460</v>
      </c>
    </row>
    <row r="1583" spans="1:10" x14ac:dyDescent="0.3">
      <c r="A1583" s="15" t="s">
        <v>15</v>
      </c>
      <c r="B1583" s="7" t="s">
        <v>56</v>
      </c>
      <c r="C1583" s="7" t="s">
        <v>23</v>
      </c>
      <c r="D1583" s="7" t="s">
        <v>28</v>
      </c>
      <c r="E1583" s="13">
        <f t="shared" ca="1" si="24"/>
        <v>45699</v>
      </c>
      <c r="F1583" s="7" t="s">
        <v>21</v>
      </c>
      <c r="G1583" s="8">
        <v>10</v>
      </c>
      <c r="H1583" s="9">
        <v>12500</v>
      </c>
      <c r="I1583" s="9">
        <v>113819</v>
      </c>
      <c r="J1583" s="17">
        <v>9106</v>
      </c>
    </row>
    <row r="1584" spans="1:10" x14ac:dyDescent="0.3">
      <c r="A1584" s="14" t="s">
        <v>37</v>
      </c>
      <c r="B1584" s="4" t="s">
        <v>22</v>
      </c>
      <c r="C1584" s="4" t="s">
        <v>23</v>
      </c>
      <c r="D1584" s="4" t="s">
        <v>72</v>
      </c>
      <c r="E1584" s="13">
        <f t="shared" ca="1" si="24"/>
        <v>45682</v>
      </c>
      <c r="F1584" s="4" t="s">
        <v>36</v>
      </c>
      <c r="G1584" s="5">
        <v>2</v>
      </c>
      <c r="H1584" s="6">
        <v>55000</v>
      </c>
      <c r="I1584" s="6">
        <v>109023</v>
      </c>
      <c r="J1584" s="16">
        <v>23985</v>
      </c>
    </row>
    <row r="1585" spans="1:10" x14ac:dyDescent="0.3">
      <c r="A1585" s="15" t="s">
        <v>15</v>
      </c>
      <c r="B1585" s="7" t="s">
        <v>31</v>
      </c>
      <c r="C1585" s="7" t="s">
        <v>12</v>
      </c>
      <c r="D1585" s="7" t="s">
        <v>246</v>
      </c>
      <c r="E1585" s="13">
        <f t="shared" ca="1" si="24"/>
        <v>46008</v>
      </c>
      <c r="F1585" s="7" t="s">
        <v>36</v>
      </c>
      <c r="G1585" s="8">
        <v>3</v>
      </c>
      <c r="H1585" s="9">
        <v>55000</v>
      </c>
      <c r="I1585" s="9">
        <v>149347</v>
      </c>
      <c r="J1585" s="17">
        <v>32856</v>
      </c>
    </row>
    <row r="1586" spans="1:10" x14ac:dyDescent="0.3">
      <c r="A1586" s="14" t="s">
        <v>10</v>
      </c>
      <c r="B1586" s="4" t="s">
        <v>56</v>
      </c>
      <c r="C1586" s="4" t="s">
        <v>23</v>
      </c>
      <c r="D1586" s="4" t="s">
        <v>261</v>
      </c>
      <c r="E1586" s="13">
        <f t="shared" ca="1" si="24"/>
        <v>46014</v>
      </c>
      <c r="F1586" s="4" t="s">
        <v>36</v>
      </c>
      <c r="G1586" s="5">
        <v>1</v>
      </c>
      <c r="H1586" s="6">
        <v>55000</v>
      </c>
      <c r="I1586" s="6">
        <v>51275</v>
      </c>
      <c r="J1586" s="16">
        <v>11280</v>
      </c>
    </row>
    <row r="1587" spans="1:10" x14ac:dyDescent="0.3">
      <c r="A1587" s="15" t="s">
        <v>10</v>
      </c>
      <c r="B1587" s="7" t="s">
        <v>16</v>
      </c>
      <c r="C1587" s="7" t="s">
        <v>12</v>
      </c>
      <c r="D1587" s="7" t="s">
        <v>212</v>
      </c>
      <c r="E1587" s="13">
        <f t="shared" ca="1" si="24"/>
        <v>45981</v>
      </c>
      <c r="F1587" s="7" t="s">
        <v>21</v>
      </c>
      <c r="G1587" s="8">
        <v>10</v>
      </c>
      <c r="H1587" s="9">
        <v>12500</v>
      </c>
      <c r="I1587" s="9">
        <v>113205</v>
      </c>
      <c r="J1587" s="17">
        <v>9056</v>
      </c>
    </row>
    <row r="1588" spans="1:10" x14ac:dyDescent="0.3">
      <c r="A1588" s="14" t="s">
        <v>18</v>
      </c>
      <c r="B1588" s="4" t="s">
        <v>88</v>
      </c>
      <c r="C1588" s="4" t="s">
        <v>12</v>
      </c>
      <c r="D1588" s="4" t="s">
        <v>161</v>
      </c>
      <c r="E1588" s="13">
        <f t="shared" ca="1" si="24"/>
        <v>45952</v>
      </c>
      <c r="F1588" s="4" t="s">
        <v>14</v>
      </c>
      <c r="G1588" s="5">
        <v>6</v>
      </c>
      <c r="H1588" s="6">
        <v>18500</v>
      </c>
      <c r="I1588" s="6">
        <v>106213</v>
      </c>
      <c r="J1588" s="16">
        <v>12746</v>
      </c>
    </row>
    <row r="1589" spans="1:10" x14ac:dyDescent="0.3">
      <c r="A1589" s="15" t="s">
        <v>15</v>
      </c>
      <c r="B1589" s="7" t="s">
        <v>25</v>
      </c>
      <c r="C1589" s="7" t="s">
        <v>26</v>
      </c>
      <c r="D1589" s="7" t="s">
        <v>256</v>
      </c>
      <c r="E1589" s="13">
        <f t="shared" ca="1" si="24"/>
        <v>45693</v>
      </c>
      <c r="F1589" s="7" t="s">
        <v>21</v>
      </c>
      <c r="G1589" s="8">
        <v>7</v>
      </c>
      <c r="H1589" s="9">
        <v>12500</v>
      </c>
      <c r="I1589" s="9">
        <v>88067</v>
      </c>
      <c r="J1589" s="17">
        <v>7045</v>
      </c>
    </row>
    <row r="1590" spans="1:10" x14ac:dyDescent="0.3">
      <c r="A1590" s="14" t="s">
        <v>18</v>
      </c>
      <c r="B1590" s="4" t="s">
        <v>81</v>
      </c>
      <c r="C1590" s="4" t="s">
        <v>26</v>
      </c>
      <c r="D1590" s="4" t="s">
        <v>230</v>
      </c>
      <c r="E1590" s="13">
        <f t="shared" ca="1" si="24"/>
        <v>45658</v>
      </c>
      <c r="F1590" s="4" t="s">
        <v>40</v>
      </c>
      <c r="G1590" s="5">
        <v>1</v>
      </c>
      <c r="H1590" s="6">
        <v>15000</v>
      </c>
      <c r="I1590" s="6">
        <v>15486</v>
      </c>
      <c r="J1590" s="16">
        <v>1549</v>
      </c>
    </row>
    <row r="1591" spans="1:10" x14ac:dyDescent="0.3">
      <c r="A1591" s="15" t="s">
        <v>10</v>
      </c>
      <c r="B1591" s="7" t="s">
        <v>11</v>
      </c>
      <c r="C1591" s="7" t="s">
        <v>12</v>
      </c>
      <c r="D1591" s="7" t="s">
        <v>225</v>
      </c>
      <c r="E1591" s="13">
        <f t="shared" ca="1" si="24"/>
        <v>45787</v>
      </c>
      <c r="F1591" s="7" t="s">
        <v>21</v>
      </c>
      <c r="G1591" s="8">
        <v>6</v>
      </c>
      <c r="H1591" s="9">
        <v>12500</v>
      </c>
      <c r="I1591" s="9">
        <v>79472</v>
      </c>
      <c r="J1591" s="17">
        <v>6358</v>
      </c>
    </row>
    <row r="1592" spans="1:10" x14ac:dyDescent="0.3">
      <c r="A1592" s="14" t="s">
        <v>41</v>
      </c>
      <c r="B1592" s="4" t="s">
        <v>88</v>
      </c>
      <c r="C1592" s="4" t="s">
        <v>12</v>
      </c>
      <c r="D1592" s="4" t="s">
        <v>70</v>
      </c>
      <c r="E1592" s="13">
        <f t="shared" ca="1" si="24"/>
        <v>45725</v>
      </c>
      <c r="F1592" s="4" t="s">
        <v>21</v>
      </c>
      <c r="G1592" s="5">
        <v>5</v>
      </c>
      <c r="H1592" s="6">
        <v>12500</v>
      </c>
      <c r="I1592" s="6">
        <v>57806</v>
      </c>
      <c r="J1592" s="16">
        <v>4624</v>
      </c>
    </row>
    <row r="1593" spans="1:10" x14ac:dyDescent="0.3">
      <c r="A1593" s="15" t="s">
        <v>37</v>
      </c>
      <c r="B1593" s="7" t="s">
        <v>31</v>
      </c>
      <c r="C1593" s="7" t="s">
        <v>12</v>
      </c>
      <c r="D1593" s="7" t="s">
        <v>157</v>
      </c>
      <c r="E1593" s="13">
        <f t="shared" ca="1" si="24"/>
        <v>45854</v>
      </c>
      <c r="F1593" s="7" t="s">
        <v>36</v>
      </c>
      <c r="G1593" s="8">
        <v>4</v>
      </c>
      <c r="H1593" s="9">
        <v>55000</v>
      </c>
      <c r="I1593" s="9">
        <v>238868</v>
      </c>
      <c r="J1593" s="17">
        <v>52551</v>
      </c>
    </row>
    <row r="1594" spans="1:10" x14ac:dyDescent="0.3">
      <c r="A1594" s="14" t="s">
        <v>37</v>
      </c>
      <c r="B1594" s="4" t="s">
        <v>84</v>
      </c>
      <c r="C1594" s="4" t="s">
        <v>12</v>
      </c>
      <c r="D1594" s="4" t="s">
        <v>138</v>
      </c>
      <c r="E1594" s="13">
        <f t="shared" ca="1" si="24"/>
        <v>45795</v>
      </c>
      <c r="F1594" s="4" t="s">
        <v>36</v>
      </c>
      <c r="G1594" s="5">
        <v>7</v>
      </c>
      <c r="H1594" s="6">
        <v>55000</v>
      </c>
      <c r="I1594" s="6">
        <v>361859</v>
      </c>
      <c r="J1594" s="16">
        <v>79609</v>
      </c>
    </row>
    <row r="1595" spans="1:10" x14ac:dyDescent="0.3">
      <c r="A1595" s="15" t="s">
        <v>15</v>
      </c>
      <c r="B1595" s="7" t="s">
        <v>25</v>
      </c>
      <c r="C1595" s="7" t="s">
        <v>26</v>
      </c>
      <c r="D1595" s="7" t="s">
        <v>47</v>
      </c>
      <c r="E1595" s="13">
        <f t="shared" ca="1" si="24"/>
        <v>45761</v>
      </c>
      <c r="F1595" s="7" t="s">
        <v>36</v>
      </c>
      <c r="G1595" s="8">
        <v>7</v>
      </c>
      <c r="H1595" s="9">
        <v>55000</v>
      </c>
      <c r="I1595" s="9">
        <v>356758</v>
      </c>
      <c r="J1595" s="17">
        <v>78487</v>
      </c>
    </row>
    <row r="1596" spans="1:10" x14ac:dyDescent="0.3">
      <c r="A1596" s="14" t="s">
        <v>15</v>
      </c>
      <c r="B1596" s="4" t="s">
        <v>22</v>
      </c>
      <c r="C1596" s="4" t="s">
        <v>23</v>
      </c>
      <c r="D1596" s="4" t="s">
        <v>148</v>
      </c>
      <c r="E1596" s="13">
        <f t="shared" ca="1" si="24"/>
        <v>45679</v>
      </c>
      <c r="F1596" s="4" t="s">
        <v>33</v>
      </c>
      <c r="G1596" s="5">
        <v>9</v>
      </c>
      <c r="H1596" s="6">
        <v>45000</v>
      </c>
      <c r="I1596" s="6">
        <v>400449</v>
      </c>
      <c r="J1596" s="16">
        <v>72081</v>
      </c>
    </row>
    <row r="1597" spans="1:10" x14ac:dyDescent="0.3">
      <c r="A1597" s="15" t="s">
        <v>10</v>
      </c>
      <c r="B1597" s="7" t="s">
        <v>19</v>
      </c>
      <c r="C1597" s="7" t="s">
        <v>12</v>
      </c>
      <c r="D1597" s="7" t="s">
        <v>67</v>
      </c>
      <c r="E1597" s="13">
        <f t="shared" ca="1" si="24"/>
        <v>45700</v>
      </c>
      <c r="F1597" s="7" t="s">
        <v>36</v>
      </c>
      <c r="G1597" s="8">
        <v>7</v>
      </c>
      <c r="H1597" s="9">
        <v>55000</v>
      </c>
      <c r="I1597" s="9">
        <v>363486</v>
      </c>
      <c r="J1597" s="17">
        <v>79967</v>
      </c>
    </row>
    <row r="1598" spans="1:10" x14ac:dyDescent="0.3">
      <c r="A1598" s="14" t="s">
        <v>10</v>
      </c>
      <c r="B1598" s="4" t="s">
        <v>25</v>
      </c>
      <c r="C1598" s="4" t="s">
        <v>26</v>
      </c>
      <c r="D1598" s="4" t="s">
        <v>246</v>
      </c>
      <c r="E1598" s="13">
        <f t="shared" ca="1" si="24"/>
        <v>46010</v>
      </c>
      <c r="F1598" s="4" t="s">
        <v>21</v>
      </c>
      <c r="G1598" s="5">
        <v>6</v>
      </c>
      <c r="H1598" s="6">
        <v>12500</v>
      </c>
      <c r="I1598" s="6">
        <v>74684</v>
      </c>
      <c r="J1598" s="16">
        <v>5975</v>
      </c>
    </row>
    <row r="1599" spans="1:10" x14ac:dyDescent="0.3">
      <c r="A1599" s="15" t="s">
        <v>37</v>
      </c>
      <c r="B1599" s="7" t="s">
        <v>77</v>
      </c>
      <c r="C1599" s="7" t="s">
        <v>12</v>
      </c>
      <c r="D1599" s="7" t="s">
        <v>44</v>
      </c>
      <c r="E1599" s="13">
        <f t="shared" ca="1" si="24"/>
        <v>45993</v>
      </c>
      <c r="F1599" s="7" t="s">
        <v>14</v>
      </c>
      <c r="G1599" s="8">
        <v>4</v>
      </c>
      <c r="H1599" s="9">
        <v>18500</v>
      </c>
      <c r="I1599" s="9">
        <v>67077</v>
      </c>
      <c r="J1599" s="17">
        <v>8049</v>
      </c>
    </row>
    <row r="1600" spans="1:10" x14ac:dyDescent="0.3">
      <c r="A1600" s="14" t="s">
        <v>18</v>
      </c>
      <c r="B1600" s="4" t="s">
        <v>22</v>
      </c>
      <c r="C1600" s="4" t="s">
        <v>23</v>
      </c>
      <c r="D1600" s="4" t="s">
        <v>192</v>
      </c>
      <c r="E1600" s="13">
        <f t="shared" ca="1" si="24"/>
        <v>45681</v>
      </c>
      <c r="F1600" s="4" t="s">
        <v>21</v>
      </c>
      <c r="G1600" s="5">
        <v>8</v>
      </c>
      <c r="H1600" s="6">
        <v>12500</v>
      </c>
      <c r="I1600" s="6">
        <v>95765</v>
      </c>
      <c r="J1600" s="16">
        <v>7661</v>
      </c>
    </row>
    <row r="1601" spans="1:10" x14ac:dyDescent="0.3">
      <c r="A1601" s="15" t="s">
        <v>10</v>
      </c>
      <c r="B1601" s="7" t="s">
        <v>38</v>
      </c>
      <c r="C1601" s="7" t="s">
        <v>23</v>
      </c>
      <c r="D1601" s="7" t="s">
        <v>114</v>
      </c>
      <c r="E1601" s="13">
        <f t="shared" ca="1" si="24"/>
        <v>45672</v>
      </c>
      <c r="F1601" s="7" t="s">
        <v>21</v>
      </c>
      <c r="G1601" s="8">
        <v>2</v>
      </c>
      <c r="H1601" s="9">
        <v>12500</v>
      </c>
      <c r="I1601" s="9">
        <v>25393</v>
      </c>
      <c r="J1601" s="17">
        <v>2031</v>
      </c>
    </row>
    <row r="1602" spans="1:10" x14ac:dyDescent="0.3">
      <c r="A1602" s="14" t="s">
        <v>10</v>
      </c>
      <c r="B1602" s="4" t="s">
        <v>38</v>
      </c>
      <c r="C1602" s="4" t="s">
        <v>23</v>
      </c>
      <c r="D1602" s="4" t="s">
        <v>79</v>
      </c>
      <c r="E1602" s="13">
        <f t="shared" ca="1" si="24"/>
        <v>45911</v>
      </c>
      <c r="F1602" s="4" t="s">
        <v>40</v>
      </c>
      <c r="G1602" s="5">
        <v>1</v>
      </c>
      <c r="H1602" s="6">
        <v>15000</v>
      </c>
      <c r="I1602" s="6">
        <v>14692</v>
      </c>
      <c r="J1602" s="16">
        <v>1469</v>
      </c>
    </row>
    <row r="1603" spans="1:10" x14ac:dyDescent="0.3">
      <c r="A1603" s="15" t="s">
        <v>41</v>
      </c>
      <c r="B1603" s="7" t="s">
        <v>22</v>
      </c>
      <c r="C1603" s="7" t="s">
        <v>23</v>
      </c>
      <c r="D1603" s="7" t="s">
        <v>238</v>
      </c>
      <c r="E1603" s="13">
        <f t="shared" ref="E1603:E1666" ca="1" si="25">DATE(2025,1,1)+RANDBETWEEN(0,364)</f>
        <v>45881</v>
      </c>
      <c r="F1603" s="7" t="s">
        <v>21</v>
      </c>
      <c r="G1603" s="8">
        <v>10</v>
      </c>
      <c r="H1603" s="9">
        <v>12500</v>
      </c>
      <c r="I1603" s="9">
        <v>132627</v>
      </c>
      <c r="J1603" s="17">
        <v>10610</v>
      </c>
    </row>
    <row r="1604" spans="1:10" x14ac:dyDescent="0.3">
      <c r="A1604" s="14" t="s">
        <v>37</v>
      </c>
      <c r="B1604" s="4" t="s">
        <v>29</v>
      </c>
      <c r="C1604" s="4" t="s">
        <v>26</v>
      </c>
      <c r="D1604" s="4" t="s">
        <v>128</v>
      </c>
      <c r="E1604" s="13">
        <f t="shared" ca="1" si="25"/>
        <v>45845</v>
      </c>
      <c r="F1604" s="4" t="s">
        <v>33</v>
      </c>
      <c r="G1604" s="5">
        <v>1</v>
      </c>
      <c r="H1604" s="6">
        <v>45000</v>
      </c>
      <c r="I1604" s="6">
        <v>48808</v>
      </c>
      <c r="J1604" s="16">
        <v>8785</v>
      </c>
    </row>
    <row r="1605" spans="1:10" x14ac:dyDescent="0.3">
      <c r="A1605" s="15" t="s">
        <v>15</v>
      </c>
      <c r="B1605" s="7" t="s">
        <v>51</v>
      </c>
      <c r="C1605" s="7" t="s">
        <v>12</v>
      </c>
      <c r="D1605" s="7" t="s">
        <v>104</v>
      </c>
      <c r="E1605" s="13">
        <f t="shared" ca="1" si="25"/>
        <v>45926</v>
      </c>
      <c r="F1605" s="7" t="s">
        <v>40</v>
      </c>
      <c r="G1605" s="8">
        <v>7</v>
      </c>
      <c r="H1605" s="9">
        <v>15000</v>
      </c>
      <c r="I1605" s="9">
        <v>101911</v>
      </c>
      <c r="J1605" s="17">
        <v>10191</v>
      </c>
    </row>
    <row r="1606" spans="1:10" x14ac:dyDescent="0.3">
      <c r="A1606" s="14" t="s">
        <v>37</v>
      </c>
      <c r="B1606" s="4" t="s">
        <v>51</v>
      </c>
      <c r="C1606" s="4" t="s">
        <v>12</v>
      </c>
      <c r="D1606" s="4" t="s">
        <v>122</v>
      </c>
      <c r="E1606" s="13">
        <f t="shared" ca="1" si="25"/>
        <v>45725</v>
      </c>
      <c r="F1606" s="4" t="s">
        <v>33</v>
      </c>
      <c r="G1606" s="5">
        <v>1</v>
      </c>
      <c r="H1606" s="6">
        <v>45000</v>
      </c>
      <c r="I1606" s="6">
        <v>49306</v>
      </c>
      <c r="J1606" s="16">
        <v>8875</v>
      </c>
    </row>
    <row r="1607" spans="1:10" x14ac:dyDescent="0.3">
      <c r="A1607" s="15" t="s">
        <v>37</v>
      </c>
      <c r="B1607" s="7" t="s">
        <v>19</v>
      </c>
      <c r="C1607" s="7" t="s">
        <v>12</v>
      </c>
      <c r="D1607" s="7" t="s">
        <v>147</v>
      </c>
      <c r="E1607" s="13">
        <f t="shared" ca="1" si="25"/>
        <v>45759</v>
      </c>
      <c r="F1607" s="7" t="s">
        <v>14</v>
      </c>
      <c r="G1607" s="8">
        <v>7</v>
      </c>
      <c r="H1607" s="9">
        <v>18500</v>
      </c>
      <c r="I1607" s="9">
        <v>121327</v>
      </c>
      <c r="J1607" s="17">
        <v>14559</v>
      </c>
    </row>
    <row r="1608" spans="1:10" x14ac:dyDescent="0.3">
      <c r="A1608" s="14" t="s">
        <v>18</v>
      </c>
      <c r="B1608" s="4" t="s">
        <v>31</v>
      </c>
      <c r="C1608" s="4" t="s">
        <v>12</v>
      </c>
      <c r="D1608" s="4" t="s">
        <v>248</v>
      </c>
      <c r="E1608" s="13">
        <f t="shared" ca="1" si="25"/>
        <v>45676</v>
      </c>
      <c r="F1608" s="4" t="s">
        <v>36</v>
      </c>
      <c r="G1608" s="5">
        <v>9</v>
      </c>
      <c r="H1608" s="6">
        <v>55000</v>
      </c>
      <c r="I1608" s="6">
        <v>464793</v>
      </c>
      <c r="J1608" s="16">
        <v>102254</v>
      </c>
    </row>
    <row r="1609" spans="1:10" x14ac:dyDescent="0.3">
      <c r="A1609" s="15" t="s">
        <v>10</v>
      </c>
      <c r="B1609" s="7" t="s">
        <v>77</v>
      </c>
      <c r="C1609" s="7" t="s">
        <v>12</v>
      </c>
      <c r="D1609" s="7" t="s">
        <v>190</v>
      </c>
      <c r="E1609" s="13">
        <f t="shared" ca="1" si="25"/>
        <v>45977</v>
      </c>
      <c r="F1609" s="7" t="s">
        <v>36</v>
      </c>
      <c r="G1609" s="8">
        <v>9</v>
      </c>
      <c r="H1609" s="9">
        <v>55000</v>
      </c>
      <c r="I1609" s="9">
        <v>497719</v>
      </c>
      <c r="J1609" s="17">
        <v>109498</v>
      </c>
    </row>
    <row r="1610" spans="1:10" x14ac:dyDescent="0.3">
      <c r="A1610" s="14" t="s">
        <v>37</v>
      </c>
      <c r="B1610" s="4" t="s">
        <v>84</v>
      </c>
      <c r="C1610" s="4" t="s">
        <v>12</v>
      </c>
      <c r="D1610" s="4" t="s">
        <v>120</v>
      </c>
      <c r="E1610" s="13">
        <f t="shared" ca="1" si="25"/>
        <v>45717</v>
      </c>
      <c r="F1610" s="4" t="s">
        <v>14</v>
      </c>
      <c r="G1610" s="5">
        <v>1</v>
      </c>
      <c r="H1610" s="6">
        <v>18500</v>
      </c>
      <c r="I1610" s="6">
        <v>17858</v>
      </c>
      <c r="J1610" s="16">
        <v>2143</v>
      </c>
    </row>
    <row r="1611" spans="1:10" x14ac:dyDescent="0.3">
      <c r="A1611" s="15" t="s">
        <v>37</v>
      </c>
      <c r="B1611" s="7" t="s">
        <v>84</v>
      </c>
      <c r="C1611" s="7" t="s">
        <v>12</v>
      </c>
      <c r="D1611" s="7" t="s">
        <v>115</v>
      </c>
      <c r="E1611" s="13">
        <f t="shared" ca="1" si="25"/>
        <v>45832</v>
      </c>
      <c r="F1611" s="7" t="s">
        <v>21</v>
      </c>
      <c r="G1611" s="8">
        <v>6</v>
      </c>
      <c r="H1611" s="9">
        <v>12500</v>
      </c>
      <c r="I1611" s="9">
        <v>68796</v>
      </c>
      <c r="J1611" s="17">
        <v>5504</v>
      </c>
    </row>
    <row r="1612" spans="1:10" x14ac:dyDescent="0.3">
      <c r="A1612" s="14" t="s">
        <v>41</v>
      </c>
      <c r="B1612" s="4" t="s">
        <v>22</v>
      </c>
      <c r="C1612" s="4" t="s">
        <v>23</v>
      </c>
      <c r="D1612" s="4" t="s">
        <v>182</v>
      </c>
      <c r="E1612" s="13">
        <f t="shared" ca="1" si="25"/>
        <v>45916</v>
      </c>
      <c r="F1612" s="4" t="s">
        <v>33</v>
      </c>
      <c r="G1612" s="5">
        <v>3</v>
      </c>
      <c r="H1612" s="6">
        <v>45000</v>
      </c>
      <c r="I1612" s="6">
        <v>141458</v>
      </c>
      <c r="J1612" s="16">
        <v>25462</v>
      </c>
    </row>
    <row r="1613" spans="1:10" x14ac:dyDescent="0.3">
      <c r="A1613" s="15" t="s">
        <v>10</v>
      </c>
      <c r="B1613" s="7" t="s">
        <v>81</v>
      </c>
      <c r="C1613" s="7" t="s">
        <v>26</v>
      </c>
      <c r="D1613" s="7" t="s">
        <v>230</v>
      </c>
      <c r="E1613" s="13">
        <f t="shared" ca="1" si="25"/>
        <v>45724</v>
      </c>
      <c r="F1613" s="7" t="s">
        <v>33</v>
      </c>
      <c r="G1613" s="8">
        <v>4</v>
      </c>
      <c r="H1613" s="9">
        <v>45000</v>
      </c>
      <c r="I1613" s="9">
        <v>172665</v>
      </c>
      <c r="J1613" s="17">
        <v>31080</v>
      </c>
    </row>
    <row r="1614" spans="1:10" x14ac:dyDescent="0.3">
      <c r="A1614" s="14" t="s">
        <v>41</v>
      </c>
      <c r="B1614" s="4" t="s">
        <v>31</v>
      </c>
      <c r="C1614" s="4" t="s">
        <v>12</v>
      </c>
      <c r="D1614" s="4" t="s">
        <v>200</v>
      </c>
      <c r="E1614" s="13">
        <f t="shared" ca="1" si="25"/>
        <v>45965</v>
      </c>
      <c r="F1614" s="4" t="s">
        <v>36</v>
      </c>
      <c r="G1614" s="5">
        <v>10</v>
      </c>
      <c r="H1614" s="6">
        <v>55000</v>
      </c>
      <c r="I1614" s="6">
        <v>576117</v>
      </c>
      <c r="J1614" s="16">
        <v>126746</v>
      </c>
    </row>
    <row r="1615" spans="1:10" x14ac:dyDescent="0.3">
      <c r="A1615" s="15" t="s">
        <v>37</v>
      </c>
      <c r="B1615" s="7" t="s">
        <v>25</v>
      </c>
      <c r="C1615" s="7" t="s">
        <v>26</v>
      </c>
      <c r="D1615" s="7" t="s">
        <v>239</v>
      </c>
      <c r="E1615" s="13">
        <f t="shared" ca="1" si="25"/>
        <v>45890</v>
      </c>
      <c r="F1615" s="7" t="s">
        <v>21</v>
      </c>
      <c r="G1615" s="8">
        <v>6</v>
      </c>
      <c r="H1615" s="9">
        <v>12500</v>
      </c>
      <c r="I1615" s="9">
        <v>72695</v>
      </c>
      <c r="J1615" s="17">
        <v>5816</v>
      </c>
    </row>
    <row r="1616" spans="1:10" x14ac:dyDescent="0.3">
      <c r="A1616" s="14" t="s">
        <v>37</v>
      </c>
      <c r="B1616" s="4" t="s">
        <v>77</v>
      </c>
      <c r="C1616" s="4" t="s">
        <v>12</v>
      </c>
      <c r="D1616" s="4" t="s">
        <v>59</v>
      </c>
      <c r="E1616" s="13">
        <f t="shared" ca="1" si="25"/>
        <v>45932</v>
      </c>
      <c r="F1616" s="4" t="s">
        <v>14</v>
      </c>
      <c r="G1616" s="5">
        <v>5</v>
      </c>
      <c r="H1616" s="6">
        <v>18500</v>
      </c>
      <c r="I1616" s="6">
        <v>94417</v>
      </c>
      <c r="J1616" s="16">
        <v>11330</v>
      </c>
    </row>
    <row r="1617" spans="1:10" x14ac:dyDescent="0.3">
      <c r="A1617" s="15" t="s">
        <v>41</v>
      </c>
      <c r="B1617" s="7" t="s">
        <v>77</v>
      </c>
      <c r="C1617" s="7" t="s">
        <v>12</v>
      </c>
      <c r="D1617" s="7" t="s">
        <v>245</v>
      </c>
      <c r="E1617" s="13">
        <f t="shared" ca="1" si="25"/>
        <v>45863</v>
      </c>
      <c r="F1617" s="7" t="s">
        <v>40</v>
      </c>
      <c r="G1617" s="8">
        <v>6</v>
      </c>
      <c r="H1617" s="9">
        <v>15000</v>
      </c>
      <c r="I1617" s="9">
        <v>93166</v>
      </c>
      <c r="J1617" s="17">
        <v>9317</v>
      </c>
    </row>
    <row r="1618" spans="1:10" x14ac:dyDescent="0.3">
      <c r="A1618" s="14" t="s">
        <v>37</v>
      </c>
      <c r="B1618" s="4" t="s">
        <v>31</v>
      </c>
      <c r="C1618" s="4" t="s">
        <v>12</v>
      </c>
      <c r="D1618" s="4" t="s">
        <v>219</v>
      </c>
      <c r="E1618" s="13">
        <f t="shared" ca="1" si="25"/>
        <v>45715</v>
      </c>
      <c r="F1618" s="4" t="s">
        <v>14</v>
      </c>
      <c r="G1618" s="5">
        <v>5</v>
      </c>
      <c r="H1618" s="6">
        <v>18500</v>
      </c>
      <c r="I1618" s="6">
        <v>87069</v>
      </c>
      <c r="J1618" s="16">
        <v>10448</v>
      </c>
    </row>
    <row r="1619" spans="1:10" x14ac:dyDescent="0.3">
      <c r="A1619" s="15" t="s">
        <v>41</v>
      </c>
      <c r="B1619" s="7" t="s">
        <v>81</v>
      </c>
      <c r="C1619" s="7" t="s">
        <v>26</v>
      </c>
      <c r="D1619" s="7" t="s">
        <v>212</v>
      </c>
      <c r="E1619" s="13">
        <f t="shared" ca="1" si="25"/>
        <v>45983</v>
      </c>
      <c r="F1619" s="7" t="s">
        <v>40</v>
      </c>
      <c r="G1619" s="8">
        <v>7</v>
      </c>
      <c r="H1619" s="9">
        <v>15000</v>
      </c>
      <c r="I1619" s="9">
        <v>101893</v>
      </c>
      <c r="J1619" s="17">
        <v>10189</v>
      </c>
    </row>
    <row r="1620" spans="1:10" x14ac:dyDescent="0.3">
      <c r="A1620" s="14" t="s">
        <v>15</v>
      </c>
      <c r="B1620" s="4" t="s">
        <v>77</v>
      </c>
      <c r="C1620" s="4" t="s">
        <v>12</v>
      </c>
      <c r="D1620" s="4" t="s">
        <v>141</v>
      </c>
      <c r="E1620" s="13">
        <f t="shared" ca="1" si="25"/>
        <v>45860</v>
      </c>
      <c r="F1620" s="4" t="s">
        <v>36</v>
      </c>
      <c r="G1620" s="5">
        <v>1</v>
      </c>
      <c r="H1620" s="6">
        <v>55000</v>
      </c>
      <c r="I1620" s="6">
        <v>52832</v>
      </c>
      <c r="J1620" s="16">
        <v>11623</v>
      </c>
    </row>
    <row r="1621" spans="1:10" x14ac:dyDescent="0.3">
      <c r="A1621" s="15" t="s">
        <v>15</v>
      </c>
      <c r="B1621" s="7" t="s">
        <v>46</v>
      </c>
      <c r="C1621" s="7" t="s">
        <v>26</v>
      </c>
      <c r="D1621" s="7" t="s">
        <v>87</v>
      </c>
      <c r="E1621" s="13">
        <f t="shared" ca="1" si="25"/>
        <v>45778</v>
      </c>
      <c r="F1621" s="7" t="s">
        <v>40</v>
      </c>
      <c r="G1621" s="8">
        <v>2</v>
      </c>
      <c r="H1621" s="9">
        <v>15000</v>
      </c>
      <c r="I1621" s="9">
        <v>29375</v>
      </c>
      <c r="J1621" s="17">
        <v>2938</v>
      </c>
    </row>
    <row r="1622" spans="1:10" x14ac:dyDescent="0.3">
      <c r="A1622" s="14" t="s">
        <v>15</v>
      </c>
      <c r="B1622" s="4" t="s">
        <v>31</v>
      </c>
      <c r="C1622" s="4" t="s">
        <v>12</v>
      </c>
      <c r="D1622" s="4" t="s">
        <v>246</v>
      </c>
      <c r="E1622" s="13">
        <f t="shared" ca="1" si="25"/>
        <v>46018</v>
      </c>
      <c r="F1622" s="4" t="s">
        <v>36</v>
      </c>
      <c r="G1622" s="5">
        <v>2</v>
      </c>
      <c r="H1622" s="6">
        <v>55000</v>
      </c>
      <c r="I1622" s="6">
        <v>109786</v>
      </c>
      <c r="J1622" s="16">
        <v>24153</v>
      </c>
    </row>
    <row r="1623" spans="1:10" x14ac:dyDescent="0.3">
      <c r="A1623" s="15" t="s">
        <v>41</v>
      </c>
      <c r="B1623" s="7" t="s">
        <v>11</v>
      </c>
      <c r="C1623" s="7" t="s">
        <v>12</v>
      </c>
      <c r="D1623" s="7" t="s">
        <v>225</v>
      </c>
      <c r="E1623" s="13">
        <f t="shared" ca="1" si="25"/>
        <v>45798</v>
      </c>
      <c r="F1623" s="7" t="s">
        <v>21</v>
      </c>
      <c r="G1623" s="8">
        <v>2</v>
      </c>
      <c r="H1623" s="9">
        <v>12500</v>
      </c>
      <c r="I1623" s="9">
        <v>25412</v>
      </c>
      <c r="J1623" s="17">
        <v>2033</v>
      </c>
    </row>
    <row r="1624" spans="1:10" x14ac:dyDescent="0.3">
      <c r="A1624" s="14" t="s">
        <v>41</v>
      </c>
      <c r="B1624" s="4" t="s">
        <v>46</v>
      </c>
      <c r="C1624" s="4" t="s">
        <v>26</v>
      </c>
      <c r="D1624" s="4" t="s">
        <v>146</v>
      </c>
      <c r="E1624" s="13">
        <f t="shared" ca="1" si="25"/>
        <v>45991</v>
      </c>
      <c r="F1624" s="4" t="s">
        <v>40</v>
      </c>
      <c r="G1624" s="5">
        <v>1</v>
      </c>
      <c r="H1624" s="6">
        <v>15000</v>
      </c>
      <c r="I1624" s="6">
        <v>13636</v>
      </c>
      <c r="J1624" s="16">
        <v>1364</v>
      </c>
    </row>
    <row r="1625" spans="1:10" x14ac:dyDescent="0.3">
      <c r="A1625" s="15" t="s">
        <v>41</v>
      </c>
      <c r="B1625" s="7" t="s">
        <v>19</v>
      </c>
      <c r="C1625" s="7" t="s">
        <v>12</v>
      </c>
      <c r="D1625" s="7" t="s">
        <v>130</v>
      </c>
      <c r="E1625" s="13">
        <f t="shared" ca="1" si="25"/>
        <v>45951</v>
      </c>
      <c r="F1625" s="7" t="s">
        <v>14</v>
      </c>
      <c r="G1625" s="8">
        <v>2</v>
      </c>
      <c r="H1625" s="9">
        <v>18500</v>
      </c>
      <c r="I1625" s="9">
        <v>36579</v>
      </c>
      <c r="J1625" s="17">
        <v>4389</v>
      </c>
    </row>
    <row r="1626" spans="1:10" x14ac:dyDescent="0.3">
      <c r="A1626" s="14" t="s">
        <v>10</v>
      </c>
      <c r="B1626" s="4" t="s">
        <v>56</v>
      </c>
      <c r="C1626" s="4" t="s">
        <v>23</v>
      </c>
      <c r="D1626" s="4" t="s">
        <v>138</v>
      </c>
      <c r="E1626" s="13">
        <f t="shared" ca="1" si="25"/>
        <v>45996</v>
      </c>
      <c r="F1626" s="4" t="s">
        <v>33</v>
      </c>
      <c r="G1626" s="5">
        <v>2</v>
      </c>
      <c r="H1626" s="6">
        <v>45000</v>
      </c>
      <c r="I1626" s="6">
        <v>85330</v>
      </c>
      <c r="J1626" s="16">
        <v>15359</v>
      </c>
    </row>
    <row r="1627" spans="1:10" x14ac:dyDescent="0.3">
      <c r="A1627" s="15" t="s">
        <v>18</v>
      </c>
      <c r="B1627" s="7" t="s">
        <v>19</v>
      </c>
      <c r="C1627" s="7" t="s">
        <v>12</v>
      </c>
      <c r="D1627" s="7" t="s">
        <v>242</v>
      </c>
      <c r="E1627" s="13">
        <f t="shared" ca="1" si="25"/>
        <v>45850</v>
      </c>
      <c r="F1627" s="7" t="s">
        <v>40</v>
      </c>
      <c r="G1627" s="8">
        <v>3</v>
      </c>
      <c r="H1627" s="9">
        <v>15000</v>
      </c>
      <c r="I1627" s="9">
        <v>42293</v>
      </c>
      <c r="J1627" s="17">
        <v>4229</v>
      </c>
    </row>
    <row r="1628" spans="1:10" x14ac:dyDescent="0.3">
      <c r="A1628" s="14" t="s">
        <v>10</v>
      </c>
      <c r="B1628" s="4" t="s">
        <v>38</v>
      </c>
      <c r="C1628" s="4" t="s">
        <v>23</v>
      </c>
      <c r="D1628" s="4" t="s">
        <v>204</v>
      </c>
      <c r="E1628" s="13">
        <f t="shared" ca="1" si="25"/>
        <v>45938</v>
      </c>
      <c r="F1628" s="4" t="s">
        <v>36</v>
      </c>
      <c r="G1628" s="5">
        <v>5</v>
      </c>
      <c r="H1628" s="6">
        <v>55000</v>
      </c>
      <c r="I1628" s="6">
        <v>301924</v>
      </c>
      <c r="J1628" s="16">
        <v>66423</v>
      </c>
    </row>
    <row r="1629" spans="1:10" x14ac:dyDescent="0.3">
      <c r="A1629" s="15" t="s">
        <v>15</v>
      </c>
      <c r="B1629" s="7" t="s">
        <v>56</v>
      </c>
      <c r="C1629" s="7" t="s">
        <v>23</v>
      </c>
      <c r="D1629" s="7" t="s">
        <v>59</v>
      </c>
      <c r="E1629" s="13">
        <f t="shared" ca="1" si="25"/>
        <v>45859</v>
      </c>
      <c r="F1629" s="7" t="s">
        <v>14</v>
      </c>
      <c r="G1629" s="8">
        <v>1</v>
      </c>
      <c r="H1629" s="9">
        <v>18500</v>
      </c>
      <c r="I1629" s="9">
        <v>17613</v>
      </c>
      <c r="J1629" s="17">
        <v>2114</v>
      </c>
    </row>
    <row r="1630" spans="1:10" x14ac:dyDescent="0.3">
      <c r="A1630" s="14" t="s">
        <v>15</v>
      </c>
      <c r="B1630" s="4" t="s">
        <v>81</v>
      </c>
      <c r="C1630" s="4" t="s">
        <v>26</v>
      </c>
      <c r="D1630" s="4" t="s">
        <v>249</v>
      </c>
      <c r="E1630" s="13">
        <f t="shared" ca="1" si="25"/>
        <v>45693</v>
      </c>
      <c r="F1630" s="4" t="s">
        <v>21</v>
      </c>
      <c r="G1630" s="5">
        <v>1</v>
      </c>
      <c r="H1630" s="6">
        <v>12500</v>
      </c>
      <c r="I1630" s="6">
        <v>11803</v>
      </c>
      <c r="J1630" s="16">
        <v>944</v>
      </c>
    </row>
    <row r="1631" spans="1:10" x14ac:dyDescent="0.3">
      <c r="A1631" s="15" t="s">
        <v>15</v>
      </c>
      <c r="B1631" s="7" t="s">
        <v>29</v>
      </c>
      <c r="C1631" s="7" t="s">
        <v>26</v>
      </c>
      <c r="D1631" s="7" t="s">
        <v>214</v>
      </c>
      <c r="E1631" s="13">
        <f t="shared" ca="1" si="25"/>
        <v>45902</v>
      </c>
      <c r="F1631" s="7" t="s">
        <v>33</v>
      </c>
      <c r="G1631" s="8">
        <v>7</v>
      </c>
      <c r="H1631" s="9">
        <v>45000</v>
      </c>
      <c r="I1631" s="9">
        <v>326992</v>
      </c>
      <c r="J1631" s="17">
        <v>58859</v>
      </c>
    </row>
    <row r="1632" spans="1:10" x14ac:dyDescent="0.3">
      <c r="A1632" s="14" t="s">
        <v>18</v>
      </c>
      <c r="B1632" s="4" t="s">
        <v>77</v>
      </c>
      <c r="C1632" s="4" t="s">
        <v>12</v>
      </c>
      <c r="D1632" s="4" t="s">
        <v>50</v>
      </c>
      <c r="E1632" s="13">
        <f t="shared" ca="1" si="25"/>
        <v>45944</v>
      </c>
      <c r="F1632" s="4" t="s">
        <v>40</v>
      </c>
      <c r="G1632" s="5">
        <v>2</v>
      </c>
      <c r="H1632" s="6">
        <v>15000</v>
      </c>
      <c r="I1632" s="6">
        <v>28471</v>
      </c>
      <c r="J1632" s="16">
        <v>2847</v>
      </c>
    </row>
    <row r="1633" spans="1:10" x14ac:dyDescent="0.3">
      <c r="A1633" s="15" t="s">
        <v>15</v>
      </c>
      <c r="B1633" s="7" t="s">
        <v>29</v>
      </c>
      <c r="C1633" s="7" t="s">
        <v>26</v>
      </c>
      <c r="D1633" s="7" t="s">
        <v>206</v>
      </c>
      <c r="E1633" s="13">
        <f t="shared" ca="1" si="25"/>
        <v>45803</v>
      </c>
      <c r="F1633" s="7" t="s">
        <v>36</v>
      </c>
      <c r="G1633" s="8">
        <v>9</v>
      </c>
      <c r="H1633" s="9">
        <v>55000</v>
      </c>
      <c r="I1633" s="9">
        <v>513520</v>
      </c>
      <c r="J1633" s="17">
        <v>112974</v>
      </c>
    </row>
    <row r="1634" spans="1:10" x14ac:dyDescent="0.3">
      <c r="A1634" s="14" t="s">
        <v>41</v>
      </c>
      <c r="B1634" s="4" t="s">
        <v>81</v>
      </c>
      <c r="C1634" s="4" t="s">
        <v>26</v>
      </c>
      <c r="D1634" s="4" t="s">
        <v>141</v>
      </c>
      <c r="E1634" s="13">
        <f t="shared" ca="1" si="25"/>
        <v>45679</v>
      </c>
      <c r="F1634" s="4" t="s">
        <v>36</v>
      </c>
      <c r="G1634" s="5">
        <v>9</v>
      </c>
      <c r="H1634" s="6">
        <v>55000</v>
      </c>
      <c r="I1634" s="6">
        <v>460246</v>
      </c>
      <c r="J1634" s="16">
        <v>101254</v>
      </c>
    </row>
    <row r="1635" spans="1:10" x14ac:dyDescent="0.3">
      <c r="A1635" s="15" t="s">
        <v>41</v>
      </c>
      <c r="B1635" s="7" t="s">
        <v>84</v>
      </c>
      <c r="C1635" s="7" t="s">
        <v>12</v>
      </c>
      <c r="D1635" s="7" t="s">
        <v>222</v>
      </c>
      <c r="E1635" s="13">
        <f t="shared" ca="1" si="25"/>
        <v>45762</v>
      </c>
      <c r="F1635" s="7" t="s">
        <v>40</v>
      </c>
      <c r="G1635" s="8">
        <v>7</v>
      </c>
      <c r="H1635" s="9">
        <v>15000</v>
      </c>
      <c r="I1635" s="9">
        <v>111857</v>
      </c>
      <c r="J1635" s="17">
        <v>11186</v>
      </c>
    </row>
    <row r="1636" spans="1:10" x14ac:dyDescent="0.3">
      <c r="A1636" s="14" t="s">
        <v>41</v>
      </c>
      <c r="B1636" s="4" t="s">
        <v>11</v>
      </c>
      <c r="C1636" s="4" t="s">
        <v>12</v>
      </c>
      <c r="D1636" s="4" t="s">
        <v>34</v>
      </c>
      <c r="E1636" s="13">
        <f t="shared" ca="1" si="25"/>
        <v>45926</v>
      </c>
      <c r="F1636" s="4" t="s">
        <v>36</v>
      </c>
      <c r="G1636" s="5">
        <v>7</v>
      </c>
      <c r="H1636" s="6">
        <v>55000</v>
      </c>
      <c r="I1636" s="6">
        <v>364923</v>
      </c>
      <c r="J1636" s="16">
        <v>80283</v>
      </c>
    </row>
    <row r="1637" spans="1:10" x14ac:dyDescent="0.3">
      <c r="A1637" s="15" t="s">
        <v>18</v>
      </c>
      <c r="B1637" s="7" t="s">
        <v>16</v>
      </c>
      <c r="C1637" s="7" t="s">
        <v>12</v>
      </c>
      <c r="D1637" s="7" t="s">
        <v>254</v>
      </c>
      <c r="E1637" s="13">
        <f t="shared" ca="1" si="25"/>
        <v>45987</v>
      </c>
      <c r="F1637" s="7" t="s">
        <v>36</v>
      </c>
      <c r="G1637" s="8">
        <v>3</v>
      </c>
      <c r="H1637" s="9">
        <v>55000</v>
      </c>
      <c r="I1637" s="9">
        <v>149712</v>
      </c>
      <c r="J1637" s="17">
        <v>32937</v>
      </c>
    </row>
    <row r="1638" spans="1:10" x14ac:dyDescent="0.3">
      <c r="A1638" s="14" t="s">
        <v>15</v>
      </c>
      <c r="B1638" s="4" t="s">
        <v>88</v>
      </c>
      <c r="C1638" s="4" t="s">
        <v>12</v>
      </c>
      <c r="D1638" s="4" t="s">
        <v>197</v>
      </c>
      <c r="E1638" s="13">
        <f t="shared" ca="1" si="25"/>
        <v>45742</v>
      </c>
      <c r="F1638" s="4" t="s">
        <v>36</v>
      </c>
      <c r="G1638" s="5">
        <v>6</v>
      </c>
      <c r="H1638" s="6">
        <v>55000</v>
      </c>
      <c r="I1638" s="6">
        <v>320571</v>
      </c>
      <c r="J1638" s="16">
        <v>70526</v>
      </c>
    </row>
    <row r="1639" spans="1:10" x14ac:dyDescent="0.3">
      <c r="A1639" s="15" t="s">
        <v>15</v>
      </c>
      <c r="B1639" s="7" t="s">
        <v>56</v>
      </c>
      <c r="C1639" s="7" t="s">
        <v>23</v>
      </c>
      <c r="D1639" s="7" t="s">
        <v>241</v>
      </c>
      <c r="E1639" s="13">
        <f t="shared" ca="1" si="25"/>
        <v>45907</v>
      </c>
      <c r="F1639" s="7" t="s">
        <v>33</v>
      </c>
      <c r="G1639" s="8">
        <v>6</v>
      </c>
      <c r="H1639" s="9">
        <v>45000</v>
      </c>
      <c r="I1639" s="9">
        <v>262527</v>
      </c>
      <c r="J1639" s="17">
        <v>47255</v>
      </c>
    </row>
    <row r="1640" spans="1:10" x14ac:dyDescent="0.3">
      <c r="A1640" s="14" t="s">
        <v>15</v>
      </c>
      <c r="B1640" s="4" t="s">
        <v>77</v>
      </c>
      <c r="C1640" s="4" t="s">
        <v>12</v>
      </c>
      <c r="D1640" s="4" t="s">
        <v>90</v>
      </c>
      <c r="E1640" s="13">
        <f t="shared" ca="1" si="25"/>
        <v>45962</v>
      </c>
      <c r="F1640" s="4" t="s">
        <v>40</v>
      </c>
      <c r="G1640" s="5">
        <v>9</v>
      </c>
      <c r="H1640" s="6">
        <v>15000</v>
      </c>
      <c r="I1640" s="6">
        <v>144301</v>
      </c>
      <c r="J1640" s="16">
        <v>14430</v>
      </c>
    </row>
    <row r="1641" spans="1:10" x14ac:dyDescent="0.3">
      <c r="A1641" s="15" t="s">
        <v>10</v>
      </c>
      <c r="B1641" s="7" t="s">
        <v>56</v>
      </c>
      <c r="C1641" s="7" t="s">
        <v>23</v>
      </c>
      <c r="D1641" s="7" t="s">
        <v>144</v>
      </c>
      <c r="E1641" s="13">
        <f t="shared" ca="1" si="25"/>
        <v>45728</v>
      </c>
      <c r="F1641" s="7" t="s">
        <v>40</v>
      </c>
      <c r="G1641" s="8">
        <v>7</v>
      </c>
      <c r="H1641" s="9">
        <v>15000</v>
      </c>
      <c r="I1641" s="9">
        <v>110653</v>
      </c>
      <c r="J1641" s="17">
        <v>11065</v>
      </c>
    </row>
    <row r="1642" spans="1:10" x14ac:dyDescent="0.3">
      <c r="A1642" s="14" t="s">
        <v>37</v>
      </c>
      <c r="B1642" s="4" t="s">
        <v>88</v>
      </c>
      <c r="C1642" s="4" t="s">
        <v>12</v>
      </c>
      <c r="D1642" s="4" t="s">
        <v>212</v>
      </c>
      <c r="E1642" s="13">
        <f t="shared" ca="1" si="25"/>
        <v>45963</v>
      </c>
      <c r="F1642" s="4" t="s">
        <v>40</v>
      </c>
      <c r="G1642" s="5">
        <v>5</v>
      </c>
      <c r="H1642" s="6">
        <v>15000</v>
      </c>
      <c r="I1642" s="6">
        <v>78845</v>
      </c>
      <c r="J1642" s="16">
        <v>7884</v>
      </c>
    </row>
    <row r="1643" spans="1:10" x14ac:dyDescent="0.3">
      <c r="A1643" s="15" t="s">
        <v>41</v>
      </c>
      <c r="B1643" s="7" t="s">
        <v>16</v>
      </c>
      <c r="C1643" s="7" t="s">
        <v>12</v>
      </c>
      <c r="D1643" s="7" t="s">
        <v>89</v>
      </c>
      <c r="E1643" s="13">
        <f t="shared" ca="1" si="25"/>
        <v>45786</v>
      </c>
      <c r="F1643" s="7" t="s">
        <v>36</v>
      </c>
      <c r="G1643" s="8">
        <v>3</v>
      </c>
      <c r="H1643" s="9">
        <v>55000</v>
      </c>
      <c r="I1643" s="9">
        <v>163220</v>
      </c>
      <c r="J1643" s="17">
        <v>35908</v>
      </c>
    </row>
    <row r="1644" spans="1:10" x14ac:dyDescent="0.3">
      <c r="A1644" s="14" t="s">
        <v>15</v>
      </c>
      <c r="B1644" s="4" t="s">
        <v>56</v>
      </c>
      <c r="C1644" s="4" t="s">
        <v>23</v>
      </c>
      <c r="D1644" s="4" t="s">
        <v>218</v>
      </c>
      <c r="E1644" s="13">
        <f t="shared" ca="1" si="25"/>
        <v>45986</v>
      </c>
      <c r="F1644" s="4" t="s">
        <v>33</v>
      </c>
      <c r="G1644" s="5">
        <v>5</v>
      </c>
      <c r="H1644" s="6">
        <v>45000</v>
      </c>
      <c r="I1644" s="6">
        <v>240827</v>
      </c>
      <c r="J1644" s="16">
        <v>43349</v>
      </c>
    </row>
    <row r="1645" spans="1:10" x14ac:dyDescent="0.3">
      <c r="A1645" s="15" t="s">
        <v>41</v>
      </c>
      <c r="B1645" s="7" t="s">
        <v>46</v>
      </c>
      <c r="C1645" s="7" t="s">
        <v>26</v>
      </c>
      <c r="D1645" s="7" t="s">
        <v>185</v>
      </c>
      <c r="E1645" s="13">
        <f t="shared" ca="1" si="25"/>
        <v>45772</v>
      </c>
      <c r="F1645" s="7" t="s">
        <v>36</v>
      </c>
      <c r="G1645" s="8">
        <v>8</v>
      </c>
      <c r="H1645" s="9">
        <v>55000</v>
      </c>
      <c r="I1645" s="9">
        <v>404648</v>
      </c>
      <c r="J1645" s="17">
        <v>89023</v>
      </c>
    </row>
    <row r="1646" spans="1:10" x14ac:dyDescent="0.3">
      <c r="A1646" s="14" t="s">
        <v>10</v>
      </c>
      <c r="B1646" s="4" t="s">
        <v>22</v>
      </c>
      <c r="C1646" s="4" t="s">
        <v>23</v>
      </c>
      <c r="D1646" s="4" t="s">
        <v>73</v>
      </c>
      <c r="E1646" s="13">
        <f t="shared" ca="1" si="25"/>
        <v>46008</v>
      </c>
      <c r="F1646" s="4" t="s">
        <v>33</v>
      </c>
      <c r="G1646" s="5">
        <v>9</v>
      </c>
      <c r="H1646" s="6">
        <v>45000</v>
      </c>
      <c r="I1646" s="6">
        <v>373355</v>
      </c>
      <c r="J1646" s="16">
        <v>67204</v>
      </c>
    </row>
    <row r="1647" spans="1:10" x14ac:dyDescent="0.3">
      <c r="A1647" s="15" t="s">
        <v>15</v>
      </c>
      <c r="B1647" s="7" t="s">
        <v>81</v>
      </c>
      <c r="C1647" s="7" t="s">
        <v>26</v>
      </c>
      <c r="D1647" s="7" t="s">
        <v>60</v>
      </c>
      <c r="E1647" s="13">
        <f t="shared" ca="1" si="25"/>
        <v>45883</v>
      </c>
      <c r="F1647" s="7" t="s">
        <v>40</v>
      </c>
      <c r="G1647" s="8">
        <v>7</v>
      </c>
      <c r="H1647" s="9">
        <v>15000</v>
      </c>
      <c r="I1647" s="9">
        <v>108770</v>
      </c>
      <c r="J1647" s="17">
        <v>10877</v>
      </c>
    </row>
    <row r="1648" spans="1:10" x14ac:dyDescent="0.3">
      <c r="A1648" s="14" t="s">
        <v>10</v>
      </c>
      <c r="B1648" s="4" t="s">
        <v>84</v>
      </c>
      <c r="C1648" s="4" t="s">
        <v>12</v>
      </c>
      <c r="D1648" s="4" t="s">
        <v>47</v>
      </c>
      <c r="E1648" s="13">
        <f t="shared" ca="1" si="25"/>
        <v>45853</v>
      </c>
      <c r="F1648" s="4" t="s">
        <v>33</v>
      </c>
      <c r="G1648" s="5">
        <v>8</v>
      </c>
      <c r="H1648" s="6">
        <v>45000</v>
      </c>
      <c r="I1648" s="6">
        <v>357540</v>
      </c>
      <c r="J1648" s="16">
        <v>64357</v>
      </c>
    </row>
    <row r="1649" spans="1:10" x14ac:dyDescent="0.3">
      <c r="A1649" s="15" t="s">
        <v>37</v>
      </c>
      <c r="B1649" s="7" t="s">
        <v>81</v>
      </c>
      <c r="C1649" s="7" t="s">
        <v>26</v>
      </c>
      <c r="D1649" s="7" t="s">
        <v>112</v>
      </c>
      <c r="E1649" s="13">
        <f t="shared" ca="1" si="25"/>
        <v>45840</v>
      </c>
      <c r="F1649" s="7" t="s">
        <v>14</v>
      </c>
      <c r="G1649" s="8">
        <v>10</v>
      </c>
      <c r="H1649" s="9">
        <v>18500</v>
      </c>
      <c r="I1649" s="9">
        <v>168639</v>
      </c>
      <c r="J1649" s="17">
        <v>20237</v>
      </c>
    </row>
    <row r="1650" spans="1:10" x14ac:dyDescent="0.3">
      <c r="A1650" s="14" t="s">
        <v>15</v>
      </c>
      <c r="B1650" s="4" t="s">
        <v>38</v>
      </c>
      <c r="C1650" s="4" t="s">
        <v>23</v>
      </c>
      <c r="D1650" s="4" t="s">
        <v>108</v>
      </c>
      <c r="E1650" s="13">
        <f t="shared" ca="1" si="25"/>
        <v>45758</v>
      </c>
      <c r="F1650" s="4" t="s">
        <v>40</v>
      </c>
      <c r="G1650" s="5">
        <v>1</v>
      </c>
      <c r="H1650" s="6">
        <v>15000</v>
      </c>
      <c r="I1650" s="6">
        <v>13964</v>
      </c>
      <c r="J1650" s="16">
        <v>1396</v>
      </c>
    </row>
    <row r="1651" spans="1:10" x14ac:dyDescent="0.3">
      <c r="A1651" s="15" t="s">
        <v>15</v>
      </c>
      <c r="B1651" s="7" t="s">
        <v>29</v>
      </c>
      <c r="C1651" s="7" t="s">
        <v>26</v>
      </c>
      <c r="D1651" s="7" t="s">
        <v>82</v>
      </c>
      <c r="E1651" s="13">
        <f t="shared" ca="1" si="25"/>
        <v>45695</v>
      </c>
      <c r="F1651" s="7" t="s">
        <v>14</v>
      </c>
      <c r="G1651" s="8">
        <v>6</v>
      </c>
      <c r="H1651" s="9">
        <v>18500</v>
      </c>
      <c r="I1651" s="9">
        <v>109933</v>
      </c>
      <c r="J1651" s="17">
        <v>13192</v>
      </c>
    </row>
    <row r="1652" spans="1:10" x14ac:dyDescent="0.3">
      <c r="A1652" s="14" t="s">
        <v>15</v>
      </c>
      <c r="B1652" s="4" t="s">
        <v>25</v>
      </c>
      <c r="C1652" s="4" t="s">
        <v>26</v>
      </c>
      <c r="D1652" s="4" t="s">
        <v>100</v>
      </c>
      <c r="E1652" s="13">
        <f t="shared" ca="1" si="25"/>
        <v>46015</v>
      </c>
      <c r="F1652" s="4" t="s">
        <v>33</v>
      </c>
      <c r="G1652" s="5">
        <v>7</v>
      </c>
      <c r="H1652" s="6">
        <v>45000</v>
      </c>
      <c r="I1652" s="6">
        <v>291519</v>
      </c>
      <c r="J1652" s="16">
        <v>52473</v>
      </c>
    </row>
    <row r="1653" spans="1:10" x14ac:dyDescent="0.3">
      <c r="A1653" s="15" t="s">
        <v>15</v>
      </c>
      <c r="B1653" s="7" t="s">
        <v>22</v>
      </c>
      <c r="C1653" s="7" t="s">
        <v>23</v>
      </c>
      <c r="D1653" s="7" t="s">
        <v>156</v>
      </c>
      <c r="E1653" s="13">
        <f t="shared" ca="1" si="25"/>
        <v>45687</v>
      </c>
      <c r="F1653" s="7" t="s">
        <v>21</v>
      </c>
      <c r="G1653" s="8">
        <v>6</v>
      </c>
      <c r="H1653" s="9">
        <v>12500</v>
      </c>
      <c r="I1653" s="9">
        <v>70017</v>
      </c>
      <c r="J1653" s="17">
        <v>5601</v>
      </c>
    </row>
    <row r="1654" spans="1:10" x14ac:dyDescent="0.3">
      <c r="A1654" s="14" t="s">
        <v>15</v>
      </c>
      <c r="B1654" s="4" t="s">
        <v>38</v>
      </c>
      <c r="C1654" s="4" t="s">
        <v>23</v>
      </c>
      <c r="D1654" s="4" t="s">
        <v>156</v>
      </c>
      <c r="E1654" s="13">
        <f t="shared" ca="1" si="25"/>
        <v>45974</v>
      </c>
      <c r="F1654" s="4" t="s">
        <v>14</v>
      </c>
      <c r="G1654" s="5">
        <v>2</v>
      </c>
      <c r="H1654" s="6">
        <v>18500</v>
      </c>
      <c r="I1654" s="6">
        <v>34887</v>
      </c>
      <c r="J1654" s="16">
        <v>4186</v>
      </c>
    </row>
    <row r="1655" spans="1:10" x14ac:dyDescent="0.3">
      <c r="A1655" s="15" t="s">
        <v>18</v>
      </c>
      <c r="B1655" s="7" t="s">
        <v>51</v>
      </c>
      <c r="C1655" s="7" t="s">
        <v>12</v>
      </c>
      <c r="D1655" s="7" t="s">
        <v>142</v>
      </c>
      <c r="E1655" s="13">
        <f t="shared" ca="1" si="25"/>
        <v>45879</v>
      </c>
      <c r="F1655" s="7" t="s">
        <v>40</v>
      </c>
      <c r="G1655" s="8">
        <v>2</v>
      </c>
      <c r="H1655" s="9">
        <v>15000</v>
      </c>
      <c r="I1655" s="9">
        <v>29597</v>
      </c>
      <c r="J1655" s="17">
        <v>2960</v>
      </c>
    </row>
    <row r="1656" spans="1:10" x14ac:dyDescent="0.3">
      <c r="A1656" s="14" t="s">
        <v>37</v>
      </c>
      <c r="B1656" s="4" t="s">
        <v>16</v>
      </c>
      <c r="C1656" s="4" t="s">
        <v>12</v>
      </c>
      <c r="D1656" s="4" t="s">
        <v>220</v>
      </c>
      <c r="E1656" s="13">
        <f t="shared" ca="1" si="25"/>
        <v>45729</v>
      </c>
      <c r="F1656" s="4" t="s">
        <v>21</v>
      </c>
      <c r="G1656" s="5">
        <v>10</v>
      </c>
      <c r="H1656" s="6">
        <v>12500</v>
      </c>
      <c r="I1656" s="6">
        <v>119382</v>
      </c>
      <c r="J1656" s="16">
        <v>9551</v>
      </c>
    </row>
    <row r="1657" spans="1:10" x14ac:dyDescent="0.3">
      <c r="A1657" s="15" t="s">
        <v>15</v>
      </c>
      <c r="B1657" s="7" t="s">
        <v>56</v>
      </c>
      <c r="C1657" s="7" t="s">
        <v>23</v>
      </c>
      <c r="D1657" s="7" t="s">
        <v>118</v>
      </c>
      <c r="E1657" s="13">
        <f t="shared" ca="1" si="25"/>
        <v>45677</v>
      </c>
      <c r="F1657" s="7" t="s">
        <v>21</v>
      </c>
      <c r="G1657" s="8">
        <v>7</v>
      </c>
      <c r="H1657" s="9">
        <v>12500</v>
      </c>
      <c r="I1657" s="9">
        <v>80792</v>
      </c>
      <c r="J1657" s="17">
        <v>6463</v>
      </c>
    </row>
    <row r="1658" spans="1:10" x14ac:dyDescent="0.3">
      <c r="A1658" s="14" t="s">
        <v>15</v>
      </c>
      <c r="B1658" s="4" t="s">
        <v>77</v>
      </c>
      <c r="C1658" s="4" t="s">
        <v>12</v>
      </c>
      <c r="D1658" s="4" t="s">
        <v>171</v>
      </c>
      <c r="E1658" s="13">
        <f t="shared" ca="1" si="25"/>
        <v>45941</v>
      </c>
      <c r="F1658" s="4" t="s">
        <v>33</v>
      </c>
      <c r="G1658" s="5">
        <v>7</v>
      </c>
      <c r="H1658" s="6">
        <v>45000</v>
      </c>
      <c r="I1658" s="6">
        <v>286889</v>
      </c>
      <c r="J1658" s="16">
        <v>51640</v>
      </c>
    </row>
    <row r="1659" spans="1:10" x14ac:dyDescent="0.3">
      <c r="A1659" s="15" t="s">
        <v>10</v>
      </c>
      <c r="B1659" s="7" t="s">
        <v>29</v>
      </c>
      <c r="C1659" s="7" t="s">
        <v>26</v>
      </c>
      <c r="D1659" s="7" t="s">
        <v>124</v>
      </c>
      <c r="E1659" s="13">
        <f t="shared" ca="1" si="25"/>
        <v>45941</v>
      </c>
      <c r="F1659" s="7" t="s">
        <v>14</v>
      </c>
      <c r="G1659" s="8">
        <v>3</v>
      </c>
      <c r="H1659" s="9">
        <v>18500</v>
      </c>
      <c r="I1659" s="9">
        <v>50561</v>
      </c>
      <c r="J1659" s="17">
        <v>6067</v>
      </c>
    </row>
    <row r="1660" spans="1:10" x14ac:dyDescent="0.3">
      <c r="A1660" s="14" t="s">
        <v>18</v>
      </c>
      <c r="B1660" s="4" t="s">
        <v>38</v>
      </c>
      <c r="C1660" s="4" t="s">
        <v>23</v>
      </c>
      <c r="D1660" s="4" t="s">
        <v>208</v>
      </c>
      <c r="E1660" s="13">
        <f t="shared" ca="1" si="25"/>
        <v>45992</v>
      </c>
      <c r="F1660" s="4" t="s">
        <v>33</v>
      </c>
      <c r="G1660" s="5">
        <v>6</v>
      </c>
      <c r="H1660" s="6">
        <v>45000</v>
      </c>
      <c r="I1660" s="6">
        <v>257027</v>
      </c>
      <c r="J1660" s="16">
        <v>46265</v>
      </c>
    </row>
    <row r="1661" spans="1:10" x14ac:dyDescent="0.3">
      <c r="A1661" s="15" t="s">
        <v>15</v>
      </c>
      <c r="B1661" s="7" t="s">
        <v>22</v>
      </c>
      <c r="C1661" s="7" t="s">
        <v>23</v>
      </c>
      <c r="D1661" s="7" t="s">
        <v>235</v>
      </c>
      <c r="E1661" s="13">
        <f t="shared" ca="1" si="25"/>
        <v>45949</v>
      </c>
      <c r="F1661" s="7" t="s">
        <v>33</v>
      </c>
      <c r="G1661" s="8">
        <v>6</v>
      </c>
      <c r="H1661" s="9">
        <v>45000</v>
      </c>
      <c r="I1661" s="9">
        <v>273875</v>
      </c>
      <c r="J1661" s="17">
        <v>49298</v>
      </c>
    </row>
    <row r="1662" spans="1:10" x14ac:dyDescent="0.3">
      <c r="A1662" s="14" t="s">
        <v>41</v>
      </c>
      <c r="B1662" s="4" t="s">
        <v>22</v>
      </c>
      <c r="C1662" s="4" t="s">
        <v>23</v>
      </c>
      <c r="D1662" s="4" t="s">
        <v>232</v>
      </c>
      <c r="E1662" s="13">
        <f t="shared" ca="1" si="25"/>
        <v>45839</v>
      </c>
      <c r="F1662" s="4" t="s">
        <v>21</v>
      </c>
      <c r="G1662" s="5">
        <v>9</v>
      </c>
      <c r="H1662" s="6">
        <v>12500</v>
      </c>
      <c r="I1662" s="6">
        <v>111191</v>
      </c>
      <c r="J1662" s="16">
        <v>8895</v>
      </c>
    </row>
    <row r="1663" spans="1:10" x14ac:dyDescent="0.3">
      <c r="A1663" s="15" t="s">
        <v>41</v>
      </c>
      <c r="B1663" s="7" t="s">
        <v>56</v>
      </c>
      <c r="C1663" s="7" t="s">
        <v>23</v>
      </c>
      <c r="D1663" s="7" t="s">
        <v>218</v>
      </c>
      <c r="E1663" s="13">
        <f t="shared" ca="1" si="25"/>
        <v>45773</v>
      </c>
      <c r="F1663" s="7" t="s">
        <v>21</v>
      </c>
      <c r="G1663" s="8">
        <v>9</v>
      </c>
      <c r="H1663" s="9">
        <v>12500</v>
      </c>
      <c r="I1663" s="9">
        <v>120880</v>
      </c>
      <c r="J1663" s="17">
        <v>9670</v>
      </c>
    </row>
    <row r="1664" spans="1:10" x14ac:dyDescent="0.3">
      <c r="A1664" s="14" t="s">
        <v>18</v>
      </c>
      <c r="B1664" s="4" t="s">
        <v>56</v>
      </c>
      <c r="C1664" s="4" t="s">
        <v>23</v>
      </c>
      <c r="D1664" s="4" t="s">
        <v>171</v>
      </c>
      <c r="E1664" s="13">
        <f t="shared" ca="1" si="25"/>
        <v>45931</v>
      </c>
      <c r="F1664" s="4" t="s">
        <v>33</v>
      </c>
      <c r="G1664" s="5">
        <v>7</v>
      </c>
      <c r="H1664" s="6">
        <v>45000</v>
      </c>
      <c r="I1664" s="6">
        <v>322913</v>
      </c>
      <c r="J1664" s="16">
        <v>58124</v>
      </c>
    </row>
    <row r="1665" spans="1:10" x14ac:dyDescent="0.3">
      <c r="A1665" s="15" t="s">
        <v>41</v>
      </c>
      <c r="B1665" s="7" t="s">
        <v>29</v>
      </c>
      <c r="C1665" s="7" t="s">
        <v>26</v>
      </c>
      <c r="D1665" s="7" t="s">
        <v>228</v>
      </c>
      <c r="E1665" s="13">
        <f t="shared" ca="1" si="25"/>
        <v>45722</v>
      </c>
      <c r="F1665" s="7" t="s">
        <v>33</v>
      </c>
      <c r="G1665" s="8">
        <v>3</v>
      </c>
      <c r="H1665" s="9">
        <v>45000</v>
      </c>
      <c r="I1665" s="9">
        <v>144633</v>
      </c>
      <c r="J1665" s="17">
        <v>26034</v>
      </c>
    </row>
    <row r="1666" spans="1:10" x14ac:dyDescent="0.3">
      <c r="A1666" s="14" t="s">
        <v>10</v>
      </c>
      <c r="B1666" s="4" t="s">
        <v>29</v>
      </c>
      <c r="C1666" s="4" t="s">
        <v>26</v>
      </c>
      <c r="D1666" s="4" t="s">
        <v>256</v>
      </c>
      <c r="E1666" s="13">
        <f t="shared" ca="1" si="25"/>
        <v>45815</v>
      </c>
      <c r="F1666" s="4" t="s">
        <v>21</v>
      </c>
      <c r="G1666" s="5">
        <v>6</v>
      </c>
      <c r="H1666" s="6">
        <v>12500</v>
      </c>
      <c r="I1666" s="6">
        <v>80969</v>
      </c>
      <c r="J1666" s="16">
        <v>6478</v>
      </c>
    </row>
    <row r="1667" spans="1:10" x14ac:dyDescent="0.3">
      <c r="A1667" s="15" t="s">
        <v>18</v>
      </c>
      <c r="B1667" s="7" t="s">
        <v>77</v>
      </c>
      <c r="C1667" s="7" t="s">
        <v>12</v>
      </c>
      <c r="D1667" s="7" t="s">
        <v>260</v>
      </c>
      <c r="E1667" s="13">
        <f t="shared" ref="E1667:E1730" ca="1" si="26">DATE(2025,1,1)+RANDBETWEEN(0,364)</f>
        <v>45987</v>
      </c>
      <c r="F1667" s="7" t="s">
        <v>21</v>
      </c>
      <c r="G1667" s="8">
        <v>10</v>
      </c>
      <c r="H1667" s="9">
        <v>12500</v>
      </c>
      <c r="I1667" s="9">
        <v>114041</v>
      </c>
      <c r="J1667" s="17">
        <v>9123</v>
      </c>
    </row>
    <row r="1668" spans="1:10" x14ac:dyDescent="0.3">
      <c r="A1668" s="14" t="s">
        <v>18</v>
      </c>
      <c r="B1668" s="4" t="s">
        <v>56</v>
      </c>
      <c r="C1668" s="4" t="s">
        <v>23</v>
      </c>
      <c r="D1668" s="4" t="s">
        <v>118</v>
      </c>
      <c r="E1668" s="13">
        <f t="shared" ca="1" si="26"/>
        <v>45688</v>
      </c>
      <c r="F1668" s="4" t="s">
        <v>40</v>
      </c>
      <c r="G1668" s="5">
        <v>7</v>
      </c>
      <c r="H1668" s="6">
        <v>15000</v>
      </c>
      <c r="I1668" s="6">
        <v>100602</v>
      </c>
      <c r="J1668" s="16">
        <v>10060</v>
      </c>
    </row>
    <row r="1669" spans="1:10" x14ac:dyDescent="0.3">
      <c r="A1669" s="15" t="s">
        <v>15</v>
      </c>
      <c r="B1669" s="7" t="s">
        <v>88</v>
      </c>
      <c r="C1669" s="7" t="s">
        <v>12</v>
      </c>
      <c r="D1669" s="7" t="s">
        <v>58</v>
      </c>
      <c r="E1669" s="13">
        <f t="shared" ca="1" si="26"/>
        <v>45810</v>
      </c>
      <c r="F1669" s="7" t="s">
        <v>40</v>
      </c>
      <c r="G1669" s="8">
        <v>2</v>
      </c>
      <c r="H1669" s="9">
        <v>15000</v>
      </c>
      <c r="I1669" s="9">
        <v>31306</v>
      </c>
      <c r="J1669" s="17">
        <v>3131</v>
      </c>
    </row>
    <row r="1670" spans="1:10" x14ac:dyDescent="0.3">
      <c r="A1670" s="14" t="s">
        <v>15</v>
      </c>
      <c r="B1670" s="4" t="s">
        <v>31</v>
      </c>
      <c r="C1670" s="4" t="s">
        <v>12</v>
      </c>
      <c r="D1670" s="4" t="s">
        <v>53</v>
      </c>
      <c r="E1670" s="13">
        <f t="shared" ca="1" si="26"/>
        <v>45801</v>
      </c>
      <c r="F1670" s="4" t="s">
        <v>14</v>
      </c>
      <c r="G1670" s="5">
        <v>7</v>
      </c>
      <c r="H1670" s="6">
        <v>18500</v>
      </c>
      <c r="I1670" s="6">
        <v>123061</v>
      </c>
      <c r="J1670" s="16">
        <v>14767</v>
      </c>
    </row>
    <row r="1671" spans="1:10" x14ac:dyDescent="0.3">
      <c r="A1671" s="15" t="s">
        <v>15</v>
      </c>
      <c r="B1671" s="7" t="s">
        <v>38</v>
      </c>
      <c r="C1671" s="7" t="s">
        <v>23</v>
      </c>
      <c r="D1671" s="7" t="s">
        <v>43</v>
      </c>
      <c r="E1671" s="13">
        <f t="shared" ca="1" si="26"/>
        <v>45948</v>
      </c>
      <c r="F1671" s="7" t="s">
        <v>36</v>
      </c>
      <c r="G1671" s="8">
        <v>8</v>
      </c>
      <c r="H1671" s="9">
        <v>55000</v>
      </c>
      <c r="I1671" s="9">
        <v>456928</v>
      </c>
      <c r="J1671" s="17">
        <v>100524</v>
      </c>
    </row>
    <row r="1672" spans="1:10" x14ac:dyDescent="0.3">
      <c r="A1672" s="14" t="s">
        <v>37</v>
      </c>
      <c r="B1672" s="4" t="s">
        <v>31</v>
      </c>
      <c r="C1672" s="4" t="s">
        <v>12</v>
      </c>
      <c r="D1672" s="4" t="s">
        <v>119</v>
      </c>
      <c r="E1672" s="13">
        <f t="shared" ca="1" si="26"/>
        <v>45942</v>
      </c>
      <c r="F1672" s="4" t="s">
        <v>40</v>
      </c>
      <c r="G1672" s="5">
        <v>1</v>
      </c>
      <c r="H1672" s="6">
        <v>15000</v>
      </c>
      <c r="I1672" s="6">
        <v>15053</v>
      </c>
      <c r="J1672" s="16">
        <v>1505</v>
      </c>
    </row>
    <row r="1673" spans="1:10" x14ac:dyDescent="0.3">
      <c r="A1673" s="15" t="s">
        <v>37</v>
      </c>
      <c r="B1673" s="7" t="s">
        <v>88</v>
      </c>
      <c r="C1673" s="7" t="s">
        <v>12</v>
      </c>
      <c r="D1673" s="7" t="s">
        <v>243</v>
      </c>
      <c r="E1673" s="13">
        <f t="shared" ca="1" si="26"/>
        <v>45962</v>
      </c>
      <c r="F1673" s="7" t="s">
        <v>36</v>
      </c>
      <c r="G1673" s="8">
        <v>3</v>
      </c>
      <c r="H1673" s="9">
        <v>55000</v>
      </c>
      <c r="I1673" s="9">
        <v>152832</v>
      </c>
      <c r="J1673" s="17">
        <v>33623</v>
      </c>
    </row>
    <row r="1674" spans="1:10" x14ac:dyDescent="0.3">
      <c r="A1674" s="14" t="s">
        <v>15</v>
      </c>
      <c r="B1674" s="4" t="s">
        <v>25</v>
      </c>
      <c r="C1674" s="4" t="s">
        <v>26</v>
      </c>
      <c r="D1674" s="4" t="s">
        <v>183</v>
      </c>
      <c r="E1674" s="13">
        <f t="shared" ca="1" si="26"/>
        <v>45962</v>
      </c>
      <c r="F1674" s="4" t="s">
        <v>40</v>
      </c>
      <c r="G1674" s="5">
        <v>10</v>
      </c>
      <c r="H1674" s="6">
        <v>15000</v>
      </c>
      <c r="I1674" s="6">
        <v>145443</v>
      </c>
      <c r="J1674" s="16">
        <v>14544</v>
      </c>
    </row>
    <row r="1675" spans="1:10" x14ac:dyDescent="0.3">
      <c r="A1675" s="15" t="s">
        <v>37</v>
      </c>
      <c r="B1675" s="7" t="s">
        <v>16</v>
      </c>
      <c r="C1675" s="7" t="s">
        <v>12</v>
      </c>
      <c r="D1675" s="7" t="s">
        <v>101</v>
      </c>
      <c r="E1675" s="13">
        <f t="shared" ca="1" si="26"/>
        <v>45661</v>
      </c>
      <c r="F1675" s="7" t="s">
        <v>21</v>
      </c>
      <c r="G1675" s="8">
        <v>4</v>
      </c>
      <c r="H1675" s="9">
        <v>12500</v>
      </c>
      <c r="I1675" s="9">
        <v>45340</v>
      </c>
      <c r="J1675" s="17">
        <v>3627</v>
      </c>
    </row>
    <row r="1676" spans="1:10" x14ac:dyDescent="0.3">
      <c r="A1676" s="14" t="s">
        <v>10</v>
      </c>
      <c r="B1676" s="4" t="s">
        <v>84</v>
      </c>
      <c r="C1676" s="4" t="s">
        <v>12</v>
      </c>
      <c r="D1676" s="4" t="s">
        <v>85</v>
      </c>
      <c r="E1676" s="13">
        <f t="shared" ca="1" si="26"/>
        <v>45725</v>
      </c>
      <c r="F1676" s="4" t="s">
        <v>36</v>
      </c>
      <c r="G1676" s="5">
        <v>9</v>
      </c>
      <c r="H1676" s="6">
        <v>55000</v>
      </c>
      <c r="I1676" s="6">
        <v>497408</v>
      </c>
      <c r="J1676" s="16">
        <v>109430</v>
      </c>
    </row>
    <row r="1677" spans="1:10" x14ac:dyDescent="0.3">
      <c r="A1677" s="15" t="s">
        <v>10</v>
      </c>
      <c r="B1677" s="7" t="s">
        <v>31</v>
      </c>
      <c r="C1677" s="7" t="s">
        <v>12</v>
      </c>
      <c r="D1677" s="7" t="s">
        <v>115</v>
      </c>
      <c r="E1677" s="13">
        <f t="shared" ca="1" si="26"/>
        <v>45915</v>
      </c>
      <c r="F1677" s="7" t="s">
        <v>14</v>
      </c>
      <c r="G1677" s="8">
        <v>7</v>
      </c>
      <c r="H1677" s="9">
        <v>18500</v>
      </c>
      <c r="I1677" s="9">
        <v>117509</v>
      </c>
      <c r="J1677" s="17">
        <v>14101</v>
      </c>
    </row>
    <row r="1678" spans="1:10" x14ac:dyDescent="0.3">
      <c r="A1678" s="14" t="s">
        <v>18</v>
      </c>
      <c r="B1678" s="4" t="s">
        <v>81</v>
      </c>
      <c r="C1678" s="4" t="s">
        <v>26</v>
      </c>
      <c r="D1678" s="4" t="s">
        <v>201</v>
      </c>
      <c r="E1678" s="13">
        <f t="shared" ca="1" si="26"/>
        <v>45736</v>
      </c>
      <c r="F1678" s="4" t="s">
        <v>21</v>
      </c>
      <c r="G1678" s="5">
        <v>5</v>
      </c>
      <c r="H1678" s="6">
        <v>12500</v>
      </c>
      <c r="I1678" s="6">
        <v>60092</v>
      </c>
      <c r="J1678" s="16">
        <v>4807</v>
      </c>
    </row>
    <row r="1679" spans="1:10" x14ac:dyDescent="0.3">
      <c r="A1679" s="15" t="s">
        <v>37</v>
      </c>
      <c r="B1679" s="7" t="s">
        <v>88</v>
      </c>
      <c r="C1679" s="7" t="s">
        <v>12</v>
      </c>
      <c r="D1679" s="7" t="s">
        <v>186</v>
      </c>
      <c r="E1679" s="13">
        <f t="shared" ca="1" si="26"/>
        <v>45742</v>
      </c>
      <c r="F1679" s="7" t="s">
        <v>36</v>
      </c>
      <c r="G1679" s="8">
        <v>3</v>
      </c>
      <c r="H1679" s="9">
        <v>55000</v>
      </c>
      <c r="I1679" s="9">
        <v>176715</v>
      </c>
      <c r="J1679" s="17">
        <v>38877</v>
      </c>
    </row>
    <row r="1680" spans="1:10" x14ac:dyDescent="0.3">
      <c r="A1680" s="14" t="s">
        <v>18</v>
      </c>
      <c r="B1680" s="4" t="s">
        <v>31</v>
      </c>
      <c r="C1680" s="4" t="s">
        <v>12</v>
      </c>
      <c r="D1680" s="4" t="s">
        <v>44</v>
      </c>
      <c r="E1680" s="13">
        <f t="shared" ca="1" si="26"/>
        <v>45830</v>
      </c>
      <c r="F1680" s="4" t="s">
        <v>33</v>
      </c>
      <c r="G1680" s="5">
        <v>8</v>
      </c>
      <c r="H1680" s="6">
        <v>45000</v>
      </c>
      <c r="I1680" s="6">
        <v>363588</v>
      </c>
      <c r="J1680" s="16">
        <v>65446</v>
      </c>
    </row>
    <row r="1681" spans="1:10" x14ac:dyDescent="0.3">
      <c r="A1681" s="15" t="s">
        <v>10</v>
      </c>
      <c r="B1681" s="7" t="s">
        <v>81</v>
      </c>
      <c r="C1681" s="7" t="s">
        <v>26</v>
      </c>
      <c r="D1681" s="7" t="s">
        <v>20</v>
      </c>
      <c r="E1681" s="13">
        <f t="shared" ca="1" si="26"/>
        <v>45892</v>
      </c>
      <c r="F1681" s="7" t="s">
        <v>14</v>
      </c>
      <c r="G1681" s="8">
        <v>7</v>
      </c>
      <c r="H1681" s="9">
        <v>18500</v>
      </c>
      <c r="I1681" s="9">
        <v>138066</v>
      </c>
      <c r="J1681" s="17">
        <v>16568</v>
      </c>
    </row>
    <row r="1682" spans="1:10" x14ac:dyDescent="0.3">
      <c r="A1682" s="14" t="s">
        <v>18</v>
      </c>
      <c r="B1682" s="4" t="s">
        <v>19</v>
      </c>
      <c r="C1682" s="4" t="s">
        <v>12</v>
      </c>
      <c r="D1682" s="4" t="s">
        <v>100</v>
      </c>
      <c r="E1682" s="13">
        <f t="shared" ca="1" si="26"/>
        <v>45930</v>
      </c>
      <c r="F1682" s="4" t="s">
        <v>21</v>
      </c>
      <c r="G1682" s="5">
        <v>7</v>
      </c>
      <c r="H1682" s="6">
        <v>12500</v>
      </c>
      <c r="I1682" s="6">
        <v>84897</v>
      </c>
      <c r="J1682" s="16">
        <v>6792</v>
      </c>
    </row>
    <row r="1683" spans="1:10" x14ac:dyDescent="0.3">
      <c r="A1683" s="15" t="s">
        <v>10</v>
      </c>
      <c r="B1683" s="7" t="s">
        <v>38</v>
      </c>
      <c r="C1683" s="7" t="s">
        <v>23</v>
      </c>
      <c r="D1683" s="7" t="s">
        <v>232</v>
      </c>
      <c r="E1683" s="13">
        <f t="shared" ca="1" si="26"/>
        <v>45673</v>
      </c>
      <c r="F1683" s="7" t="s">
        <v>33</v>
      </c>
      <c r="G1683" s="8">
        <v>8</v>
      </c>
      <c r="H1683" s="9">
        <v>45000</v>
      </c>
      <c r="I1683" s="9">
        <v>331528</v>
      </c>
      <c r="J1683" s="17">
        <v>59675</v>
      </c>
    </row>
    <row r="1684" spans="1:10" x14ac:dyDescent="0.3">
      <c r="A1684" s="14" t="s">
        <v>15</v>
      </c>
      <c r="B1684" s="4" t="s">
        <v>84</v>
      </c>
      <c r="C1684" s="4" t="s">
        <v>12</v>
      </c>
      <c r="D1684" s="4" t="s">
        <v>43</v>
      </c>
      <c r="E1684" s="13">
        <f t="shared" ca="1" si="26"/>
        <v>45686</v>
      </c>
      <c r="F1684" s="4" t="s">
        <v>14</v>
      </c>
      <c r="G1684" s="5">
        <v>5</v>
      </c>
      <c r="H1684" s="6">
        <v>18500</v>
      </c>
      <c r="I1684" s="6">
        <v>97102</v>
      </c>
      <c r="J1684" s="16">
        <v>11652</v>
      </c>
    </row>
    <row r="1685" spans="1:10" x14ac:dyDescent="0.3">
      <c r="A1685" s="15" t="s">
        <v>41</v>
      </c>
      <c r="B1685" s="7" t="s">
        <v>46</v>
      </c>
      <c r="C1685" s="7" t="s">
        <v>26</v>
      </c>
      <c r="D1685" s="7" t="s">
        <v>228</v>
      </c>
      <c r="E1685" s="13">
        <f t="shared" ca="1" si="26"/>
        <v>46003</v>
      </c>
      <c r="F1685" s="7" t="s">
        <v>21</v>
      </c>
      <c r="G1685" s="8">
        <v>3</v>
      </c>
      <c r="H1685" s="9">
        <v>12500</v>
      </c>
      <c r="I1685" s="9">
        <v>34520</v>
      </c>
      <c r="J1685" s="17">
        <v>2762</v>
      </c>
    </row>
    <row r="1686" spans="1:10" x14ac:dyDescent="0.3">
      <c r="A1686" s="14" t="s">
        <v>18</v>
      </c>
      <c r="B1686" s="4" t="s">
        <v>77</v>
      </c>
      <c r="C1686" s="4" t="s">
        <v>12</v>
      </c>
      <c r="D1686" s="4" t="s">
        <v>73</v>
      </c>
      <c r="E1686" s="13">
        <f t="shared" ca="1" si="26"/>
        <v>45740</v>
      </c>
      <c r="F1686" s="4" t="s">
        <v>36</v>
      </c>
      <c r="G1686" s="5">
        <v>9</v>
      </c>
      <c r="H1686" s="6">
        <v>55000</v>
      </c>
      <c r="I1686" s="6">
        <v>478248</v>
      </c>
      <c r="J1686" s="16">
        <v>105215</v>
      </c>
    </row>
    <row r="1687" spans="1:10" x14ac:dyDescent="0.3">
      <c r="A1687" s="15" t="s">
        <v>10</v>
      </c>
      <c r="B1687" s="7" t="s">
        <v>19</v>
      </c>
      <c r="C1687" s="7" t="s">
        <v>12</v>
      </c>
      <c r="D1687" s="7" t="s">
        <v>191</v>
      </c>
      <c r="E1687" s="13">
        <f t="shared" ca="1" si="26"/>
        <v>45964</v>
      </c>
      <c r="F1687" s="7" t="s">
        <v>14</v>
      </c>
      <c r="G1687" s="8">
        <v>5</v>
      </c>
      <c r="H1687" s="9">
        <v>18500</v>
      </c>
      <c r="I1687" s="9">
        <v>84028</v>
      </c>
      <c r="J1687" s="17">
        <v>10083</v>
      </c>
    </row>
    <row r="1688" spans="1:10" x14ac:dyDescent="0.3">
      <c r="A1688" s="14" t="s">
        <v>18</v>
      </c>
      <c r="B1688" s="4" t="s">
        <v>88</v>
      </c>
      <c r="C1688" s="4" t="s">
        <v>12</v>
      </c>
      <c r="D1688" s="4" t="s">
        <v>165</v>
      </c>
      <c r="E1688" s="13">
        <f t="shared" ca="1" si="26"/>
        <v>45675</v>
      </c>
      <c r="F1688" s="4" t="s">
        <v>36</v>
      </c>
      <c r="G1688" s="5">
        <v>10</v>
      </c>
      <c r="H1688" s="6">
        <v>55000</v>
      </c>
      <c r="I1688" s="6">
        <v>578359</v>
      </c>
      <c r="J1688" s="16">
        <v>127239</v>
      </c>
    </row>
    <row r="1689" spans="1:10" x14ac:dyDescent="0.3">
      <c r="A1689" s="15" t="s">
        <v>18</v>
      </c>
      <c r="B1689" s="7" t="s">
        <v>16</v>
      </c>
      <c r="C1689" s="7" t="s">
        <v>12</v>
      </c>
      <c r="D1689" s="7" t="s">
        <v>143</v>
      </c>
      <c r="E1689" s="13">
        <f t="shared" ca="1" si="26"/>
        <v>45716</v>
      </c>
      <c r="F1689" s="7" t="s">
        <v>40</v>
      </c>
      <c r="G1689" s="8">
        <v>1</v>
      </c>
      <c r="H1689" s="9">
        <v>15000</v>
      </c>
      <c r="I1689" s="9">
        <v>15473</v>
      </c>
      <c r="J1689" s="17">
        <v>1547</v>
      </c>
    </row>
    <row r="1690" spans="1:10" x14ac:dyDescent="0.3">
      <c r="A1690" s="14" t="s">
        <v>41</v>
      </c>
      <c r="B1690" s="4" t="s">
        <v>16</v>
      </c>
      <c r="C1690" s="4" t="s">
        <v>12</v>
      </c>
      <c r="D1690" s="4" t="s">
        <v>185</v>
      </c>
      <c r="E1690" s="13">
        <f t="shared" ca="1" si="26"/>
        <v>45679</v>
      </c>
      <c r="F1690" s="4" t="s">
        <v>33</v>
      </c>
      <c r="G1690" s="5">
        <v>4</v>
      </c>
      <c r="H1690" s="6">
        <v>45000</v>
      </c>
      <c r="I1690" s="6">
        <v>192172</v>
      </c>
      <c r="J1690" s="16">
        <v>34591</v>
      </c>
    </row>
    <row r="1691" spans="1:10" x14ac:dyDescent="0.3">
      <c r="A1691" s="15" t="s">
        <v>41</v>
      </c>
      <c r="B1691" s="7" t="s">
        <v>77</v>
      </c>
      <c r="C1691" s="7" t="s">
        <v>12</v>
      </c>
      <c r="D1691" s="7" t="s">
        <v>42</v>
      </c>
      <c r="E1691" s="13">
        <f t="shared" ca="1" si="26"/>
        <v>45805</v>
      </c>
      <c r="F1691" s="7" t="s">
        <v>33</v>
      </c>
      <c r="G1691" s="8">
        <v>2</v>
      </c>
      <c r="H1691" s="9">
        <v>45000</v>
      </c>
      <c r="I1691" s="9">
        <v>95637</v>
      </c>
      <c r="J1691" s="17">
        <v>17215</v>
      </c>
    </row>
    <row r="1692" spans="1:10" x14ac:dyDescent="0.3">
      <c r="A1692" s="14" t="s">
        <v>15</v>
      </c>
      <c r="B1692" s="4" t="s">
        <v>51</v>
      </c>
      <c r="C1692" s="4" t="s">
        <v>12</v>
      </c>
      <c r="D1692" s="4" t="s">
        <v>165</v>
      </c>
      <c r="E1692" s="13">
        <f t="shared" ca="1" si="26"/>
        <v>45665</v>
      </c>
      <c r="F1692" s="4" t="s">
        <v>14</v>
      </c>
      <c r="G1692" s="5">
        <v>2</v>
      </c>
      <c r="H1692" s="6">
        <v>18500</v>
      </c>
      <c r="I1692" s="6">
        <v>36137</v>
      </c>
      <c r="J1692" s="16">
        <v>4336</v>
      </c>
    </row>
    <row r="1693" spans="1:10" x14ac:dyDescent="0.3">
      <c r="A1693" s="15" t="s">
        <v>18</v>
      </c>
      <c r="B1693" s="7" t="s">
        <v>29</v>
      </c>
      <c r="C1693" s="7" t="s">
        <v>26</v>
      </c>
      <c r="D1693" s="7" t="s">
        <v>244</v>
      </c>
      <c r="E1693" s="13">
        <f t="shared" ca="1" si="26"/>
        <v>45747</v>
      </c>
      <c r="F1693" s="7" t="s">
        <v>33</v>
      </c>
      <c r="G1693" s="8">
        <v>9</v>
      </c>
      <c r="H1693" s="9">
        <v>45000</v>
      </c>
      <c r="I1693" s="9">
        <v>397927</v>
      </c>
      <c r="J1693" s="17">
        <v>71627</v>
      </c>
    </row>
    <row r="1694" spans="1:10" x14ac:dyDescent="0.3">
      <c r="A1694" s="14" t="s">
        <v>37</v>
      </c>
      <c r="B1694" s="4" t="s">
        <v>84</v>
      </c>
      <c r="C1694" s="4" t="s">
        <v>12</v>
      </c>
      <c r="D1694" s="4" t="s">
        <v>248</v>
      </c>
      <c r="E1694" s="13">
        <f t="shared" ca="1" si="26"/>
        <v>46020</v>
      </c>
      <c r="F1694" s="4" t="s">
        <v>36</v>
      </c>
      <c r="G1694" s="5">
        <v>7</v>
      </c>
      <c r="H1694" s="6">
        <v>55000</v>
      </c>
      <c r="I1694" s="6">
        <v>347086</v>
      </c>
      <c r="J1694" s="16">
        <v>76359</v>
      </c>
    </row>
    <row r="1695" spans="1:10" x14ac:dyDescent="0.3">
      <c r="A1695" s="15" t="s">
        <v>37</v>
      </c>
      <c r="B1695" s="7" t="s">
        <v>56</v>
      </c>
      <c r="C1695" s="7" t="s">
        <v>23</v>
      </c>
      <c r="D1695" s="7" t="s">
        <v>237</v>
      </c>
      <c r="E1695" s="13">
        <f t="shared" ca="1" si="26"/>
        <v>45859</v>
      </c>
      <c r="F1695" s="7" t="s">
        <v>36</v>
      </c>
      <c r="G1695" s="8">
        <v>3</v>
      </c>
      <c r="H1695" s="9">
        <v>55000</v>
      </c>
      <c r="I1695" s="9">
        <v>164472</v>
      </c>
      <c r="J1695" s="17">
        <v>36184</v>
      </c>
    </row>
    <row r="1696" spans="1:10" x14ac:dyDescent="0.3">
      <c r="A1696" s="14" t="s">
        <v>18</v>
      </c>
      <c r="B1696" s="4" t="s">
        <v>31</v>
      </c>
      <c r="C1696" s="4" t="s">
        <v>12</v>
      </c>
      <c r="D1696" s="4" t="s">
        <v>146</v>
      </c>
      <c r="E1696" s="13">
        <f t="shared" ca="1" si="26"/>
        <v>45972</v>
      </c>
      <c r="F1696" s="4" t="s">
        <v>40</v>
      </c>
      <c r="G1696" s="5">
        <v>9</v>
      </c>
      <c r="H1696" s="6">
        <v>15000</v>
      </c>
      <c r="I1696" s="6">
        <v>144290</v>
      </c>
      <c r="J1696" s="16">
        <v>14429</v>
      </c>
    </row>
    <row r="1697" spans="1:10" x14ac:dyDescent="0.3">
      <c r="A1697" s="15" t="s">
        <v>41</v>
      </c>
      <c r="B1697" s="7" t="s">
        <v>25</v>
      </c>
      <c r="C1697" s="7" t="s">
        <v>26</v>
      </c>
      <c r="D1697" s="7" t="s">
        <v>94</v>
      </c>
      <c r="E1697" s="13">
        <f t="shared" ca="1" si="26"/>
        <v>45791</v>
      </c>
      <c r="F1697" s="7" t="s">
        <v>40</v>
      </c>
      <c r="G1697" s="8">
        <v>8</v>
      </c>
      <c r="H1697" s="9">
        <v>15000</v>
      </c>
      <c r="I1697" s="9">
        <v>108975</v>
      </c>
      <c r="J1697" s="17">
        <v>10898</v>
      </c>
    </row>
    <row r="1698" spans="1:10" x14ac:dyDescent="0.3">
      <c r="A1698" s="14" t="s">
        <v>18</v>
      </c>
      <c r="B1698" s="4" t="s">
        <v>25</v>
      </c>
      <c r="C1698" s="4" t="s">
        <v>26</v>
      </c>
      <c r="D1698" s="4" t="s">
        <v>20</v>
      </c>
      <c r="E1698" s="13">
        <f t="shared" ca="1" si="26"/>
        <v>45773</v>
      </c>
      <c r="F1698" s="4" t="s">
        <v>14</v>
      </c>
      <c r="G1698" s="5">
        <v>10</v>
      </c>
      <c r="H1698" s="6">
        <v>18500</v>
      </c>
      <c r="I1698" s="6">
        <v>194318</v>
      </c>
      <c r="J1698" s="16">
        <v>23318</v>
      </c>
    </row>
    <row r="1699" spans="1:10" x14ac:dyDescent="0.3">
      <c r="A1699" s="15" t="s">
        <v>18</v>
      </c>
      <c r="B1699" s="7" t="s">
        <v>56</v>
      </c>
      <c r="C1699" s="7" t="s">
        <v>23</v>
      </c>
      <c r="D1699" s="7" t="s">
        <v>120</v>
      </c>
      <c r="E1699" s="13">
        <f t="shared" ca="1" si="26"/>
        <v>45795</v>
      </c>
      <c r="F1699" s="7" t="s">
        <v>21</v>
      </c>
      <c r="G1699" s="8">
        <v>7</v>
      </c>
      <c r="H1699" s="9">
        <v>12500</v>
      </c>
      <c r="I1699" s="9">
        <v>85895</v>
      </c>
      <c r="J1699" s="17">
        <v>6872</v>
      </c>
    </row>
    <row r="1700" spans="1:10" x14ac:dyDescent="0.3">
      <c r="A1700" s="14" t="s">
        <v>41</v>
      </c>
      <c r="B1700" s="4" t="s">
        <v>56</v>
      </c>
      <c r="C1700" s="4" t="s">
        <v>23</v>
      </c>
      <c r="D1700" s="4" t="s">
        <v>95</v>
      </c>
      <c r="E1700" s="13">
        <f t="shared" ca="1" si="26"/>
        <v>45753</v>
      </c>
      <c r="F1700" s="4" t="s">
        <v>14</v>
      </c>
      <c r="G1700" s="5">
        <v>3</v>
      </c>
      <c r="H1700" s="6">
        <v>18500</v>
      </c>
      <c r="I1700" s="6">
        <v>50784</v>
      </c>
      <c r="J1700" s="16">
        <v>6094</v>
      </c>
    </row>
    <row r="1701" spans="1:10" x14ac:dyDescent="0.3">
      <c r="A1701" s="15" t="s">
        <v>18</v>
      </c>
      <c r="B1701" s="7" t="s">
        <v>16</v>
      </c>
      <c r="C1701" s="7" t="s">
        <v>12</v>
      </c>
      <c r="D1701" s="7" t="s">
        <v>63</v>
      </c>
      <c r="E1701" s="13">
        <f t="shared" ca="1" si="26"/>
        <v>45987</v>
      </c>
      <c r="F1701" s="7" t="s">
        <v>14</v>
      </c>
      <c r="G1701" s="8">
        <v>4</v>
      </c>
      <c r="H1701" s="9">
        <v>18500</v>
      </c>
      <c r="I1701" s="9">
        <v>75658</v>
      </c>
      <c r="J1701" s="17">
        <v>9079</v>
      </c>
    </row>
    <row r="1702" spans="1:10" x14ac:dyDescent="0.3">
      <c r="A1702" s="14" t="s">
        <v>37</v>
      </c>
      <c r="B1702" s="4" t="s">
        <v>38</v>
      </c>
      <c r="C1702" s="4" t="s">
        <v>23</v>
      </c>
      <c r="D1702" s="4" t="s">
        <v>230</v>
      </c>
      <c r="E1702" s="13">
        <f t="shared" ca="1" si="26"/>
        <v>45863</v>
      </c>
      <c r="F1702" s="4" t="s">
        <v>21</v>
      </c>
      <c r="G1702" s="5">
        <v>7</v>
      </c>
      <c r="H1702" s="6">
        <v>12500</v>
      </c>
      <c r="I1702" s="6">
        <v>94290</v>
      </c>
      <c r="J1702" s="16">
        <v>7543</v>
      </c>
    </row>
    <row r="1703" spans="1:10" x14ac:dyDescent="0.3">
      <c r="A1703" s="15" t="s">
        <v>15</v>
      </c>
      <c r="B1703" s="7" t="s">
        <v>38</v>
      </c>
      <c r="C1703" s="7" t="s">
        <v>23</v>
      </c>
      <c r="D1703" s="7" t="s">
        <v>80</v>
      </c>
      <c r="E1703" s="13">
        <f t="shared" ca="1" si="26"/>
        <v>45839</v>
      </c>
      <c r="F1703" s="7" t="s">
        <v>40</v>
      </c>
      <c r="G1703" s="8">
        <v>10</v>
      </c>
      <c r="H1703" s="9">
        <v>15000</v>
      </c>
      <c r="I1703" s="9">
        <v>141720</v>
      </c>
      <c r="J1703" s="17">
        <v>14172</v>
      </c>
    </row>
    <row r="1704" spans="1:10" x14ac:dyDescent="0.3">
      <c r="A1704" s="14" t="s">
        <v>10</v>
      </c>
      <c r="B1704" s="4" t="s">
        <v>19</v>
      </c>
      <c r="C1704" s="4" t="s">
        <v>12</v>
      </c>
      <c r="D1704" s="4" t="s">
        <v>223</v>
      </c>
      <c r="E1704" s="13">
        <f t="shared" ca="1" si="26"/>
        <v>45933</v>
      </c>
      <c r="F1704" s="4" t="s">
        <v>33</v>
      </c>
      <c r="G1704" s="5">
        <v>4</v>
      </c>
      <c r="H1704" s="6">
        <v>45000</v>
      </c>
      <c r="I1704" s="6">
        <v>169903</v>
      </c>
      <c r="J1704" s="16">
        <v>30583</v>
      </c>
    </row>
    <row r="1705" spans="1:10" x14ac:dyDescent="0.3">
      <c r="A1705" s="15" t="s">
        <v>15</v>
      </c>
      <c r="B1705" s="7" t="s">
        <v>77</v>
      </c>
      <c r="C1705" s="7" t="s">
        <v>12</v>
      </c>
      <c r="D1705" s="7" t="s">
        <v>76</v>
      </c>
      <c r="E1705" s="13">
        <f t="shared" ca="1" si="26"/>
        <v>45857</v>
      </c>
      <c r="F1705" s="7" t="s">
        <v>36</v>
      </c>
      <c r="G1705" s="8">
        <v>9</v>
      </c>
      <c r="H1705" s="9">
        <v>55000</v>
      </c>
      <c r="I1705" s="9">
        <v>495655</v>
      </c>
      <c r="J1705" s="17">
        <v>109044</v>
      </c>
    </row>
    <row r="1706" spans="1:10" x14ac:dyDescent="0.3">
      <c r="A1706" s="14" t="s">
        <v>15</v>
      </c>
      <c r="B1706" s="4" t="s">
        <v>22</v>
      </c>
      <c r="C1706" s="4" t="s">
        <v>23</v>
      </c>
      <c r="D1706" s="4" t="s">
        <v>261</v>
      </c>
      <c r="E1706" s="13">
        <f t="shared" ca="1" si="26"/>
        <v>46000</v>
      </c>
      <c r="F1706" s="4" t="s">
        <v>33</v>
      </c>
      <c r="G1706" s="5">
        <v>8</v>
      </c>
      <c r="H1706" s="6">
        <v>45000</v>
      </c>
      <c r="I1706" s="6">
        <v>386872</v>
      </c>
      <c r="J1706" s="16">
        <v>69637</v>
      </c>
    </row>
    <row r="1707" spans="1:10" x14ac:dyDescent="0.3">
      <c r="A1707" s="15" t="s">
        <v>15</v>
      </c>
      <c r="B1707" s="7" t="s">
        <v>51</v>
      </c>
      <c r="C1707" s="7" t="s">
        <v>12</v>
      </c>
      <c r="D1707" s="7" t="s">
        <v>200</v>
      </c>
      <c r="E1707" s="13">
        <f t="shared" ca="1" si="26"/>
        <v>45795</v>
      </c>
      <c r="F1707" s="7" t="s">
        <v>33</v>
      </c>
      <c r="G1707" s="8">
        <v>7</v>
      </c>
      <c r="H1707" s="9">
        <v>45000</v>
      </c>
      <c r="I1707" s="9">
        <v>343076</v>
      </c>
      <c r="J1707" s="17">
        <v>61754</v>
      </c>
    </row>
    <row r="1708" spans="1:10" x14ac:dyDescent="0.3">
      <c r="A1708" s="14" t="s">
        <v>15</v>
      </c>
      <c r="B1708" s="4" t="s">
        <v>88</v>
      </c>
      <c r="C1708" s="4" t="s">
        <v>12</v>
      </c>
      <c r="D1708" s="4" t="s">
        <v>63</v>
      </c>
      <c r="E1708" s="13">
        <f t="shared" ca="1" si="26"/>
        <v>45733</v>
      </c>
      <c r="F1708" s="4" t="s">
        <v>21</v>
      </c>
      <c r="G1708" s="5">
        <v>3</v>
      </c>
      <c r="H1708" s="6">
        <v>12500</v>
      </c>
      <c r="I1708" s="6">
        <v>38776</v>
      </c>
      <c r="J1708" s="16">
        <v>3102</v>
      </c>
    </row>
    <row r="1709" spans="1:10" x14ac:dyDescent="0.3">
      <c r="A1709" s="15" t="s">
        <v>41</v>
      </c>
      <c r="B1709" s="7" t="s">
        <v>88</v>
      </c>
      <c r="C1709" s="7" t="s">
        <v>12</v>
      </c>
      <c r="D1709" s="7" t="s">
        <v>153</v>
      </c>
      <c r="E1709" s="13">
        <f t="shared" ca="1" si="26"/>
        <v>45672</v>
      </c>
      <c r="F1709" s="7" t="s">
        <v>33</v>
      </c>
      <c r="G1709" s="8">
        <v>7</v>
      </c>
      <c r="H1709" s="9">
        <v>45000</v>
      </c>
      <c r="I1709" s="9">
        <v>338447</v>
      </c>
      <c r="J1709" s="17">
        <v>60920</v>
      </c>
    </row>
    <row r="1710" spans="1:10" x14ac:dyDescent="0.3">
      <c r="A1710" s="14" t="s">
        <v>37</v>
      </c>
      <c r="B1710" s="4" t="s">
        <v>38</v>
      </c>
      <c r="C1710" s="4" t="s">
        <v>23</v>
      </c>
      <c r="D1710" s="4" t="s">
        <v>258</v>
      </c>
      <c r="E1710" s="13">
        <f t="shared" ca="1" si="26"/>
        <v>45914</v>
      </c>
      <c r="F1710" s="4" t="s">
        <v>33</v>
      </c>
      <c r="G1710" s="5">
        <v>6</v>
      </c>
      <c r="H1710" s="6">
        <v>45000</v>
      </c>
      <c r="I1710" s="6">
        <v>264993</v>
      </c>
      <c r="J1710" s="16">
        <v>47699</v>
      </c>
    </row>
    <row r="1711" spans="1:10" x14ac:dyDescent="0.3">
      <c r="A1711" s="15" t="s">
        <v>10</v>
      </c>
      <c r="B1711" s="7" t="s">
        <v>16</v>
      </c>
      <c r="C1711" s="7" t="s">
        <v>12</v>
      </c>
      <c r="D1711" s="7" t="s">
        <v>74</v>
      </c>
      <c r="E1711" s="13">
        <f t="shared" ca="1" si="26"/>
        <v>45765</v>
      </c>
      <c r="F1711" s="7" t="s">
        <v>36</v>
      </c>
      <c r="G1711" s="8">
        <v>2</v>
      </c>
      <c r="H1711" s="9">
        <v>55000</v>
      </c>
      <c r="I1711" s="9">
        <v>102670</v>
      </c>
      <c r="J1711" s="17">
        <v>22587</v>
      </c>
    </row>
    <row r="1712" spans="1:10" x14ac:dyDescent="0.3">
      <c r="A1712" s="14" t="s">
        <v>18</v>
      </c>
      <c r="B1712" s="4" t="s">
        <v>11</v>
      </c>
      <c r="C1712" s="4" t="s">
        <v>12</v>
      </c>
      <c r="D1712" s="4" t="s">
        <v>150</v>
      </c>
      <c r="E1712" s="13">
        <f t="shared" ca="1" si="26"/>
        <v>45951</v>
      </c>
      <c r="F1712" s="4" t="s">
        <v>33</v>
      </c>
      <c r="G1712" s="5">
        <v>10</v>
      </c>
      <c r="H1712" s="6">
        <v>45000</v>
      </c>
      <c r="I1712" s="6">
        <v>433813</v>
      </c>
      <c r="J1712" s="16">
        <v>78086</v>
      </c>
    </row>
    <row r="1713" spans="1:10" x14ac:dyDescent="0.3">
      <c r="A1713" s="15" t="s">
        <v>10</v>
      </c>
      <c r="B1713" s="7" t="s">
        <v>81</v>
      </c>
      <c r="C1713" s="7" t="s">
        <v>26</v>
      </c>
      <c r="D1713" s="7" t="s">
        <v>194</v>
      </c>
      <c r="E1713" s="13">
        <f t="shared" ca="1" si="26"/>
        <v>45999</v>
      </c>
      <c r="F1713" s="7" t="s">
        <v>36</v>
      </c>
      <c r="G1713" s="8">
        <v>2</v>
      </c>
      <c r="H1713" s="9">
        <v>55000</v>
      </c>
      <c r="I1713" s="9">
        <v>113092</v>
      </c>
      <c r="J1713" s="17">
        <v>24880</v>
      </c>
    </row>
    <row r="1714" spans="1:10" x14ac:dyDescent="0.3">
      <c r="A1714" s="14" t="s">
        <v>10</v>
      </c>
      <c r="B1714" s="4" t="s">
        <v>25</v>
      </c>
      <c r="C1714" s="4" t="s">
        <v>26</v>
      </c>
      <c r="D1714" s="4" t="s">
        <v>227</v>
      </c>
      <c r="E1714" s="13">
        <f t="shared" ca="1" si="26"/>
        <v>45909</v>
      </c>
      <c r="F1714" s="4" t="s">
        <v>33</v>
      </c>
      <c r="G1714" s="5">
        <v>6</v>
      </c>
      <c r="H1714" s="6">
        <v>45000</v>
      </c>
      <c r="I1714" s="6">
        <v>289944</v>
      </c>
      <c r="J1714" s="16">
        <v>52190</v>
      </c>
    </row>
    <row r="1715" spans="1:10" x14ac:dyDescent="0.3">
      <c r="A1715" s="15" t="s">
        <v>10</v>
      </c>
      <c r="B1715" s="7" t="s">
        <v>38</v>
      </c>
      <c r="C1715" s="7" t="s">
        <v>23</v>
      </c>
      <c r="D1715" s="7" t="s">
        <v>119</v>
      </c>
      <c r="E1715" s="13">
        <f t="shared" ca="1" si="26"/>
        <v>45870</v>
      </c>
      <c r="F1715" s="7" t="s">
        <v>14</v>
      </c>
      <c r="G1715" s="8">
        <v>9</v>
      </c>
      <c r="H1715" s="9">
        <v>18500</v>
      </c>
      <c r="I1715" s="9">
        <v>154650</v>
      </c>
      <c r="J1715" s="17">
        <v>18558</v>
      </c>
    </row>
    <row r="1716" spans="1:10" x14ac:dyDescent="0.3">
      <c r="A1716" s="14" t="s">
        <v>18</v>
      </c>
      <c r="B1716" s="4" t="s">
        <v>25</v>
      </c>
      <c r="C1716" s="4" t="s">
        <v>26</v>
      </c>
      <c r="D1716" s="4" t="s">
        <v>130</v>
      </c>
      <c r="E1716" s="13">
        <f t="shared" ca="1" si="26"/>
        <v>45662</v>
      </c>
      <c r="F1716" s="4" t="s">
        <v>14</v>
      </c>
      <c r="G1716" s="5">
        <v>4</v>
      </c>
      <c r="H1716" s="6">
        <v>18500</v>
      </c>
      <c r="I1716" s="6">
        <v>74512</v>
      </c>
      <c r="J1716" s="16">
        <v>8941</v>
      </c>
    </row>
    <row r="1717" spans="1:10" x14ac:dyDescent="0.3">
      <c r="A1717" s="15" t="s">
        <v>10</v>
      </c>
      <c r="B1717" s="7" t="s">
        <v>22</v>
      </c>
      <c r="C1717" s="7" t="s">
        <v>23</v>
      </c>
      <c r="D1717" s="7" t="s">
        <v>101</v>
      </c>
      <c r="E1717" s="13">
        <f t="shared" ca="1" si="26"/>
        <v>45770</v>
      </c>
      <c r="F1717" s="7" t="s">
        <v>40</v>
      </c>
      <c r="G1717" s="8">
        <v>8</v>
      </c>
      <c r="H1717" s="9">
        <v>15000</v>
      </c>
      <c r="I1717" s="9">
        <v>112092</v>
      </c>
      <c r="J1717" s="17">
        <v>11209</v>
      </c>
    </row>
    <row r="1718" spans="1:10" x14ac:dyDescent="0.3">
      <c r="A1718" s="14" t="s">
        <v>37</v>
      </c>
      <c r="B1718" s="4" t="s">
        <v>56</v>
      </c>
      <c r="C1718" s="4" t="s">
        <v>23</v>
      </c>
      <c r="D1718" s="4" t="s">
        <v>190</v>
      </c>
      <c r="E1718" s="13">
        <f t="shared" ca="1" si="26"/>
        <v>45806</v>
      </c>
      <c r="F1718" s="4" t="s">
        <v>14</v>
      </c>
      <c r="G1718" s="5">
        <v>5</v>
      </c>
      <c r="H1718" s="6">
        <v>18500</v>
      </c>
      <c r="I1718" s="6">
        <v>93411</v>
      </c>
      <c r="J1718" s="16">
        <v>11209</v>
      </c>
    </row>
    <row r="1719" spans="1:10" x14ac:dyDescent="0.3">
      <c r="A1719" s="15" t="s">
        <v>10</v>
      </c>
      <c r="B1719" s="7" t="s">
        <v>29</v>
      </c>
      <c r="C1719" s="7" t="s">
        <v>26</v>
      </c>
      <c r="D1719" s="7" t="s">
        <v>235</v>
      </c>
      <c r="E1719" s="13">
        <f t="shared" ca="1" si="26"/>
        <v>45919</v>
      </c>
      <c r="F1719" s="7" t="s">
        <v>21</v>
      </c>
      <c r="G1719" s="8">
        <v>1</v>
      </c>
      <c r="H1719" s="9">
        <v>12500</v>
      </c>
      <c r="I1719" s="9">
        <v>11507</v>
      </c>
      <c r="J1719" s="17">
        <v>921</v>
      </c>
    </row>
    <row r="1720" spans="1:10" x14ac:dyDescent="0.3">
      <c r="A1720" s="14" t="s">
        <v>41</v>
      </c>
      <c r="B1720" s="4" t="s">
        <v>11</v>
      </c>
      <c r="C1720" s="4" t="s">
        <v>12</v>
      </c>
      <c r="D1720" s="4" t="s">
        <v>212</v>
      </c>
      <c r="E1720" s="13">
        <f t="shared" ca="1" si="26"/>
        <v>45698</v>
      </c>
      <c r="F1720" s="4" t="s">
        <v>36</v>
      </c>
      <c r="G1720" s="5">
        <v>5</v>
      </c>
      <c r="H1720" s="6">
        <v>55000</v>
      </c>
      <c r="I1720" s="6">
        <v>264524</v>
      </c>
      <c r="J1720" s="16">
        <v>58195</v>
      </c>
    </row>
    <row r="1721" spans="1:10" x14ac:dyDescent="0.3">
      <c r="A1721" s="15" t="s">
        <v>15</v>
      </c>
      <c r="B1721" s="7" t="s">
        <v>16</v>
      </c>
      <c r="C1721" s="7" t="s">
        <v>12</v>
      </c>
      <c r="D1721" s="7" t="s">
        <v>259</v>
      </c>
      <c r="E1721" s="13">
        <f t="shared" ca="1" si="26"/>
        <v>45968</v>
      </c>
      <c r="F1721" s="7" t="s">
        <v>14</v>
      </c>
      <c r="G1721" s="8">
        <v>9</v>
      </c>
      <c r="H1721" s="9">
        <v>18500</v>
      </c>
      <c r="I1721" s="9">
        <v>176731</v>
      </c>
      <c r="J1721" s="17">
        <v>21208</v>
      </c>
    </row>
    <row r="1722" spans="1:10" x14ac:dyDescent="0.3">
      <c r="A1722" s="14" t="s">
        <v>15</v>
      </c>
      <c r="B1722" s="4" t="s">
        <v>29</v>
      </c>
      <c r="C1722" s="4" t="s">
        <v>26</v>
      </c>
      <c r="D1722" s="4" t="s">
        <v>245</v>
      </c>
      <c r="E1722" s="13">
        <f t="shared" ca="1" si="26"/>
        <v>45708</v>
      </c>
      <c r="F1722" s="4" t="s">
        <v>40</v>
      </c>
      <c r="G1722" s="5">
        <v>8</v>
      </c>
      <c r="H1722" s="6">
        <v>15000</v>
      </c>
      <c r="I1722" s="6">
        <v>123821</v>
      </c>
      <c r="J1722" s="16">
        <v>12382</v>
      </c>
    </row>
    <row r="1723" spans="1:10" x14ac:dyDescent="0.3">
      <c r="A1723" s="15" t="s">
        <v>18</v>
      </c>
      <c r="B1723" s="7" t="s">
        <v>84</v>
      </c>
      <c r="C1723" s="7" t="s">
        <v>12</v>
      </c>
      <c r="D1723" s="7" t="s">
        <v>128</v>
      </c>
      <c r="E1723" s="13">
        <f t="shared" ca="1" si="26"/>
        <v>45852</v>
      </c>
      <c r="F1723" s="7" t="s">
        <v>33</v>
      </c>
      <c r="G1723" s="8">
        <v>9</v>
      </c>
      <c r="H1723" s="9">
        <v>45000</v>
      </c>
      <c r="I1723" s="9">
        <v>437634</v>
      </c>
      <c r="J1723" s="17">
        <v>78774</v>
      </c>
    </row>
    <row r="1724" spans="1:10" x14ac:dyDescent="0.3">
      <c r="A1724" s="14" t="s">
        <v>37</v>
      </c>
      <c r="B1724" s="4" t="s">
        <v>84</v>
      </c>
      <c r="C1724" s="4" t="s">
        <v>12</v>
      </c>
      <c r="D1724" s="4" t="s">
        <v>24</v>
      </c>
      <c r="E1724" s="13">
        <f t="shared" ca="1" si="26"/>
        <v>45955</v>
      </c>
      <c r="F1724" s="4" t="s">
        <v>14</v>
      </c>
      <c r="G1724" s="5">
        <v>10</v>
      </c>
      <c r="H1724" s="6">
        <v>18500</v>
      </c>
      <c r="I1724" s="6">
        <v>201200</v>
      </c>
      <c r="J1724" s="16">
        <v>24144</v>
      </c>
    </row>
    <row r="1725" spans="1:10" x14ac:dyDescent="0.3">
      <c r="A1725" s="15" t="s">
        <v>37</v>
      </c>
      <c r="B1725" s="7" t="s">
        <v>38</v>
      </c>
      <c r="C1725" s="7" t="s">
        <v>23</v>
      </c>
      <c r="D1725" s="7" t="s">
        <v>196</v>
      </c>
      <c r="E1725" s="13">
        <f t="shared" ca="1" si="26"/>
        <v>45747</v>
      </c>
      <c r="F1725" s="7" t="s">
        <v>33</v>
      </c>
      <c r="G1725" s="8">
        <v>1</v>
      </c>
      <c r="H1725" s="9">
        <v>45000</v>
      </c>
      <c r="I1725" s="9">
        <v>47472</v>
      </c>
      <c r="J1725" s="17">
        <v>8545</v>
      </c>
    </row>
    <row r="1726" spans="1:10" x14ac:dyDescent="0.3">
      <c r="A1726" s="14" t="s">
        <v>18</v>
      </c>
      <c r="B1726" s="4" t="s">
        <v>81</v>
      </c>
      <c r="C1726" s="4" t="s">
        <v>26</v>
      </c>
      <c r="D1726" s="4" t="s">
        <v>126</v>
      </c>
      <c r="E1726" s="13">
        <f t="shared" ca="1" si="26"/>
        <v>45940</v>
      </c>
      <c r="F1726" s="4" t="s">
        <v>14</v>
      </c>
      <c r="G1726" s="5">
        <v>6</v>
      </c>
      <c r="H1726" s="6">
        <v>18500</v>
      </c>
      <c r="I1726" s="6">
        <v>109066</v>
      </c>
      <c r="J1726" s="16">
        <v>13088</v>
      </c>
    </row>
    <row r="1727" spans="1:10" x14ac:dyDescent="0.3">
      <c r="A1727" s="15" t="s">
        <v>15</v>
      </c>
      <c r="B1727" s="7" t="s">
        <v>46</v>
      </c>
      <c r="C1727" s="7" t="s">
        <v>26</v>
      </c>
      <c r="D1727" s="7" t="s">
        <v>163</v>
      </c>
      <c r="E1727" s="13">
        <f t="shared" ca="1" si="26"/>
        <v>45904</v>
      </c>
      <c r="F1727" s="7" t="s">
        <v>33</v>
      </c>
      <c r="G1727" s="8">
        <v>6</v>
      </c>
      <c r="H1727" s="9">
        <v>45000</v>
      </c>
      <c r="I1727" s="9">
        <v>267118</v>
      </c>
      <c r="J1727" s="17">
        <v>48081</v>
      </c>
    </row>
    <row r="1728" spans="1:10" x14ac:dyDescent="0.3">
      <c r="A1728" s="14" t="s">
        <v>15</v>
      </c>
      <c r="B1728" s="4" t="s">
        <v>84</v>
      </c>
      <c r="C1728" s="4" t="s">
        <v>12</v>
      </c>
      <c r="D1728" s="4" t="s">
        <v>47</v>
      </c>
      <c r="E1728" s="13">
        <f t="shared" ca="1" si="26"/>
        <v>45809</v>
      </c>
      <c r="F1728" s="4" t="s">
        <v>21</v>
      </c>
      <c r="G1728" s="5">
        <v>6</v>
      </c>
      <c r="H1728" s="6">
        <v>12500</v>
      </c>
      <c r="I1728" s="6">
        <v>77295</v>
      </c>
      <c r="J1728" s="16">
        <v>6184</v>
      </c>
    </row>
    <row r="1729" spans="1:10" x14ac:dyDescent="0.3">
      <c r="A1729" s="15" t="s">
        <v>15</v>
      </c>
      <c r="B1729" s="7" t="s">
        <v>81</v>
      </c>
      <c r="C1729" s="7" t="s">
        <v>26</v>
      </c>
      <c r="D1729" s="7" t="s">
        <v>168</v>
      </c>
      <c r="E1729" s="13">
        <f t="shared" ca="1" si="26"/>
        <v>45741</v>
      </c>
      <c r="F1729" s="7" t="s">
        <v>33</v>
      </c>
      <c r="G1729" s="8">
        <v>2</v>
      </c>
      <c r="H1729" s="9">
        <v>45000</v>
      </c>
      <c r="I1729" s="9">
        <v>82284</v>
      </c>
      <c r="J1729" s="17">
        <v>14811</v>
      </c>
    </row>
    <row r="1730" spans="1:10" x14ac:dyDescent="0.3">
      <c r="A1730" s="14" t="s">
        <v>18</v>
      </c>
      <c r="B1730" s="4" t="s">
        <v>19</v>
      </c>
      <c r="C1730" s="4" t="s">
        <v>12</v>
      </c>
      <c r="D1730" s="4" t="s">
        <v>260</v>
      </c>
      <c r="E1730" s="13">
        <f t="shared" ca="1" si="26"/>
        <v>45775</v>
      </c>
      <c r="F1730" s="4" t="s">
        <v>33</v>
      </c>
      <c r="G1730" s="5">
        <v>1</v>
      </c>
      <c r="H1730" s="6">
        <v>45000</v>
      </c>
      <c r="I1730" s="6">
        <v>40737</v>
      </c>
      <c r="J1730" s="16">
        <v>7333</v>
      </c>
    </row>
    <row r="1731" spans="1:10" x14ac:dyDescent="0.3">
      <c r="A1731" s="15" t="s">
        <v>37</v>
      </c>
      <c r="B1731" s="7" t="s">
        <v>25</v>
      </c>
      <c r="C1731" s="7" t="s">
        <v>26</v>
      </c>
      <c r="D1731" s="7" t="s">
        <v>140</v>
      </c>
      <c r="E1731" s="13">
        <f t="shared" ref="E1731:E1794" ca="1" si="27">DATE(2025,1,1)+RANDBETWEEN(0,364)</f>
        <v>45969</v>
      </c>
      <c r="F1731" s="7" t="s">
        <v>36</v>
      </c>
      <c r="G1731" s="8">
        <v>3</v>
      </c>
      <c r="H1731" s="9">
        <v>55000</v>
      </c>
      <c r="I1731" s="9">
        <v>162441</v>
      </c>
      <c r="J1731" s="17">
        <v>35737</v>
      </c>
    </row>
    <row r="1732" spans="1:10" x14ac:dyDescent="0.3">
      <c r="A1732" s="14" t="s">
        <v>10</v>
      </c>
      <c r="B1732" s="4" t="s">
        <v>29</v>
      </c>
      <c r="C1732" s="4" t="s">
        <v>26</v>
      </c>
      <c r="D1732" s="4" t="s">
        <v>125</v>
      </c>
      <c r="E1732" s="13">
        <f t="shared" ca="1" si="27"/>
        <v>45701</v>
      </c>
      <c r="F1732" s="4" t="s">
        <v>14</v>
      </c>
      <c r="G1732" s="5">
        <v>7</v>
      </c>
      <c r="H1732" s="6">
        <v>18500</v>
      </c>
      <c r="I1732" s="6">
        <v>136901</v>
      </c>
      <c r="J1732" s="16">
        <v>16428</v>
      </c>
    </row>
    <row r="1733" spans="1:10" x14ac:dyDescent="0.3">
      <c r="A1733" s="15" t="s">
        <v>18</v>
      </c>
      <c r="B1733" s="7" t="s">
        <v>81</v>
      </c>
      <c r="C1733" s="7" t="s">
        <v>26</v>
      </c>
      <c r="D1733" s="7" t="s">
        <v>218</v>
      </c>
      <c r="E1733" s="13">
        <f t="shared" ca="1" si="27"/>
        <v>45746</v>
      </c>
      <c r="F1733" s="7" t="s">
        <v>21</v>
      </c>
      <c r="G1733" s="8">
        <v>7</v>
      </c>
      <c r="H1733" s="9">
        <v>12500</v>
      </c>
      <c r="I1733" s="9">
        <v>87860</v>
      </c>
      <c r="J1733" s="17">
        <v>7029</v>
      </c>
    </row>
    <row r="1734" spans="1:10" x14ac:dyDescent="0.3">
      <c r="A1734" s="14" t="s">
        <v>15</v>
      </c>
      <c r="B1734" s="4" t="s">
        <v>25</v>
      </c>
      <c r="C1734" s="4" t="s">
        <v>26</v>
      </c>
      <c r="D1734" s="4" t="s">
        <v>147</v>
      </c>
      <c r="E1734" s="13">
        <f t="shared" ca="1" si="27"/>
        <v>45976</v>
      </c>
      <c r="F1734" s="4" t="s">
        <v>36</v>
      </c>
      <c r="G1734" s="5">
        <v>3</v>
      </c>
      <c r="H1734" s="6">
        <v>55000</v>
      </c>
      <c r="I1734" s="6">
        <v>173876</v>
      </c>
      <c r="J1734" s="16">
        <v>38253</v>
      </c>
    </row>
    <row r="1735" spans="1:10" x14ac:dyDescent="0.3">
      <c r="A1735" s="15" t="s">
        <v>37</v>
      </c>
      <c r="B1735" s="7" t="s">
        <v>22</v>
      </c>
      <c r="C1735" s="7" t="s">
        <v>23</v>
      </c>
      <c r="D1735" s="7" t="s">
        <v>28</v>
      </c>
      <c r="E1735" s="13">
        <f t="shared" ca="1" si="27"/>
        <v>45690</v>
      </c>
      <c r="F1735" s="7" t="s">
        <v>40</v>
      </c>
      <c r="G1735" s="8">
        <v>1</v>
      </c>
      <c r="H1735" s="9">
        <v>15000</v>
      </c>
      <c r="I1735" s="9">
        <v>16337</v>
      </c>
      <c r="J1735" s="17">
        <v>1634</v>
      </c>
    </row>
    <row r="1736" spans="1:10" x14ac:dyDescent="0.3">
      <c r="A1736" s="14" t="s">
        <v>41</v>
      </c>
      <c r="B1736" s="4" t="s">
        <v>88</v>
      </c>
      <c r="C1736" s="4" t="s">
        <v>12</v>
      </c>
      <c r="D1736" s="4" t="s">
        <v>131</v>
      </c>
      <c r="E1736" s="13">
        <f t="shared" ca="1" si="27"/>
        <v>45876</v>
      </c>
      <c r="F1736" s="4" t="s">
        <v>14</v>
      </c>
      <c r="G1736" s="5">
        <v>5</v>
      </c>
      <c r="H1736" s="6">
        <v>18500</v>
      </c>
      <c r="I1736" s="6">
        <v>89463</v>
      </c>
      <c r="J1736" s="16">
        <v>10736</v>
      </c>
    </row>
    <row r="1737" spans="1:10" x14ac:dyDescent="0.3">
      <c r="A1737" s="15" t="s">
        <v>37</v>
      </c>
      <c r="B1737" s="7" t="s">
        <v>31</v>
      </c>
      <c r="C1737" s="7" t="s">
        <v>12</v>
      </c>
      <c r="D1737" s="7" t="s">
        <v>70</v>
      </c>
      <c r="E1737" s="13">
        <f t="shared" ca="1" si="27"/>
        <v>45675</v>
      </c>
      <c r="F1737" s="7" t="s">
        <v>36</v>
      </c>
      <c r="G1737" s="8">
        <v>7</v>
      </c>
      <c r="H1737" s="9">
        <v>55000</v>
      </c>
      <c r="I1737" s="9">
        <v>412489</v>
      </c>
      <c r="J1737" s="17">
        <v>90748</v>
      </c>
    </row>
    <row r="1738" spans="1:10" x14ac:dyDescent="0.3">
      <c r="A1738" s="14" t="s">
        <v>10</v>
      </c>
      <c r="B1738" s="4" t="s">
        <v>81</v>
      </c>
      <c r="C1738" s="4" t="s">
        <v>26</v>
      </c>
      <c r="D1738" s="4" t="s">
        <v>214</v>
      </c>
      <c r="E1738" s="13">
        <f t="shared" ca="1" si="27"/>
        <v>45754</v>
      </c>
      <c r="F1738" s="4" t="s">
        <v>36</v>
      </c>
      <c r="G1738" s="5">
        <v>4</v>
      </c>
      <c r="H1738" s="6">
        <v>55000</v>
      </c>
      <c r="I1738" s="6">
        <v>198940</v>
      </c>
      <c r="J1738" s="16">
        <v>43767</v>
      </c>
    </row>
    <row r="1739" spans="1:10" x14ac:dyDescent="0.3">
      <c r="A1739" s="15" t="s">
        <v>15</v>
      </c>
      <c r="B1739" s="7" t="s">
        <v>77</v>
      </c>
      <c r="C1739" s="7" t="s">
        <v>12</v>
      </c>
      <c r="D1739" s="7" t="s">
        <v>253</v>
      </c>
      <c r="E1739" s="13">
        <f t="shared" ca="1" si="27"/>
        <v>45822</v>
      </c>
      <c r="F1739" s="7" t="s">
        <v>33</v>
      </c>
      <c r="G1739" s="8">
        <v>7</v>
      </c>
      <c r="H1739" s="9">
        <v>45000</v>
      </c>
      <c r="I1739" s="9">
        <v>334124</v>
      </c>
      <c r="J1739" s="17">
        <v>60142</v>
      </c>
    </row>
    <row r="1740" spans="1:10" x14ac:dyDescent="0.3">
      <c r="A1740" s="14" t="s">
        <v>37</v>
      </c>
      <c r="B1740" s="4" t="s">
        <v>16</v>
      </c>
      <c r="C1740" s="4" t="s">
        <v>12</v>
      </c>
      <c r="D1740" s="4" t="s">
        <v>120</v>
      </c>
      <c r="E1740" s="13">
        <f t="shared" ca="1" si="27"/>
        <v>45988</v>
      </c>
      <c r="F1740" s="4" t="s">
        <v>40</v>
      </c>
      <c r="G1740" s="5">
        <v>4</v>
      </c>
      <c r="H1740" s="6">
        <v>15000</v>
      </c>
      <c r="I1740" s="6">
        <v>60213</v>
      </c>
      <c r="J1740" s="16">
        <v>6021</v>
      </c>
    </row>
    <row r="1741" spans="1:10" x14ac:dyDescent="0.3">
      <c r="A1741" s="15" t="s">
        <v>10</v>
      </c>
      <c r="B1741" s="7" t="s">
        <v>38</v>
      </c>
      <c r="C1741" s="7" t="s">
        <v>23</v>
      </c>
      <c r="D1741" s="7" t="s">
        <v>182</v>
      </c>
      <c r="E1741" s="13">
        <f t="shared" ca="1" si="27"/>
        <v>45852</v>
      </c>
      <c r="F1741" s="7" t="s">
        <v>36</v>
      </c>
      <c r="G1741" s="8">
        <v>10</v>
      </c>
      <c r="H1741" s="9">
        <v>55000</v>
      </c>
      <c r="I1741" s="9">
        <v>594000</v>
      </c>
      <c r="J1741" s="17">
        <v>130680</v>
      </c>
    </row>
    <row r="1742" spans="1:10" x14ac:dyDescent="0.3">
      <c r="A1742" s="14" t="s">
        <v>15</v>
      </c>
      <c r="B1742" s="4" t="s">
        <v>84</v>
      </c>
      <c r="C1742" s="4" t="s">
        <v>12</v>
      </c>
      <c r="D1742" s="4" t="s">
        <v>89</v>
      </c>
      <c r="E1742" s="13">
        <f t="shared" ca="1" si="27"/>
        <v>45845</v>
      </c>
      <c r="F1742" s="4" t="s">
        <v>14</v>
      </c>
      <c r="G1742" s="5">
        <v>5</v>
      </c>
      <c r="H1742" s="6">
        <v>18500</v>
      </c>
      <c r="I1742" s="6">
        <v>95533</v>
      </c>
      <c r="J1742" s="16">
        <v>11464</v>
      </c>
    </row>
    <row r="1743" spans="1:10" x14ac:dyDescent="0.3">
      <c r="A1743" s="15" t="s">
        <v>18</v>
      </c>
      <c r="B1743" s="7" t="s">
        <v>56</v>
      </c>
      <c r="C1743" s="7" t="s">
        <v>23</v>
      </c>
      <c r="D1743" s="7" t="s">
        <v>252</v>
      </c>
      <c r="E1743" s="13">
        <f t="shared" ca="1" si="27"/>
        <v>45812</v>
      </c>
      <c r="F1743" s="7" t="s">
        <v>14</v>
      </c>
      <c r="G1743" s="8">
        <v>2</v>
      </c>
      <c r="H1743" s="9">
        <v>18500</v>
      </c>
      <c r="I1743" s="9">
        <v>34410</v>
      </c>
      <c r="J1743" s="17">
        <v>4129</v>
      </c>
    </row>
    <row r="1744" spans="1:10" x14ac:dyDescent="0.3">
      <c r="A1744" s="14" t="s">
        <v>41</v>
      </c>
      <c r="B1744" s="4" t="s">
        <v>31</v>
      </c>
      <c r="C1744" s="4" t="s">
        <v>12</v>
      </c>
      <c r="D1744" s="4" t="s">
        <v>219</v>
      </c>
      <c r="E1744" s="13">
        <f t="shared" ca="1" si="27"/>
        <v>45880</v>
      </c>
      <c r="F1744" s="4" t="s">
        <v>21</v>
      </c>
      <c r="G1744" s="5">
        <v>3</v>
      </c>
      <c r="H1744" s="6">
        <v>12500</v>
      </c>
      <c r="I1744" s="6">
        <v>36791</v>
      </c>
      <c r="J1744" s="16">
        <v>2943</v>
      </c>
    </row>
    <row r="1745" spans="1:10" x14ac:dyDescent="0.3">
      <c r="A1745" s="15" t="s">
        <v>15</v>
      </c>
      <c r="B1745" s="7" t="s">
        <v>38</v>
      </c>
      <c r="C1745" s="7" t="s">
        <v>23</v>
      </c>
      <c r="D1745" s="7" t="s">
        <v>90</v>
      </c>
      <c r="E1745" s="13">
        <f t="shared" ca="1" si="27"/>
        <v>45970</v>
      </c>
      <c r="F1745" s="7" t="s">
        <v>40</v>
      </c>
      <c r="G1745" s="8">
        <v>6</v>
      </c>
      <c r="H1745" s="9">
        <v>15000</v>
      </c>
      <c r="I1745" s="9">
        <v>97177</v>
      </c>
      <c r="J1745" s="17">
        <v>9718</v>
      </c>
    </row>
    <row r="1746" spans="1:10" x14ac:dyDescent="0.3">
      <c r="A1746" s="14" t="s">
        <v>10</v>
      </c>
      <c r="B1746" s="4" t="s">
        <v>16</v>
      </c>
      <c r="C1746" s="4" t="s">
        <v>12</v>
      </c>
      <c r="D1746" s="4" t="s">
        <v>169</v>
      </c>
      <c r="E1746" s="13">
        <f t="shared" ca="1" si="27"/>
        <v>45954</v>
      </c>
      <c r="F1746" s="4" t="s">
        <v>40</v>
      </c>
      <c r="G1746" s="5">
        <v>2</v>
      </c>
      <c r="H1746" s="6">
        <v>15000</v>
      </c>
      <c r="I1746" s="6">
        <v>30397</v>
      </c>
      <c r="J1746" s="16">
        <v>3040</v>
      </c>
    </row>
    <row r="1747" spans="1:10" x14ac:dyDescent="0.3">
      <c r="A1747" s="15" t="s">
        <v>37</v>
      </c>
      <c r="B1747" s="7" t="s">
        <v>56</v>
      </c>
      <c r="C1747" s="7" t="s">
        <v>23</v>
      </c>
      <c r="D1747" s="7" t="s">
        <v>169</v>
      </c>
      <c r="E1747" s="13">
        <f t="shared" ca="1" si="27"/>
        <v>45979</v>
      </c>
      <c r="F1747" s="7" t="s">
        <v>36</v>
      </c>
      <c r="G1747" s="8">
        <v>9</v>
      </c>
      <c r="H1747" s="9">
        <v>55000</v>
      </c>
      <c r="I1747" s="9">
        <v>534613</v>
      </c>
      <c r="J1747" s="17">
        <v>117615</v>
      </c>
    </row>
    <row r="1748" spans="1:10" x14ac:dyDescent="0.3">
      <c r="A1748" s="14" t="s">
        <v>15</v>
      </c>
      <c r="B1748" s="4" t="s">
        <v>46</v>
      </c>
      <c r="C1748" s="4" t="s">
        <v>26</v>
      </c>
      <c r="D1748" s="4" t="s">
        <v>64</v>
      </c>
      <c r="E1748" s="13">
        <f t="shared" ca="1" si="27"/>
        <v>45723</v>
      </c>
      <c r="F1748" s="4" t="s">
        <v>14</v>
      </c>
      <c r="G1748" s="5">
        <v>1</v>
      </c>
      <c r="H1748" s="6">
        <v>18500</v>
      </c>
      <c r="I1748" s="6">
        <v>18819</v>
      </c>
      <c r="J1748" s="16">
        <v>2258</v>
      </c>
    </row>
    <row r="1749" spans="1:10" x14ac:dyDescent="0.3">
      <c r="A1749" s="15" t="s">
        <v>41</v>
      </c>
      <c r="B1749" s="7" t="s">
        <v>16</v>
      </c>
      <c r="C1749" s="7" t="s">
        <v>12</v>
      </c>
      <c r="D1749" s="7" t="s">
        <v>181</v>
      </c>
      <c r="E1749" s="13">
        <f t="shared" ca="1" si="27"/>
        <v>45669</v>
      </c>
      <c r="F1749" s="7" t="s">
        <v>36</v>
      </c>
      <c r="G1749" s="8">
        <v>8</v>
      </c>
      <c r="H1749" s="9">
        <v>55000</v>
      </c>
      <c r="I1749" s="9">
        <v>437691</v>
      </c>
      <c r="J1749" s="17">
        <v>96292</v>
      </c>
    </row>
    <row r="1750" spans="1:10" x14ac:dyDescent="0.3">
      <c r="A1750" s="14" t="s">
        <v>15</v>
      </c>
      <c r="B1750" s="4" t="s">
        <v>11</v>
      </c>
      <c r="C1750" s="4" t="s">
        <v>12</v>
      </c>
      <c r="D1750" s="4" t="s">
        <v>48</v>
      </c>
      <c r="E1750" s="13">
        <f t="shared" ca="1" si="27"/>
        <v>45959</v>
      </c>
      <c r="F1750" s="4" t="s">
        <v>33</v>
      </c>
      <c r="G1750" s="5">
        <v>2</v>
      </c>
      <c r="H1750" s="6">
        <v>45000</v>
      </c>
      <c r="I1750" s="6">
        <v>89572</v>
      </c>
      <c r="J1750" s="16">
        <v>16123</v>
      </c>
    </row>
    <row r="1751" spans="1:10" x14ac:dyDescent="0.3">
      <c r="A1751" s="15" t="s">
        <v>41</v>
      </c>
      <c r="B1751" s="7" t="s">
        <v>81</v>
      </c>
      <c r="C1751" s="7" t="s">
        <v>26</v>
      </c>
      <c r="D1751" s="7" t="s">
        <v>193</v>
      </c>
      <c r="E1751" s="13">
        <f t="shared" ca="1" si="27"/>
        <v>45765</v>
      </c>
      <c r="F1751" s="7" t="s">
        <v>21</v>
      </c>
      <c r="G1751" s="8">
        <v>2</v>
      </c>
      <c r="H1751" s="9">
        <v>12500</v>
      </c>
      <c r="I1751" s="9">
        <v>24368</v>
      </c>
      <c r="J1751" s="17">
        <v>1949</v>
      </c>
    </row>
    <row r="1752" spans="1:10" x14ac:dyDescent="0.3">
      <c r="A1752" s="14" t="s">
        <v>15</v>
      </c>
      <c r="B1752" s="4" t="s">
        <v>31</v>
      </c>
      <c r="C1752" s="4" t="s">
        <v>12</v>
      </c>
      <c r="D1752" s="4" t="s">
        <v>130</v>
      </c>
      <c r="E1752" s="13">
        <f t="shared" ca="1" si="27"/>
        <v>45989</v>
      </c>
      <c r="F1752" s="4" t="s">
        <v>36</v>
      </c>
      <c r="G1752" s="5">
        <v>9</v>
      </c>
      <c r="H1752" s="6">
        <v>55000</v>
      </c>
      <c r="I1752" s="6">
        <v>540514</v>
      </c>
      <c r="J1752" s="16">
        <v>118913</v>
      </c>
    </row>
    <row r="1753" spans="1:10" x14ac:dyDescent="0.3">
      <c r="A1753" s="15" t="s">
        <v>18</v>
      </c>
      <c r="B1753" s="7" t="s">
        <v>77</v>
      </c>
      <c r="C1753" s="7" t="s">
        <v>12</v>
      </c>
      <c r="D1753" s="7" t="s">
        <v>17</v>
      </c>
      <c r="E1753" s="13">
        <f t="shared" ca="1" si="27"/>
        <v>45775</v>
      </c>
      <c r="F1753" s="7" t="s">
        <v>21</v>
      </c>
      <c r="G1753" s="8">
        <v>1</v>
      </c>
      <c r="H1753" s="9">
        <v>12500</v>
      </c>
      <c r="I1753" s="9">
        <v>13688</v>
      </c>
      <c r="J1753" s="17">
        <v>1095</v>
      </c>
    </row>
    <row r="1754" spans="1:10" x14ac:dyDescent="0.3">
      <c r="A1754" s="14" t="s">
        <v>37</v>
      </c>
      <c r="B1754" s="4" t="s">
        <v>19</v>
      </c>
      <c r="C1754" s="4" t="s">
        <v>12</v>
      </c>
      <c r="D1754" s="4" t="s">
        <v>234</v>
      </c>
      <c r="E1754" s="13">
        <f t="shared" ca="1" si="27"/>
        <v>45930</v>
      </c>
      <c r="F1754" s="4" t="s">
        <v>33</v>
      </c>
      <c r="G1754" s="5">
        <v>10</v>
      </c>
      <c r="H1754" s="6">
        <v>45000</v>
      </c>
      <c r="I1754" s="6">
        <v>439234</v>
      </c>
      <c r="J1754" s="16">
        <v>79062</v>
      </c>
    </row>
    <row r="1755" spans="1:10" x14ac:dyDescent="0.3">
      <c r="A1755" s="15" t="s">
        <v>10</v>
      </c>
      <c r="B1755" s="7" t="s">
        <v>84</v>
      </c>
      <c r="C1755" s="7" t="s">
        <v>12</v>
      </c>
      <c r="D1755" s="7" t="s">
        <v>212</v>
      </c>
      <c r="E1755" s="13">
        <f t="shared" ca="1" si="27"/>
        <v>45898</v>
      </c>
      <c r="F1755" s="7" t="s">
        <v>33</v>
      </c>
      <c r="G1755" s="8">
        <v>2</v>
      </c>
      <c r="H1755" s="9">
        <v>45000</v>
      </c>
      <c r="I1755" s="9">
        <v>87439</v>
      </c>
      <c r="J1755" s="17">
        <v>15739</v>
      </c>
    </row>
    <row r="1756" spans="1:10" x14ac:dyDescent="0.3">
      <c r="A1756" s="14" t="s">
        <v>15</v>
      </c>
      <c r="B1756" s="4" t="s">
        <v>51</v>
      </c>
      <c r="C1756" s="4" t="s">
        <v>12</v>
      </c>
      <c r="D1756" s="4" t="s">
        <v>191</v>
      </c>
      <c r="E1756" s="13">
        <f t="shared" ca="1" si="27"/>
        <v>45678</v>
      </c>
      <c r="F1756" s="4" t="s">
        <v>36</v>
      </c>
      <c r="G1756" s="5">
        <v>9</v>
      </c>
      <c r="H1756" s="6">
        <v>55000</v>
      </c>
      <c r="I1756" s="6">
        <v>522827</v>
      </c>
      <c r="J1756" s="16">
        <v>115022</v>
      </c>
    </row>
    <row r="1757" spans="1:10" x14ac:dyDescent="0.3">
      <c r="A1757" s="15" t="s">
        <v>15</v>
      </c>
      <c r="B1757" s="7" t="s">
        <v>46</v>
      </c>
      <c r="C1757" s="7" t="s">
        <v>26</v>
      </c>
      <c r="D1757" s="7" t="s">
        <v>153</v>
      </c>
      <c r="E1757" s="13">
        <f t="shared" ca="1" si="27"/>
        <v>45895</v>
      </c>
      <c r="F1757" s="7" t="s">
        <v>33</v>
      </c>
      <c r="G1757" s="8">
        <v>3</v>
      </c>
      <c r="H1757" s="9">
        <v>45000</v>
      </c>
      <c r="I1757" s="9">
        <v>124353</v>
      </c>
      <c r="J1757" s="17">
        <v>22384</v>
      </c>
    </row>
    <row r="1758" spans="1:10" x14ac:dyDescent="0.3">
      <c r="A1758" s="14" t="s">
        <v>41</v>
      </c>
      <c r="B1758" s="4" t="s">
        <v>22</v>
      </c>
      <c r="C1758" s="4" t="s">
        <v>23</v>
      </c>
      <c r="D1758" s="4" t="s">
        <v>129</v>
      </c>
      <c r="E1758" s="13">
        <f t="shared" ca="1" si="27"/>
        <v>46007</v>
      </c>
      <c r="F1758" s="4" t="s">
        <v>33</v>
      </c>
      <c r="G1758" s="5">
        <v>5</v>
      </c>
      <c r="H1758" s="6">
        <v>45000</v>
      </c>
      <c r="I1758" s="6">
        <v>218887</v>
      </c>
      <c r="J1758" s="16">
        <v>39400</v>
      </c>
    </row>
    <row r="1759" spans="1:10" x14ac:dyDescent="0.3">
      <c r="A1759" s="15" t="s">
        <v>10</v>
      </c>
      <c r="B1759" s="7" t="s">
        <v>51</v>
      </c>
      <c r="C1759" s="7" t="s">
        <v>12</v>
      </c>
      <c r="D1759" s="7" t="s">
        <v>210</v>
      </c>
      <c r="E1759" s="13">
        <f t="shared" ca="1" si="27"/>
        <v>45762</v>
      </c>
      <c r="F1759" s="7" t="s">
        <v>36</v>
      </c>
      <c r="G1759" s="8">
        <v>10</v>
      </c>
      <c r="H1759" s="9">
        <v>55000</v>
      </c>
      <c r="I1759" s="9">
        <v>538934</v>
      </c>
      <c r="J1759" s="17">
        <v>118565</v>
      </c>
    </row>
    <row r="1760" spans="1:10" x14ac:dyDescent="0.3">
      <c r="A1760" s="14" t="s">
        <v>18</v>
      </c>
      <c r="B1760" s="4" t="s">
        <v>22</v>
      </c>
      <c r="C1760" s="4" t="s">
        <v>23</v>
      </c>
      <c r="D1760" s="4" t="s">
        <v>106</v>
      </c>
      <c r="E1760" s="13">
        <f t="shared" ca="1" si="27"/>
        <v>45955</v>
      </c>
      <c r="F1760" s="4" t="s">
        <v>40</v>
      </c>
      <c r="G1760" s="5">
        <v>7</v>
      </c>
      <c r="H1760" s="6">
        <v>15000</v>
      </c>
      <c r="I1760" s="6">
        <v>95919</v>
      </c>
      <c r="J1760" s="16">
        <v>9592</v>
      </c>
    </row>
    <row r="1761" spans="1:10" x14ac:dyDescent="0.3">
      <c r="A1761" s="15" t="s">
        <v>18</v>
      </c>
      <c r="B1761" s="7" t="s">
        <v>46</v>
      </c>
      <c r="C1761" s="7" t="s">
        <v>26</v>
      </c>
      <c r="D1761" s="7" t="s">
        <v>92</v>
      </c>
      <c r="E1761" s="13">
        <f t="shared" ca="1" si="27"/>
        <v>45676</v>
      </c>
      <c r="F1761" s="7" t="s">
        <v>40</v>
      </c>
      <c r="G1761" s="8">
        <v>3</v>
      </c>
      <c r="H1761" s="9">
        <v>15000</v>
      </c>
      <c r="I1761" s="9">
        <v>41949</v>
      </c>
      <c r="J1761" s="17">
        <v>4195</v>
      </c>
    </row>
    <row r="1762" spans="1:10" x14ac:dyDescent="0.3">
      <c r="A1762" s="14" t="s">
        <v>41</v>
      </c>
      <c r="B1762" s="4" t="s">
        <v>22</v>
      </c>
      <c r="C1762" s="4" t="s">
        <v>23</v>
      </c>
      <c r="D1762" s="4" t="s">
        <v>59</v>
      </c>
      <c r="E1762" s="13">
        <f t="shared" ca="1" si="27"/>
        <v>45960</v>
      </c>
      <c r="F1762" s="4" t="s">
        <v>36</v>
      </c>
      <c r="G1762" s="5">
        <v>2</v>
      </c>
      <c r="H1762" s="6">
        <v>55000</v>
      </c>
      <c r="I1762" s="6">
        <v>102165</v>
      </c>
      <c r="J1762" s="16">
        <v>22476</v>
      </c>
    </row>
    <row r="1763" spans="1:10" x14ac:dyDescent="0.3">
      <c r="A1763" s="15" t="s">
        <v>18</v>
      </c>
      <c r="B1763" s="7" t="s">
        <v>38</v>
      </c>
      <c r="C1763" s="7" t="s">
        <v>23</v>
      </c>
      <c r="D1763" s="7" t="s">
        <v>183</v>
      </c>
      <c r="E1763" s="13">
        <f t="shared" ca="1" si="27"/>
        <v>45683</v>
      </c>
      <c r="F1763" s="7" t="s">
        <v>14</v>
      </c>
      <c r="G1763" s="8">
        <v>1</v>
      </c>
      <c r="H1763" s="9">
        <v>18500</v>
      </c>
      <c r="I1763" s="9">
        <v>17567</v>
      </c>
      <c r="J1763" s="17">
        <v>2108</v>
      </c>
    </row>
    <row r="1764" spans="1:10" x14ac:dyDescent="0.3">
      <c r="A1764" s="14" t="s">
        <v>18</v>
      </c>
      <c r="B1764" s="4" t="s">
        <v>22</v>
      </c>
      <c r="C1764" s="4" t="s">
        <v>23</v>
      </c>
      <c r="D1764" s="4" t="s">
        <v>94</v>
      </c>
      <c r="E1764" s="13">
        <f t="shared" ca="1" si="27"/>
        <v>45843</v>
      </c>
      <c r="F1764" s="4" t="s">
        <v>40</v>
      </c>
      <c r="G1764" s="5">
        <v>6</v>
      </c>
      <c r="H1764" s="6">
        <v>15000</v>
      </c>
      <c r="I1764" s="6">
        <v>88170</v>
      </c>
      <c r="J1764" s="16">
        <v>8817</v>
      </c>
    </row>
    <row r="1765" spans="1:10" x14ac:dyDescent="0.3">
      <c r="A1765" s="15" t="s">
        <v>37</v>
      </c>
      <c r="B1765" s="7" t="s">
        <v>31</v>
      </c>
      <c r="C1765" s="7" t="s">
        <v>12</v>
      </c>
      <c r="D1765" s="7" t="s">
        <v>100</v>
      </c>
      <c r="E1765" s="13">
        <f t="shared" ca="1" si="27"/>
        <v>45834</v>
      </c>
      <c r="F1765" s="7" t="s">
        <v>21</v>
      </c>
      <c r="G1765" s="8">
        <v>6</v>
      </c>
      <c r="H1765" s="9">
        <v>12500</v>
      </c>
      <c r="I1765" s="9">
        <v>76308</v>
      </c>
      <c r="J1765" s="17">
        <v>6105</v>
      </c>
    </row>
    <row r="1766" spans="1:10" x14ac:dyDescent="0.3">
      <c r="A1766" s="14" t="s">
        <v>37</v>
      </c>
      <c r="B1766" s="4" t="s">
        <v>81</v>
      </c>
      <c r="C1766" s="4" t="s">
        <v>26</v>
      </c>
      <c r="D1766" s="4" t="s">
        <v>237</v>
      </c>
      <c r="E1766" s="13">
        <f t="shared" ca="1" si="27"/>
        <v>45960</v>
      </c>
      <c r="F1766" s="4" t="s">
        <v>36</v>
      </c>
      <c r="G1766" s="5">
        <v>3</v>
      </c>
      <c r="H1766" s="6">
        <v>55000</v>
      </c>
      <c r="I1766" s="6">
        <v>174565</v>
      </c>
      <c r="J1766" s="16">
        <v>38404</v>
      </c>
    </row>
    <row r="1767" spans="1:10" x14ac:dyDescent="0.3">
      <c r="A1767" s="15" t="s">
        <v>41</v>
      </c>
      <c r="B1767" s="7" t="s">
        <v>77</v>
      </c>
      <c r="C1767" s="7" t="s">
        <v>12</v>
      </c>
      <c r="D1767" s="7" t="s">
        <v>182</v>
      </c>
      <c r="E1767" s="13">
        <f t="shared" ca="1" si="27"/>
        <v>45980</v>
      </c>
      <c r="F1767" s="7" t="s">
        <v>21</v>
      </c>
      <c r="G1767" s="8">
        <v>10</v>
      </c>
      <c r="H1767" s="9">
        <v>12500</v>
      </c>
      <c r="I1767" s="9">
        <v>137096</v>
      </c>
      <c r="J1767" s="17">
        <v>10968</v>
      </c>
    </row>
    <row r="1768" spans="1:10" x14ac:dyDescent="0.3">
      <c r="A1768" s="14" t="s">
        <v>15</v>
      </c>
      <c r="B1768" s="4" t="s">
        <v>56</v>
      </c>
      <c r="C1768" s="4" t="s">
        <v>23</v>
      </c>
      <c r="D1768" s="4" t="s">
        <v>55</v>
      </c>
      <c r="E1768" s="13">
        <f t="shared" ca="1" si="27"/>
        <v>45700</v>
      </c>
      <c r="F1768" s="4" t="s">
        <v>40</v>
      </c>
      <c r="G1768" s="5">
        <v>5</v>
      </c>
      <c r="H1768" s="6">
        <v>15000</v>
      </c>
      <c r="I1768" s="6">
        <v>80023</v>
      </c>
      <c r="J1768" s="16">
        <v>8002</v>
      </c>
    </row>
    <row r="1769" spans="1:10" x14ac:dyDescent="0.3">
      <c r="A1769" s="15" t="s">
        <v>41</v>
      </c>
      <c r="B1769" s="7" t="s">
        <v>19</v>
      </c>
      <c r="C1769" s="7" t="s">
        <v>12</v>
      </c>
      <c r="D1769" s="7" t="s">
        <v>219</v>
      </c>
      <c r="E1769" s="13">
        <f t="shared" ca="1" si="27"/>
        <v>45978</v>
      </c>
      <c r="F1769" s="7" t="s">
        <v>33</v>
      </c>
      <c r="G1769" s="8">
        <v>1</v>
      </c>
      <c r="H1769" s="9">
        <v>45000</v>
      </c>
      <c r="I1769" s="9">
        <v>42421</v>
      </c>
      <c r="J1769" s="17">
        <v>7636</v>
      </c>
    </row>
    <row r="1770" spans="1:10" x14ac:dyDescent="0.3">
      <c r="A1770" s="14" t="s">
        <v>10</v>
      </c>
      <c r="B1770" s="4" t="s">
        <v>25</v>
      </c>
      <c r="C1770" s="4" t="s">
        <v>26</v>
      </c>
      <c r="D1770" s="4" t="s">
        <v>95</v>
      </c>
      <c r="E1770" s="13">
        <f t="shared" ca="1" si="27"/>
        <v>45854</v>
      </c>
      <c r="F1770" s="4" t="s">
        <v>21</v>
      </c>
      <c r="G1770" s="5">
        <v>2</v>
      </c>
      <c r="H1770" s="6">
        <v>12500</v>
      </c>
      <c r="I1770" s="6">
        <v>25694</v>
      </c>
      <c r="J1770" s="16">
        <v>2056</v>
      </c>
    </row>
    <row r="1771" spans="1:10" x14ac:dyDescent="0.3">
      <c r="A1771" s="15" t="s">
        <v>15</v>
      </c>
      <c r="B1771" s="7" t="s">
        <v>81</v>
      </c>
      <c r="C1771" s="7" t="s">
        <v>26</v>
      </c>
      <c r="D1771" s="7" t="s">
        <v>110</v>
      </c>
      <c r="E1771" s="13">
        <f t="shared" ca="1" si="27"/>
        <v>45815</v>
      </c>
      <c r="F1771" s="7" t="s">
        <v>21</v>
      </c>
      <c r="G1771" s="8">
        <v>6</v>
      </c>
      <c r="H1771" s="9">
        <v>12500</v>
      </c>
      <c r="I1771" s="9">
        <v>79003</v>
      </c>
      <c r="J1771" s="17">
        <v>6320</v>
      </c>
    </row>
    <row r="1772" spans="1:10" x14ac:dyDescent="0.3">
      <c r="A1772" s="14" t="s">
        <v>10</v>
      </c>
      <c r="B1772" s="4" t="s">
        <v>56</v>
      </c>
      <c r="C1772" s="4" t="s">
        <v>23</v>
      </c>
      <c r="D1772" s="4" t="s">
        <v>205</v>
      </c>
      <c r="E1772" s="13">
        <f t="shared" ca="1" si="27"/>
        <v>45999</v>
      </c>
      <c r="F1772" s="4" t="s">
        <v>33</v>
      </c>
      <c r="G1772" s="5">
        <v>6</v>
      </c>
      <c r="H1772" s="6">
        <v>45000</v>
      </c>
      <c r="I1772" s="6">
        <v>261642</v>
      </c>
      <c r="J1772" s="16">
        <v>47096</v>
      </c>
    </row>
    <row r="1773" spans="1:10" x14ac:dyDescent="0.3">
      <c r="A1773" s="15" t="s">
        <v>41</v>
      </c>
      <c r="B1773" s="7" t="s">
        <v>31</v>
      </c>
      <c r="C1773" s="7" t="s">
        <v>12</v>
      </c>
      <c r="D1773" s="7" t="s">
        <v>189</v>
      </c>
      <c r="E1773" s="13">
        <f t="shared" ca="1" si="27"/>
        <v>45977</v>
      </c>
      <c r="F1773" s="7" t="s">
        <v>33</v>
      </c>
      <c r="G1773" s="8">
        <v>8</v>
      </c>
      <c r="H1773" s="9">
        <v>45000</v>
      </c>
      <c r="I1773" s="9">
        <v>372824</v>
      </c>
      <c r="J1773" s="17">
        <v>67108</v>
      </c>
    </row>
    <row r="1774" spans="1:10" x14ac:dyDescent="0.3">
      <c r="A1774" s="14" t="s">
        <v>37</v>
      </c>
      <c r="B1774" s="4" t="s">
        <v>31</v>
      </c>
      <c r="C1774" s="4" t="s">
        <v>12</v>
      </c>
      <c r="D1774" s="4" t="s">
        <v>204</v>
      </c>
      <c r="E1774" s="13">
        <f t="shared" ca="1" si="27"/>
        <v>45728</v>
      </c>
      <c r="F1774" s="4" t="s">
        <v>14</v>
      </c>
      <c r="G1774" s="5">
        <v>3</v>
      </c>
      <c r="H1774" s="6">
        <v>18500</v>
      </c>
      <c r="I1774" s="6">
        <v>50348</v>
      </c>
      <c r="J1774" s="16">
        <v>6042</v>
      </c>
    </row>
    <row r="1775" spans="1:10" x14ac:dyDescent="0.3">
      <c r="A1775" s="15" t="s">
        <v>10</v>
      </c>
      <c r="B1775" s="7" t="s">
        <v>19</v>
      </c>
      <c r="C1775" s="7" t="s">
        <v>12</v>
      </c>
      <c r="D1775" s="7" t="s">
        <v>221</v>
      </c>
      <c r="E1775" s="13">
        <f t="shared" ca="1" si="27"/>
        <v>45925</v>
      </c>
      <c r="F1775" s="7" t="s">
        <v>36</v>
      </c>
      <c r="G1775" s="8">
        <v>5</v>
      </c>
      <c r="H1775" s="9">
        <v>55000</v>
      </c>
      <c r="I1775" s="9">
        <v>267838</v>
      </c>
      <c r="J1775" s="17">
        <v>58924</v>
      </c>
    </row>
    <row r="1776" spans="1:10" x14ac:dyDescent="0.3">
      <c r="A1776" s="14" t="s">
        <v>37</v>
      </c>
      <c r="B1776" s="4" t="s">
        <v>29</v>
      </c>
      <c r="C1776" s="4" t="s">
        <v>26</v>
      </c>
      <c r="D1776" s="4" t="s">
        <v>59</v>
      </c>
      <c r="E1776" s="13">
        <f t="shared" ca="1" si="27"/>
        <v>45670</v>
      </c>
      <c r="F1776" s="4" t="s">
        <v>21</v>
      </c>
      <c r="G1776" s="5">
        <v>7</v>
      </c>
      <c r="H1776" s="6">
        <v>12500</v>
      </c>
      <c r="I1776" s="6">
        <v>82158</v>
      </c>
      <c r="J1776" s="16">
        <v>6573</v>
      </c>
    </row>
    <row r="1777" spans="1:10" x14ac:dyDescent="0.3">
      <c r="A1777" s="15" t="s">
        <v>37</v>
      </c>
      <c r="B1777" s="7" t="s">
        <v>51</v>
      </c>
      <c r="C1777" s="7" t="s">
        <v>12</v>
      </c>
      <c r="D1777" s="7" t="s">
        <v>104</v>
      </c>
      <c r="E1777" s="13">
        <f t="shared" ca="1" si="27"/>
        <v>46015</v>
      </c>
      <c r="F1777" s="7" t="s">
        <v>14</v>
      </c>
      <c r="G1777" s="8">
        <v>3</v>
      </c>
      <c r="H1777" s="9">
        <v>18500</v>
      </c>
      <c r="I1777" s="9">
        <v>60965</v>
      </c>
      <c r="J1777" s="17">
        <v>7316</v>
      </c>
    </row>
    <row r="1778" spans="1:10" x14ac:dyDescent="0.3">
      <c r="A1778" s="14" t="s">
        <v>18</v>
      </c>
      <c r="B1778" s="4" t="s">
        <v>31</v>
      </c>
      <c r="C1778" s="4" t="s">
        <v>12</v>
      </c>
      <c r="D1778" s="4" t="s">
        <v>137</v>
      </c>
      <c r="E1778" s="13">
        <f t="shared" ca="1" si="27"/>
        <v>45658</v>
      </c>
      <c r="F1778" s="4" t="s">
        <v>14</v>
      </c>
      <c r="G1778" s="5">
        <v>5</v>
      </c>
      <c r="H1778" s="6">
        <v>18500</v>
      </c>
      <c r="I1778" s="6">
        <v>93575</v>
      </c>
      <c r="J1778" s="16">
        <v>11229</v>
      </c>
    </row>
    <row r="1779" spans="1:10" x14ac:dyDescent="0.3">
      <c r="A1779" s="15" t="s">
        <v>41</v>
      </c>
      <c r="B1779" s="7" t="s">
        <v>56</v>
      </c>
      <c r="C1779" s="7" t="s">
        <v>23</v>
      </c>
      <c r="D1779" s="7" t="s">
        <v>248</v>
      </c>
      <c r="E1779" s="13">
        <f t="shared" ca="1" si="27"/>
        <v>45829</v>
      </c>
      <c r="F1779" s="7" t="s">
        <v>33</v>
      </c>
      <c r="G1779" s="8">
        <v>5</v>
      </c>
      <c r="H1779" s="9">
        <v>45000</v>
      </c>
      <c r="I1779" s="9">
        <v>238179</v>
      </c>
      <c r="J1779" s="17">
        <v>42872</v>
      </c>
    </row>
    <row r="1780" spans="1:10" x14ac:dyDescent="0.3">
      <c r="A1780" s="14" t="s">
        <v>18</v>
      </c>
      <c r="B1780" s="4" t="s">
        <v>81</v>
      </c>
      <c r="C1780" s="4" t="s">
        <v>26</v>
      </c>
      <c r="D1780" s="4" t="s">
        <v>134</v>
      </c>
      <c r="E1780" s="13">
        <f t="shared" ca="1" si="27"/>
        <v>46015</v>
      </c>
      <c r="F1780" s="4" t="s">
        <v>21</v>
      </c>
      <c r="G1780" s="5">
        <v>8</v>
      </c>
      <c r="H1780" s="6">
        <v>12500</v>
      </c>
      <c r="I1780" s="6">
        <v>103093</v>
      </c>
      <c r="J1780" s="16">
        <v>8247</v>
      </c>
    </row>
    <row r="1781" spans="1:10" x14ac:dyDescent="0.3">
      <c r="A1781" s="15" t="s">
        <v>15</v>
      </c>
      <c r="B1781" s="7" t="s">
        <v>81</v>
      </c>
      <c r="C1781" s="7" t="s">
        <v>26</v>
      </c>
      <c r="D1781" s="7" t="s">
        <v>239</v>
      </c>
      <c r="E1781" s="13">
        <f t="shared" ca="1" si="27"/>
        <v>45938</v>
      </c>
      <c r="F1781" s="7" t="s">
        <v>36</v>
      </c>
      <c r="G1781" s="8">
        <v>3</v>
      </c>
      <c r="H1781" s="9">
        <v>55000</v>
      </c>
      <c r="I1781" s="9">
        <v>174444</v>
      </c>
      <c r="J1781" s="17">
        <v>38378</v>
      </c>
    </row>
    <row r="1782" spans="1:10" x14ac:dyDescent="0.3">
      <c r="A1782" s="14" t="s">
        <v>41</v>
      </c>
      <c r="B1782" s="4" t="s">
        <v>77</v>
      </c>
      <c r="C1782" s="4" t="s">
        <v>12</v>
      </c>
      <c r="D1782" s="4" t="s">
        <v>165</v>
      </c>
      <c r="E1782" s="13">
        <f t="shared" ca="1" si="27"/>
        <v>45951</v>
      </c>
      <c r="F1782" s="4" t="s">
        <v>36</v>
      </c>
      <c r="G1782" s="5">
        <v>5</v>
      </c>
      <c r="H1782" s="6">
        <v>55000</v>
      </c>
      <c r="I1782" s="6">
        <v>276138</v>
      </c>
      <c r="J1782" s="16">
        <v>60750</v>
      </c>
    </row>
    <row r="1783" spans="1:10" x14ac:dyDescent="0.3">
      <c r="A1783" s="15" t="s">
        <v>37</v>
      </c>
      <c r="B1783" s="7" t="s">
        <v>84</v>
      </c>
      <c r="C1783" s="7" t="s">
        <v>12</v>
      </c>
      <c r="D1783" s="7" t="s">
        <v>225</v>
      </c>
      <c r="E1783" s="13">
        <f t="shared" ca="1" si="27"/>
        <v>45765</v>
      </c>
      <c r="F1783" s="7" t="s">
        <v>36</v>
      </c>
      <c r="G1783" s="8">
        <v>2</v>
      </c>
      <c r="H1783" s="9">
        <v>55000</v>
      </c>
      <c r="I1783" s="9">
        <v>113250</v>
      </c>
      <c r="J1783" s="17">
        <v>24915</v>
      </c>
    </row>
    <row r="1784" spans="1:10" x14ac:dyDescent="0.3">
      <c r="A1784" s="14" t="s">
        <v>10</v>
      </c>
      <c r="B1784" s="4" t="s">
        <v>88</v>
      </c>
      <c r="C1784" s="4" t="s">
        <v>12</v>
      </c>
      <c r="D1784" s="4" t="s">
        <v>146</v>
      </c>
      <c r="E1784" s="13">
        <f t="shared" ca="1" si="27"/>
        <v>45781</v>
      </c>
      <c r="F1784" s="4" t="s">
        <v>21</v>
      </c>
      <c r="G1784" s="5">
        <v>5</v>
      </c>
      <c r="H1784" s="6">
        <v>12500</v>
      </c>
      <c r="I1784" s="6">
        <v>59867</v>
      </c>
      <c r="J1784" s="16">
        <v>4789</v>
      </c>
    </row>
    <row r="1785" spans="1:10" x14ac:dyDescent="0.3">
      <c r="A1785" s="15" t="s">
        <v>15</v>
      </c>
      <c r="B1785" s="7" t="s">
        <v>77</v>
      </c>
      <c r="C1785" s="7" t="s">
        <v>12</v>
      </c>
      <c r="D1785" s="7" t="s">
        <v>89</v>
      </c>
      <c r="E1785" s="13">
        <f t="shared" ca="1" si="27"/>
        <v>45708</v>
      </c>
      <c r="F1785" s="7" t="s">
        <v>40</v>
      </c>
      <c r="G1785" s="8">
        <v>3</v>
      </c>
      <c r="H1785" s="9">
        <v>15000</v>
      </c>
      <c r="I1785" s="9">
        <v>44906</v>
      </c>
      <c r="J1785" s="17">
        <v>4491</v>
      </c>
    </row>
    <row r="1786" spans="1:10" x14ac:dyDescent="0.3">
      <c r="A1786" s="14" t="s">
        <v>18</v>
      </c>
      <c r="B1786" s="4" t="s">
        <v>81</v>
      </c>
      <c r="C1786" s="4" t="s">
        <v>26</v>
      </c>
      <c r="D1786" s="4" t="s">
        <v>103</v>
      </c>
      <c r="E1786" s="13">
        <f t="shared" ca="1" si="27"/>
        <v>45956</v>
      </c>
      <c r="F1786" s="4" t="s">
        <v>33</v>
      </c>
      <c r="G1786" s="5">
        <v>6</v>
      </c>
      <c r="H1786" s="6">
        <v>45000</v>
      </c>
      <c r="I1786" s="6">
        <v>256293</v>
      </c>
      <c r="J1786" s="16">
        <v>46133</v>
      </c>
    </row>
    <row r="1787" spans="1:10" x14ac:dyDescent="0.3">
      <c r="A1787" s="15" t="s">
        <v>18</v>
      </c>
      <c r="B1787" s="7" t="s">
        <v>46</v>
      </c>
      <c r="C1787" s="7" t="s">
        <v>26</v>
      </c>
      <c r="D1787" s="7" t="s">
        <v>82</v>
      </c>
      <c r="E1787" s="13">
        <f t="shared" ca="1" si="27"/>
        <v>45738</v>
      </c>
      <c r="F1787" s="7" t="s">
        <v>36</v>
      </c>
      <c r="G1787" s="8">
        <v>10</v>
      </c>
      <c r="H1787" s="9">
        <v>55000</v>
      </c>
      <c r="I1787" s="9">
        <v>576677</v>
      </c>
      <c r="J1787" s="17">
        <v>126869</v>
      </c>
    </row>
    <row r="1788" spans="1:10" x14ac:dyDescent="0.3">
      <c r="A1788" s="14" t="s">
        <v>37</v>
      </c>
      <c r="B1788" s="4" t="s">
        <v>38</v>
      </c>
      <c r="C1788" s="4" t="s">
        <v>23</v>
      </c>
      <c r="D1788" s="4" t="s">
        <v>61</v>
      </c>
      <c r="E1788" s="13">
        <f t="shared" ca="1" si="27"/>
        <v>45868</v>
      </c>
      <c r="F1788" s="4" t="s">
        <v>36</v>
      </c>
      <c r="G1788" s="5">
        <v>1</v>
      </c>
      <c r="H1788" s="6">
        <v>55000</v>
      </c>
      <c r="I1788" s="6">
        <v>50566</v>
      </c>
      <c r="J1788" s="16">
        <v>11125</v>
      </c>
    </row>
    <row r="1789" spans="1:10" x14ac:dyDescent="0.3">
      <c r="A1789" s="15" t="s">
        <v>10</v>
      </c>
      <c r="B1789" s="7" t="s">
        <v>56</v>
      </c>
      <c r="C1789" s="7" t="s">
        <v>23</v>
      </c>
      <c r="D1789" s="7" t="s">
        <v>159</v>
      </c>
      <c r="E1789" s="13">
        <f t="shared" ca="1" si="27"/>
        <v>45672</v>
      </c>
      <c r="F1789" s="7" t="s">
        <v>33</v>
      </c>
      <c r="G1789" s="8">
        <v>4</v>
      </c>
      <c r="H1789" s="9">
        <v>45000</v>
      </c>
      <c r="I1789" s="9">
        <v>184966</v>
      </c>
      <c r="J1789" s="17">
        <v>33294</v>
      </c>
    </row>
    <row r="1790" spans="1:10" x14ac:dyDescent="0.3">
      <c r="A1790" s="14" t="s">
        <v>15</v>
      </c>
      <c r="B1790" s="4" t="s">
        <v>51</v>
      </c>
      <c r="C1790" s="4" t="s">
        <v>12</v>
      </c>
      <c r="D1790" s="4" t="s">
        <v>48</v>
      </c>
      <c r="E1790" s="13">
        <f t="shared" ca="1" si="27"/>
        <v>45878</v>
      </c>
      <c r="F1790" s="4" t="s">
        <v>33</v>
      </c>
      <c r="G1790" s="5">
        <v>1</v>
      </c>
      <c r="H1790" s="6">
        <v>45000</v>
      </c>
      <c r="I1790" s="6">
        <v>46596</v>
      </c>
      <c r="J1790" s="16">
        <v>8387</v>
      </c>
    </row>
    <row r="1791" spans="1:10" x14ac:dyDescent="0.3">
      <c r="A1791" s="15" t="s">
        <v>41</v>
      </c>
      <c r="B1791" s="7" t="s">
        <v>19</v>
      </c>
      <c r="C1791" s="7" t="s">
        <v>12</v>
      </c>
      <c r="D1791" s="7" t="s">
        <v>13</v>
      </c>
      <c r="E1791" s="13">
        <f t="shared" ca="1" si="27"/>
        <v>45804</v>
      </c>
      <c r="F1791" s="7" t="s">
        <v>33</v>
      </c>
      <c r="G1791" s="8">
        <v>2</v>
      </c>
      <c r="H1791" s="9">
        <v>45000</v>
      </c>
      <c r="I1791" s="9">
        <v>87401</v>
      </c>
      <c r="J1791" s="17">
        <v>15732</v>
      </c>
    </row>
    <row r="1792" spans="1:10" x14ac:dyDescent="0.3">
      <c r="A1792" s="14" t="s">
        <v>15</v>
      </c>
      <c r="B1792" s="4" t="s">
        <v>38</v>
      </c>
      <c r="C1792" s="4" t="s">
        <v>23</v>
      </c>
      <c r="D1792" s="4" t="s">
        <v>63</v>
      </c>
      <c r="E1792" s="13">
        <f t="shared" ca="1" si="27"/>
        <v>45774</v>
      </c>
      <c r="F1792" s="4" t="s">
        <v>36</v>
      </c>
      <c r="G1792" s="5">
        <v>7</v>
      </c>
      <c r="H1792" s="6">
        <v>55000</v>
      </c>
      <c r="I1792" s="6">
        <v>373490</v>
      </c>
      <c r="J1792" s="16">
        <v>82168</v>
      </c>
    </row>
    <row r="1793" spans="1:10" x14ac:dyDescent="0.3">
      <c r="A1793" s="15" t="s">
        <v>41</v>
      </c>
      <c r="B1793" s="7" t="s">
        <v>29</v>
      </c>
      <c r="C1793" s="7" t="s">
        <v>26</v>
      </c>
      <c r="D1793" s="7" t="s">
        <v>63</v>
      </c>
      <c r="E1793" s="13">
        <f t="shared" ca="1" si="27"/>
        <v>45804</v>
      </c>
      <c r="F1793" s="7" t="s">
        <v>21</v>
      </c>
      <c r="G1793" s="8">
        <v>3</v>
      </c>
      <c r="H1793" s="9">
        <v>12500</v>
      </c>
      <c r="I1793" s="9">
        <v>40580</v>
      </c>
      <c r="J1793" s="17">
        <v>3246</v>
      </c>
    </row>
    <row r="1794" spans="1:10" x14ac:dyDescent="0.3">
      <c r="A1794" s="14" t="s">
        <v>18</v>
      </c>
      <c r="B1794" s="4" t="s">
        <v>31</v>
      </c>
      <c r="C1794" s="4" t="s">
        <v>12</v>
      </c>
      <c r="D1794" s="4" t="s">
        <v>146</v>
      </c>
      <c r="E1794" s="13">
        <f t="shared" ca="1" si="27"/>
        <v>45777</v>
      </c>
      <c r="F1794" s="4" t="s">
        <v>40</v>
      </c>
      <c r="G1794" s="5">
        <v>4</v>
      </c>
      <c r="H1794" s="6">
        <v>15000</v>
      </c>
      <c r="I1794" s="6">
        <v>54086</v>
      </c>
      <c r="J1794" s="16">
        <v>5409</v>
      </c>
    </row>
    <row r="1795" spans="1:10" x14ac:dyDescent="0.3">
      <c r="A1795" s="15" t="s">
        <v>15</v>
      </c>
      <c r="B1795" s="7" t="s">
        <v>56</v>
      </c>
      <c r="C1795" s="7" t="s">
        <v>23</v>
      </c>
      <c r="D1795" s="7" t="s">
        <v>101</v>
      </c>
      <c r="E1795" s="13">
        <f t="shared" ref="E1795:E1858" ca="1" si="28">DATE(2025,1,1)+RANDBETWEEN(0,364)</f>
        <v>45863</v>
      </c>
      <c r="F1795" s="7" t="s">
        <v>36</v>
      </c>
      <c r="G1795" s="8">
        <v>10</v>
      </c>
      <c r="H1795" s="9">
        <v>55000</v>
      </c>
      <c r="I1795" s="9">
        <v>518445</v>
      </c>
      <c r="J1795" s="17">
        <v>114058</v>
      </c>
    </row>
    <row r="1796" spans="1:10" x14ac:dyDescent="0.3">
      <c r="A1796" s="14" t="s">
        <v>41</v>
      </c>
      <c r="B1796" s="4" t="s">
        <v>56</v>
      </c>
      <c r="C1796" s="4" t="s">
        <v>23</v>
      </c>
      <c r="D1796" s="4" t="s">
        <v>223</v>
      </c>
      <c r="E1796" s="13">
        <f t="shared" ca="1" si="28"/>
        <v>45675</v>
      </c>
      <c r="F1796" s="4" t="s">
        <v>14</v>
      </c>
      <c r="G1796" s="5">
        <v>2</v>
      </c>
      <c r="H1796" s="6">
        <v>18500</v>
      </c>
      <c r="I1796" s="6">
        <v>36511</v>
      </c>
      <c r="J1796" s="16">
        <v>4381</v>
      </c>
    </row>
    <row r="1797" spans="1:10" x14ac:dyDescent="0.3">
      <c r="A1797" s="15" t="s">
        <v>37</v>
      </c>
      <c r="B1797" s="7" t="s">
        <v>84</v>
      </c>
      <c r="C1797" s="7" t="s">
        <v>12</v>
      </c>
      <c r="D1797" s="7" t="s">
        <v>141</v>
      </c>
      <c r="E1797" s="13">
        <f t="shared" ca="1" si="28"/>
        <v>45828</v>
      </c>
      <c r="F1797" s="7" t="s">
        <v>36</v>
      </c>
      <c r="G1797" s="8">
        <v>3</v>
      </c>
      <c r="H1797" s="9">
        <v>55000</v>
      </c>
      <c r="I1797" s="9">
        <v>164732</v>
      </c>
      <c r="J1797" s="17">
        <v>36241</v>
      </c>
    </row>
    <row r="1798" spans="1:10" x14ac:dyDescent="0.3">
      <c r="A1798" s="14" t="s">
        <v>37</v>
      </c>
      <c r="B1798" s="4" t="s">
        <v>51</v>
      </c>
      <c r="C1798" s="4" t="s">
        <v>12</v>
      </c>
      <c r="D1798" s="4" t="s">
        <v>13</v>
      </c>
      <c r="E1798" s="13">
        <f t="shared" ca="1" si="28"/>
        <v>45661</v>
      </c>
      <c r="F1798" s="4" t="s">
        <v>36</v>
      </c>
      <c r="G1798" s="5">
        <v>3</v>
      </c>
      <c r="H1798" s="6">
        <v>55000</v>
      </c>
      <c r="I1798" s="6">
        <v>154321</v>
      </c>
      <c r="J1798" s="16">
        <v>33951</v>
      </c>
    </row>
    <row r="1799" spans="1:10" x14ac:dyDescent="0.3">
      <c r="A1799" s="15" t="s">
        <v>10</v>
      </c>
      <c r="B1799" s="7" t="s">
        <v>25</v>
      </c>
      <c r="C1799" s="7" t="s">
        <v>26</v>
      </c>
      <c r="D1799" s="7" t="s">
        <v>212</v>
      </c>
      <c r="E1799" s="13">
        <f t="shared" ca="1" si="28"/>
        <v>45776</v>
      </c>
      <c r="F1799" s="7" t="s">
        <v>36</v>
      </c>
      <c r="G1799" s="8">
        <v>10</v>
      </c>
      <c r="H1799" s="9">
        <v>55000</v>
      </c>
      <c r="I1799" s="9">
        <v>588258</v>
      </c>
      <c r="J1799" s="17">
        <v>129417</v>
      </c>
    </row>
    <row r="1800" spans="1:10" x14ac:dyDescent="0.3">
      <c r="A1800" s="14" t="s">
        <v>41</v>
      </c>
      <c r="B1800" s="4" t="s">
        <v>22</v>
      </c>
      <c r="C1800" s="4" t="s">
        <v>23</v>
      </c>
      <c r="D1800" s="4" t="s">
        <v>66</v>
      </c>
      <c r="E1800" s="13">
        <f t="shared" ca="1" si="28"/>
        <v>45693</v>
      </c>
      <c r="F1800" s="4" t="s">
        <v>33</v>
      </c>
      <c r="G1800" s="5">
        <v>6</v>
      </c>
      <c r="H1800" s="6">
        <v>45000</v>
      </c>
      <c r="I1800" s="6">
        <v>280465</v>
      </c>
      <c r="J1800" s="16">
        <v>50484</v>
      </c>
    </row>
    <row r="1801" spans="1:10" x14ac:dyDescent="0.3">
      <c r="A1801" s="15" t="s">
        <v>10</v>
      </c>
      <c r="B1801" s="7" t="s">
        <v>31</v>
      </c>
      <c r="C1801" s="7" t="s">
        <v>12</v>
      </c>
      <c r="D1801" s="7" t="s">
        <v>114</v>
      </c>
      <c r="E1801" s="13">
        <f t="shared" ca="1" si="28"/>
        <v>45954</v>
      </c>
      <c r="F1801" s="7" t="s">
        <v>36</v>
      </c>
      <c r="G1801" s="8">
        <v>6</v>
      </c>
      <c r="H1801" s="9">
        <v>55000</v>
      </c>
      <c r="I1801" s="9">
        <v>343221</v>
      </c>
      <c r="J1801" s="17">
        <v>75509</v>
      </c>
    </row>
    <row r="1802" spans="1:10" x14ac:dyDescent="0.3">
      <c r="A1802" s="14" t="s">
        <v>41</v>
      </c>
      <c r="B1802" s="4" t="s">
        <v>51</v>
      </c>
      <c r="C1802" s="4" t="s">
        <v>12</v>
      </c>
      <c r="D1802" s="4" t="s">
        <v>173</v>
      </c>
      <c r="E1802" s="13">
        <f t="shared" ca="1" si="28"/>
        <v>45855</v>
      </c>
      <c r="F1802" s="4" t="s">
        <v>14</v>
      </c>
      <c r="G1802" s="5">
        <v>3</v>
      </c>
      <c r="H1802" s="6">
        <v>18500</v>
      </c>
      <c r="I1802" s="6">
        <v>53442</v>
      </c>
      <c r="J1802" s="16">
        <v>6413</v>
      </c>
    </row>
    <row r="1803" spans="1:10" x14ac:dyDescent="0.3">
      <c r="A1803" s="15" t="s">
        <v>41</v>
      </c>
      <c r="B1803" s="7" t="s">
        <v>29</v>
      </c>
      <c r="C1803" s="7" t="s">
        <v>26</v>
      </c>
      <c r="D1803" s="7" t="s">
        <v>250</v>
      </c>
      <c r="E1803" s="13">
        <f t="shared" ca="1" si="28"/>
        <v>45814</v>
      </c>
      <c r="F1803" s="7" t="s">
        <v>33</v>
      </c>
      <c r="G1803" s="8">
        <v>7</v>
      </c>
      <c r="H1803" s="9">
        <v>45000</v>
      </c>
      <c r="I1803" s="9">
        <v>286855</v>
      </c>
      <c r="J1803" s="17">
        <v>51634</v>
      </c>
    </row>
    <row r="1804" spans="1:10" x14ac:dyDescent="0.3">
      <c r="A1804" s="14" t="s">
        <v>10</v>
      </c>
      <c r="B1804" s="4" t="s">
        <v>51</v>
      </c>
      <c r="C1804" s="4" t="s">
        <v>12</v>
      </c>
      <c r="D1804" s="4" t="s">
        <v>110</v>
      </c>
      <c r="E1804" s="13">
        <f t="shared" ca="1" si="28"/>
        <v>45827</v>
      </c>
      <c r="F1804" s="4" t="s">
        <v>14</v>
      </c>
      <c r="G1804" s="5">
        <v>4</v>
      </c>
      <c r="H1804" s="6">
        <v>18500</v>
      </c>
      <c r="I1804" s="6">
        <v>76417</v>
      </c>
      <c r="J1804" s="16">
        <v>9170</v>
      </c>
    </row>
    <row r="1805" spans="1:10" x14ac:dyDescent="0.3">
      <c r="A1805" s="15" t="s">
        <v>10</v>
      </c>
      <c r="B1805" s="7" t="s">
        <v>11</v>
      </c>
      <c r="C1805" s="7" t="s">
        <v>12</v>
      </c>
      <c r="D1805" s="7" t="s">
        <v>200</v>
      </c>
      <c r="E1805" s="13">
        <f t="shared" ca="1" si="28"/>
        <v>45900</v>
      </c>
      <c r="F1805" s="7" t="s">
        <v>33</v>
      </c>
      <c r="G1805" s="8">
        <v>3</v>
      </c>
      <c r="H1805" s="9">
        <v>45000</v>
      </c>
      <c r="I1805" s="9">
        <v>148307</v>
      </c>
      <c r="J1805" s="17">
        <v>26695</v>
      </c>
    </row>
    <row r="1806" spans="1:10" x14ac:dyDescent="0.3">
      <c r="A1806" s="14" t="s">
        <v>15</v>
      </c>
      <c r="B1806" s="4" t="s">
        <v>51</v>
      </c>
      <c r="C1806" s="4" t="s">
        <v>12</v>
      </c>
      <c r="D1806" s="4" t="s">
        <v>233</v>
      </c>
      <c r="E1806" s="13">
        <f t="shared" ca="1" si="28"/>
        <v>45750</v>
      </c>
      <c r="F1806" s="4" t="s">
        <v>21</v>
      </c>
      <c r="G1806" s="5">
        <v>3</v>
      </c>
      <c r="H1806" s="6">
        <v>12500</v>
      </c>
      <c r="I1806" s="6">
        <v>35522</v>
      </c>
      <c r="J1806" s="16">
        <v>2842</v>
      </c>
    </row>
    <row r="1807" spans="1:10" x14ac:dyDescent="0.3">
      <c r="A1807" s="15" t="s">
        <v>18</v>
      </c>
      <c r="B1807" s="7" t="s">
        <v>22</v>
      </c>
      <c r="C1807" s="7" t="s">
        <v>23</v>
      </c>
      <c r="D1807" s="7" t="s">
        <v>175</v>
      </c>
      <c r="E1807" s="13">
        <f t="shared" ca="1" si="28"/>
        <v>45790</v>
      </c>
      <c r="F1807" s="7" t="s">
        <v>33</v>
      </c>
      <c r="G1807" s="8">
        <v>5</v>
      </c>
      <c r="H1807" s="9">
        <v>45000</v>
      </c>
      <c r="I1807" s="9">
        <v>243731</v>
      </c>
      <c r="J1807" s="17">
        <v>43872</v>
      </c>
    </row>
    <row r="1808" spans="1:10" x14ac:dyDescent="0.3">
      <c r="A1808" s="14" t="s">
        <v>10</v>
      </c>
      <c r="B1808" s="4" t="s">
        <v>88</v>
      </c>
      <c r="C1808" s="4" t="s">
        <v>12</v>
      </c>
      <c r="D1808" s="4" t="s">
        <v>152</v>
      </c>
      <c r="E1808" s="13">
        <f t="shared" ca="1" si="28"/>
        <v>45794</v>
      </c>
      <c r="F1808" s="4" t="s">
        <v>33</v>
      </c>
      <c r="G1808" s="5">
        <v>4</v>
      </c>
      <c r="H1808" s="6">
        <v>45000</v>
      </c>
      <c r="I1808" s="6">
        <v>175303</v>
      </c>
      <c r="J1808" s="16">
        <v>31555</v>
      </c>
    </row>
    <row r="1809" spans="1:10" x14ac:dyDescent="0.3">
      <c r="A1809" s="15" t="s">
        <v>37</v>
      </c>
      <c r="B1809" s="7" t="s">
        <v>46</v>
      </c>
      <c r="C1809" s="7" t="s">
        <v>26</v>
      </c>
      <c r="D1809" s="7" t="s">
        <v>233</v>
      </c>
      <c r="E1809" s="13">
        <f t="shared" ca="1" si="28"/>
        <v>45774</v>
      </c>
      <c r="F1809" s="7" t="s">
        <v>33</v>
      </c>
      <c r="G1809" s="8">
        <v>6</v>
      </c>
      <c r="H1809" s="9">
        <v>45000</v>
      </c>
      <c r="I1809" s="9">
        <v>249675</v>
      </c>
      <c r="J1809" s="17">
        <v>44942</v>
      </c>
    </row>
    <row r="1810" spans="1:10" x14ac:dyDescent="0.3">
      <c r="A1810" s="14" t="s">
        <v>41</v>
      </c>
      <c r="B1810" s="4" t="s">
        <v>77</v>
      </c>
      <c r="C1810" s="4" t="s">
        <v>12</v>
      </c>
      <c r="D1810" s="4" t="s">
        <v>236</v>
      </c>
      <c r="E1810" s="13">
        <f t="shared" ca="1" si="28"/>
        <v>45836</v>
      </c>
      <c r="F1810" s="4" t="s">
        <v>36</v>
      </c>
      <c r="G1810" s="5">
        <v>9</v>
      </c>
      <c r="H1810" s="6">
        <v>55000</v>
      </c>
      <c r="I1810" s="6">
        <v>531352</v>
      </c>
      <c r="J1810" s="16">
        <v>116897</v>
      </c>
    </row>
    <row r="1811" spans="1:10" x14ac:dyDescent="0.3">
      <c r="A1811" s="15" t="s">
        <v>41</v>
      </c>
      <c r="B1811" s="7" t="s">
        <v>81</v>
      </c>
      <c r="C1811" s="7" t="s">
        <v>26</v>
      </c>
      <c r="D1811" s="7" t="s">
        <v>190</v>
      </c>
      <c r="E1811" s="13">
        <f t="shared" ca="1" si="28"/>
        <v>45711</v>
      </c>
      <c r="F1811" s="7" t="s">
        <v>14</v>
      </c>
      <c r="G1811" s="8">
        <v>2</v>
      </c>
      <c r="H1811" s="9">
        <v>18500</v>
      </c>
      <c r="I1811" s="9">
        <v>34017</v>
      </c>
      <c r="J1811" s="17">
        <v>4082</v>
      </c>
    </row>
    <row r="1812" spans="1:10" x14ac:dyDescent="0.3">
      <c r="A1812" s="14" t="s">
        <v>18</v>
      </c>
      <c r="B1812" s="4" t="s">
        <v>19</v>
      </c>
      <c r="C1812" s="4" t="s">
        <v>12</v>
      </c>
      <c r="D1812" s="4" t="s">
        <v>197</v>
      </c>
      <c r="E1812" s="13">
        <f t="shared" ca="1" si="28"/>
        <v>45816</v>
      </c>
      <c r="F1812" s="4" t="s">
        <v>40</v>
      </c>
      <c r="G1812" s="5">
        <v>5</v>
      </c>
      <c r="H1812" s="6">
        <v>15000</v>
      </c>
      <c r="I1812" s="6">
        <v>74750</v>
      </c>
      <c r="J1812" s="16">
        <v>7475</v>
      </c>
    </row>
    <row r="1813" spans="1:10" x14ac:dyDescent="0.3">
      <c r="A1813" s="15" t="s">
        <v>15</v>
      </c>
      <c r="B1813" s="7" t="s">
        <v>29</v>
      </c>
      <c r="C1813" s="7" t="s">
        <v>26</v>
      </c>
      <c r="D1813" s="7" t="s">
        <v>255</v>
      </c>
      <c r="E1813" s="13">
        <f t="shared" ca="1" si="28"/>
        <v>45946</v>
      </c>
      <c r="F1813" s="7" t="s">
        <v>40</v>
      </c>
      <c r="G1813" s="8">
        <v>5</v>
      </c>
      <c r="H1813" s="9">
        <v>15000</v>
      </c>
      <c r="I1813" s="9">
        <v>78002</v>
      </c>
      <c r="J1813" s="17">
        <v>7800</v>
      </c>
    </row>
    <row r="1814" spans="1:10" x14ac:dyDescent="0.3">
      <c r="A1814" s="14" t="s">
        <v>18</v>
      </c>
      <c r="B1814" s="4" t="s">
        <v>29</v>
      </c>
      <c r="C1814" s="4" t="s">
        <v>26</v>
      </c>
      <c r="D1814" s="4" t="s">
        <v>259</v>
      </c>
      <c r="E1814" s="13">
        <f t="shared" ca="1" si="28"/>
        <v>45823</v>
      </c>
      <c r="F1814" s="4" t="s">
        <v>21</v>
      </c>
      <c r="G1814" s="5">
        <v>2</v>
      </c>
      <c r="H1814" s="6">
        <v>12500</v>
      </c>
      <c r="I1814" s="6">
        <v>24484</v>
      </c>
      <c r="J1814" s="16">
        <v>1959</v>
      </c>
    </row>
    <row r="1815" spans="1:10" x14ac:dyDescent="0.3">
      <c r="A1815" s="15" t="s">
        <v>37</v>
      </c>
      <c r="B1815" s="7" t="s">
        <v>16</v>
      </c>
      <c r="C1815" s="7" t="s">
        <v>12</v>
      </c>
      <c r="D1815" s="7" t="s">
        <v>194</v>
      </c>
      <c r="E1815" s="13">
        <f t="shared" ca="1" si="28"/>
        <v>45801</v>
      </c>
      <c r="F1815" s="7" t="s">
        <v>33</v>
      </c>
      <c r="G1815" s="8">
        <v>2</v>
      </c>
      <c r="H1815" s="9">
        <v>45000</v>
      </c>
      <c r="I1815" s="9">
        <v>82091</v>
      </c>
      <c r="J1815" s="17">
        <v>14776</v>
      </c>
    </row>
    <row r="1816" spans="1:10" x14ac:dyDescent="0.3">
      <c r="A1816" s="14" t="s">
        <v>15</v>
      </c>
      <c r="B1816" s="4" t="s">
        <v>22</v>
      </c>
      <c r="C1816" s="4" t="s">
        <v>23</v>
      </c>
      <c r="D1816" s="4" t="s">
        <v>150</v>
      </c>
      <c r="E1816" s="13">
        <f t="shared" ca="1" si="28"/>
        <v>45962</v>
      </c>
      <c r="F1816" s="4" t="s">
        <v>33</v>
      </c>
      <c r="G1816" s="5">
        <v>8</v>
      </c>
      <c r="H1816" s="6">
        <v>45000</v>
      </c>
      <c r="I1816" s="6">
        <v>376133</v>
      </c>
      <c r="J1816" s="16">
        <v>67704</v>
      </c>
    </row>
    <row r="1817" spans="1:10" x14ac:dyDescent="0.3">
      <c r="A1817" s="15" t="s">
        <v>41</v>
      </c>
      <c r="B1817" s="7" t="s">
        <v>77</v>
      </c>
      <c r="C1817" s="7" t="s">
        <v>12</v>
      </c>
      <c r="D1817" s="7" t="s">
        <v>153</v>
      </c>
      <c r="E1817" s="13">
        <f t="shared" ca="1" si="28"/>
        <v>46010</v>
      </c>
      <c r="F1817" s="7" t="s">
        <v>33</v>
      </c>
      <c r="G1817" s="8">
        <v>6</v>
      </c>
      <c r="H1817" s="9">
        <v>45000</v>
      </c>
      <c r="I1817" s="9">
        <v>296140</v>
      </c>
      <c r="J1817" s="17">
        <v>53305</v>
      </c>
    </row>
    <row r="1818" spans="1:10" x14ac:dyDescent="0.3">
      <c r="A1818" s="14" t="s">
        <v>37</v>
      </c>
      <c r="B1818" s="4" t="s">
        <v>46</v>
      </c>
      <c r="C1818" s="4" t="s">
        <v>26</v>
      </c>
      <c r="D1818" s="4" t="s">
        <v>119</v>
      </c>
      <c r="E1818" s="13">
        <f t="shared" ca="1" si="28"/>
        <v>45911</v>
      </c>
      <c r="F1818" s="4" t="s">
        <v>33</v>
      </c>
      <c r="G1818" s="5">
        <v>7</v>
      </c>
      <c r="H1818" s="6">
        <v>45000</v>
      </c>
      <c r="I1818" s="6">
        <v>319813</v>
      </c>
      <c r="J1818" s="16">
        <v>57566</v>
      </c>
    </row>
    <row r="1819" spans="1:10" x14ac:dyDescent="0.3">
      <c r="A1819" s="15" t="s">
        <v>41</v>
      </c>
      <c r="B1819" s="7" t="s">
        <v>38</v>
      </c>
      <c r="C1819" s="7" t="s">
        <v>23</v>
      </c>
      <c r="D1819" s="7" t="s">
        <v>223</v>
      </c>
      <c r="E1819" s="13">
        <f t="shared" ca="1" si="28"/>
        <v>45786</v>
      </c>
      <c r="F1819" s="7" t="s">
        <v>40</v>
      </c>
      <c r="G1819" s="8">
        <v>1</v>
      </c>
      <c r="H1819" s="9">
        <v>15000</v>
      </c>
      <c r="I1819" s="9">
        <v>15322</v>
      </c>
      <c r="J1819" s="17">
        <v>1532</v>
      </c>
    </row>
    <row r="1820" spans="1:10" x14ac:dyDescent="0.3">
      <c r="A1820" s="14" t="s">
        <v>37</v>
      </c>
      <c r="B1820" s="4" t="s">
        <v>77</v>
      </c>
      <c r="C1820" s="4" t="s">
        <v>12</v>
      </c>
      <c r="D1820" s="4" t="s">
        <v>240</v>
      </c>
      <c r="E1820" s="13">
        <f t="shared" ca="1" si="28"/>
        <v>45832</v>
      </c>
      <c r="F1820" s="4" t="s">
        <v>40</v>
      </c>
      <c r="G1820" s="5">
        <v>3</v>
      </c>
      <c r="H1820" s="6">
        <v>15000</v>
      </c>
      <c r="I1820" s="6">
        <v>44196</v>
      </c>
      <c r="J1820" s="16">
        <v>4420</v>
      </c>
    </row>
    <row r="1821" spans="1:10" x14ac:dyDescent="0.3">
      <c r="A1821" s="15" t="s">
        <v>18</v>
      </c>
      <c r="B1821" s="7" t="s">
        <v>19</v>
      </c>
      <c r="C1821" s="7" t="s">
        <v>12</v>
      </c>
      <c r="D1821" s="7" t="s">
        <v>154</v>
      </c>
      <c r="E1821" s="13">
        <f t="shared" ca="1" si="28"/>
        <v>45986</v>
      </c>
      <c r="F1821" s="7" t="s">
        <v>21</v>
      </c>
      <c r="G1821" s="8">
        <v>3</v>
      </c>
      <c r="H1821" s="9">
        <v>12500</v>
      </c>
      <c r="I1821" s="9">
        <v>39706</v>
      </c>
      <c r="J1821" s="17">
        <v>3176</v>
      </c>
    </row>
    <row r="1822" spans="1:10" x14ac:dyDescent="0.3">
      <c r="A1822" s="14" t="s">
        <v>15</v>
      </c>
      <c r="B1822" s="4" t="s">
        <v>25</v>
      </c>
      <c r="C1822" s="4" t="s">
        <v>26</v>
      </c>
      <c r="D1822" s="4" t="s">
        <v>252</v>
      </c>
      <c r="E1822" s="13">
        <f t="shared" ca="1" si="28"/>
        <v>45818</v>
      </c>
      <c r="F1822" s="4" t="s">
        <v>14</v>
      </c>
      <c r="G1822" s="5">
        <v>3</v>
      </c>
      <c r="H1822" s="6">
        <v>18500</v>
      </c>
      <c r="I1822" s="6">
        <v>57394</v>
      </c>
      <c r="J1822" s="16">
        <v>6887</v>
      </c>
    </row>
    <row r="1823" spans="1:10" x14ac:dyDescent="0.3">
      <c r="A1823" s="15" t="s">
        <v>15</v>
      </c>
      <c r="B1823" s="7" t="s">
        <v>77</v>
      </c>
      <c r="C1823" s="7" t="s">
        <v>12</v>
      </c>
      <c r="D1823" s="7" t="s">
        <v>221</v>
      </c>
      <c r="E1823" s="13">
        <f t="shared" ca="1" si="28"/>
        <v>45833</v>
      </c>
      <c r="F1823" s="7" t="s">
        <v>14</v>
      </c>
      <c r="G1823" s="8">
        <v>2</v>
      </c>
      <c r="H1823" s="9">
        <v>18500</v>
      </c>
      <c r="I1823" s="9">
        <v>34060</v>
      </c>
      <c r="J1823" s="17">
        <v>4087</v>
      </c>
    </row>
    <row r="1824" spans="1:10" x14ac:dyDescent="0.3">
      <c r="A1824" s="14" t="s">
        <v>41</v>
      </c>
      <c r="B1824" s="4" t="s">
        <v>77</v>
      </c>
      <c r="C1824" s="4" t="s">
        <v>12</v>
      </c>
      <c r="D1824" s="4" t="s">
        <v>173</v>
      </c>
      <c r="E1824" s="13">
        <f t="shared" ca="1" si="28"/>
        <v>45810</v>
      </c>
      <c r="F1824" s="4" t="s">
        <v>21</v>
      </c>
      <c r="G1824" s="5">
        <v>6</v>
      </c>
      <c r="H1824" s="6">
        <v>12500</v>
      </c>
      <c r="I1824" s="6">
        <v>75957</v>
      </c>
      <c r="J1824" s="16">
        <v>6077</v>
      </c>
    </row>
    <row r="1825" spans="1:10" x14ac:dyDescent="0.3">
      <c r="A1825" s="15" t="s">
        <v>41</v>
      </c>
      <c r="B1825" s="7" t="s">
        <v>77</v>
      </c>
      <c r="C1825" s="7" t="s">
        <v>12</v>
      </c>
      <c r="D1825" s="7" t="s">
        <v>201</v>
      </c>
      <c r="E1825" s="13">
        <f t="shared" ca="1" si="28"/>
        <v>45868</v>
      </c>
      <c r="F1825" s="7" t="s">
        <v>40</v>
      </c>
      <c r="G1825" s="8">
        <v>8</v>
      </c>
      <c r="H1825" s="9">
        <v>15000</v>
      </c>
      <c r="I1825" s="9">
        <v>125340</v>
      </c>
      <c r="J1825" s="17">
        <v>12534</v>
      </c>
    </row>
    <row r="1826" spans="1:10" x14ac:dyDescent="0.3">
      <c r="A1826" s="14" t="s">
        <v>18</v>
      </c>
      <c r="B1826" s="4" t="s">
        <v>25</v>
      </c>
      <c r="C1826" s="4" t="s">
        <v>26</v>
      </c>
      <c r="D1826" s="4" t="s">
        <v>244</v>
      </c>
      <c r="E1826" s="13">
        <f t="shared" ca="1" si="28"/>
        <v>45888</v>
      </c>
      <c r="F1826" s="4" t="s">
        <v>21</v>
      </c>
      <c r="G1826" s="5">
        <v>9</v>
      </c>
      <c r="H1826" s="6">
        <v>12500</v>
      </c>
      <c r="I1826" s="6">
        <v>101569</v>
      </c>
      <c r="J1826" s="16">
        <v>8126</v>
      </c>
    </row>
    <row r="1827" spans="1:10" x14ac:dyDescent="0.3">
      <c r="A1827" s="15" t="s">
        <v>15</v>
      </c>
      <c r="B1827" s="7" t="s">
        <v>46</v>
      </c>
      <c r="C1827" s="7" t="s">
        <v>26</v>
      </c>
      <c r="D1827" s="7" t="s">
        <v>196</v>
      </c>
      <c r="E1827" s="13">
        <f t="shared" ca="1" si="28"/>
        <v>45776</v>
      </c>
      <c r="F1827" s="7" t="s">
        <v>40</v>
      </c>
      <c r="G1827" s="8">
        <v>4</v>
      </c>
      <c r="H1827" s="9">
        <v>15000</v>
      </c>
      <c r="I1827" s="9">
        <v>59753</v>
      </c>
      <c r="J1827" s="17">
        <v>5975</v>
      </c>
    </row>
    <row r="1828" spans="1:10" x14ac:dyDescent="0.3">
      <c r="A1828" s="14" t="s">
        <v>10</v>
      </c>
      <c r="B1828" s="4" t="s">
        <v>84</v>
      </c>
      <c r="C1828" s="4" t="s">
        <v>12</v>
      </c>
      <c r="D1828" s="4" t="s">
        <v>168</v>
      </c>
      <c r="E1828" s="13">
        <f t="shared" ca="1" si="28"/>
        <v>45909</v>
      </c>
      <c r="F1828" s="4" t="s">
        <v>36</v>
      </c>
      <c r="G1828" s="5">
        <v>8</v>
      </c>
      <c r="H1828" s="6">
        <v>55000</v>
      </c>
      <c r="I1828" s="6">
        <v>406291</v>
      </c>
      <c r="J1828" s="16">
        <v>89384</v>
      </c>
    </row>
    <row r="1829" spans="1:10" x14ac:dyDescent="0.3">
      <c r="A1829" s="15" t="s">
        <v>15</v>
      </c>
      <c r="B1829" s="7" t="s">
        <v>22</v>
      </c>
      <c r="C1829" s="7" t="s">
        <v>23</v>
      </c>
      <c r="D1829" s="7" t="s">
        <v>141</v>
      </c>
      <c r="E1829" s="13">
        <f t="shared" ca="1" si="28"/>
        <v>45837</v>
      </c>
      <c r="F1829" s="7" t="s">
        <v>36</v>
      </c>
      <c r="G1829" s="8">
        <v>6</v>
      </c>
      <c r="H1829" s="9">
        <v>55000</v>
      </c>
      <c r="I1829" s="9">
        <v>360737</v>
      </c>
      <c r="J1829" s="17">
        <v>79362</v>
      </c>
    </row>
    <row r="1830" spans="1:10" x14ac:dyDescent="0.3">
      <c r="A1830" s="14" t="s">
        <v>41</v>
      </c>
      <c r="B1830" s="4" t="s">
        <v>11</v>
      </c>
      <c r="C1830" s="4" t="s">
        <v>12</v>
      </c>
      <c r="D1830" s="4" t="s">
        <v>145</v>
      </c>
      <c r="E1830" s="13">
        <f t="shared" ca="1" si="28"/>
        <v>45872</v>
      </c>
      <c r="F1830" s="4" t="s">
        <v>33</v>
      </c>
      <c r="G1830" s="5">
        <v>3</v>
      </c>
      <c r="H1830" s="6">
        <v>45000</v>
      </c>
      <c r="I1830" s="6">
        <v>140976</v>
      </c>
      <c r="J1830" s="16">
        <v>25376</v>
      </c>
    </row>
    <row r="1831" spans="1:10" x14ac:dyDescent="0.3">
      <c r="A1831" s="15" t="s">
        <v>18</v>
      </c>
      <c r="B1831" s="7" t="s">
        <v>38</v>
      </c>
      <c r="C1831" s="7" t="s">
        <v>23</v>
      </c>
      <c r="D1831" s="7" t="s">
        <v>171</v>
      </c>
      <c r="E1831" s="13">
        <f t="shared" ca="1" si="28"/>
        <v>45882</v>
      </c>
      <c r="F1831" s="7" t="s">
        <v>33</v>
      </c>
      <c r="G1831" s="8">
        <v>10</v>
      </c>
      <c r="H1831" s="9">
        <v>45000</v>
      </c>
      <c r="I1831" s="9">
        <v>462148</v>
      </c>
      <c r="J1831" s="17">
        <v>83187</v>
      </c>
    </row>
    <row r="1832" spans="1:10" x14ac:dyDescent="0.3">
      <c r="A1832" s="14" t="s">
        <v>37</v>
      </c>
      <c r="B1832" s="4" t="s">
        <v>77</v>
      </c>
      <c r="C1832" s="4" t="s">
        <v>12</v>
      </c>
      <c r="D1832" s="4" t="s">
        <v>173</v>
      </c>
      <c r="E1832" s="13">
        <f t="shared" ca="1" si="28"/>
        <v>45815</v>
      </c>
      <c r="F1832" s="4" t="s">
        <v>40</v>
      </c>
      <c r="G1832" s="5">
        <v>2</v>
      </c>
      <c r="H1832" s="6">
        <v>15000</v>
      </c>
      <c r="I1832" s="6">
        <v>27229</v>
      </c>
      <c r="J1832" s="16">
        <v>2723</v>
      </c>
    </row>
    <row r="1833" spans="1:10" x14ac:dyDescent="0.3">
      <c r="A1833" s="15" t="s">
        <v>10</v>
      </c>
      <c r="B1833" s="7" t="s">
        <v>22</v>
      </c>
      <c r="C1833" s="7" t="s">
        <v>23</v>
      </c>
      <c r="D1833" s="7" t="s">
        <v>219</v>
      </c>
      <c r="E1833" s="13">
        <f t="shared" ca="1" si="28"/>
        <v>45995</v>
      </c>
      <c r="F1833" s="7" t="s">
        <v>33</v>
      </c>
      <c r="G1833" s="8">
        <v>8</v>
      </c>
      <c r="H1833" s="9">
        <v>45000</v>
      </c>
      <c r="I1833" s="9">
        <v>381527</v>
      </c>
      <c r="J1833" s="17">
        <v>68675</v>
      </c>
    </row>
    <row r="1834" spans="1:10" x14ac:dyDescent="0.3">
      <c r="A1834" s="14" t="s">
        <v>41</v>
      </c>
      <c r="B1834" s="4" t="s">
        <v>56</v>
      </c>
      <c r="C1834" s="4" t="s">
        <v>23</v>
      </c>
      <c r="D1834" s="4" t="s">
        <v>58</v>
      </c>
      <c r="E1834" s="13">
        <f t="shared" ca="1" si="28"/>
        <v>45676</v>
      </c>
      <c r="F1834" s="4" t="s">
        <v>36</v>
      </c>
      <c r="G1834" s="5">
        <v>3</v>
      </c>
      <c r="H1834" s="6">
        <v>55000</v>
      </c>
      <c r="I1834" s="6">
        <v>162986</v>
      </c>
      <c r="J1834" s="16">
        <v>35857</v>
      </c>
    </row>
    <row r="1835" spans="1:10" x14ac:dyDescent="0.3">
      <c r="A1835" s="15" t="s">
        <v>37</v>
      </c>
      <c r="B1835" s="7" t="s">
        <v>19</v>
      </c>
      <c r="C1835" s="7" t="s">
        <v>12</v>
      </c>
      <c r="D1835" s="7" t="s">
        <v>127</v>
      </c>
      <c r="E1835" s="13">
        <f t="shared" ca="1" si="28"/>
        <v>45952</v>
      </c>
      <c r="F1835" s="7" t="s">
        <v>36</v>
      </c>
      <c r="G1835" s="8">
        <v>6</v>
      </c>
      <c r="H1835" s="9">
        <v>55000</v>
      </c>
      <c r="I1835" s="9">
        <v>317576</v>
      </c>
      <c r="J1835" s="17">
        <v>69867</v>
      </c>
    </row>
    <row r="1836" spans="1:10" x14ac:dyDescent="0.3">
      <c r="A1836" s="14" t="s">
        <v>37</v>
      </c>
      <c r="B1836" s="4" t="s">
        <v>38</v>
      </c>
      <c r="C1836" s="4" t="s">
        <v>23</v>
      </c>
      <c r="D1836" s="4" t="s">
        <v>226</v>
      </c>
      <c r="E1836" s="13">
        <f t="shared" ca="1" si="28"/>
        <v>46013</v>
      </c>
      <c r="F1836" s="4" t="s">
        <v>36</v>
      </c>
      <c r="G1836" s="5">
        <v>8</v>
      </c>
      <c r="H1836" s="6">
        <v>55000</v>
      </c>
      <c r="I1836" s="6">
        <v>450151</v>
      </c>
      <c r="J1836" s="16">
        <v>99033</v>
      </c>
    </row>
    <row r="1837" spans="1:10" x14ac:dyDescent="0.3">
      <c r="A1837" s="15" t="s">
        <v>41</v>
      </c>
      <c r="B1837" s="7" t="s">
        <v>88</v>
      </c>
      <c r="C1837" s="7" t="s">
        <v>12</v>
      </c>
      <c r="D1837" s="7" t="s">
        <v>255</v>
      </c>
      <c r="E1837" s="13">
        <f t="shared" ca="1" si="28"/>
        <v>45909</v>
      </c>
      <c r="F1837" s="7" t="s">
        <v>21</v>
      </c>
      <c r="G1837" s="8">
        <v>3</v>
      </c>
      <c r="H1837" s="9">
        <v>12500</v>
      </c>
      <c r="I1837" s="9">
        <v>35842</v>
      </c>
      <c r="J1837" s="17">
        <v>2867</v>
      </c>
    </row>
    <row r="1838" spans="1:10" x14ac:dyDescent="0.3">
      <c r="A1838" s="14" t="s">
        <v>10</v>
      </c>
      <c r="B1838" s="4" t="s">
        <v>38</v>
      </c>
      <c r="C1838" s="4" t="s">
        <v>23</v>
      </c>
      <c r="D1838" s="4" t="s">
        <v>111</v>
      </c>
      <c r="E1838" s="13">
        <f t="shared" ca="1" si="28"/>
        <v>45780</v>
      </c>
      <c r="F1838" s="4" t="s">
        <v>40</v>
      </c>
      <c r="G1838" s="5">
        <v>8</v>
      </c>
      <c r="H1838" s="6">
        <v>15000</v>
      </c>
      <c r="I1838" s="6">
        <v>123146</v>
      </c>
      <c r="J1838" s="16">
        <v>12315</v>
      </c>
    </row>
    <row r="1839" spans="1:10" x14ac:dyDescent="0.3">
      <c r="A1839" s="15" t="s">
        <v>15</v>
      </c>
      <c r="B1839" s="7" t="s">
        <v>19</v>
      </c>
      <c r="C1839" s="7" t="s">
        <v>12</v>
      </c>
      <c r="D1839" s="7" t="s">
        <v>259</v>
      </c>
      <c r="E1839" s="13">
        <f t="shared" ca="1" si="28"/>
        <v>46012</v>
      </c>
      <c r="F1839" s="7" t="s">
        <v>40</v>
      </c>
      <c r="G1839" s="8">
        <v>6</v>
      </c>
      <c r="H1839" s="9">
        <v>15000</v>
      </c>
      <c r="I1839" s="9">
        <v>84427</v>
      </c>
      <c r="J1839" s="17">
        <v>8443</v>
      </c>
    </row>
    <row r="1840" spans="1:10" x14ac:dyDescent="0.3">
      <c r="A1840" s="14" t="s">
        <v>37</v>
      </c>
      <c r="B1840" s="4" t="s">
        <v>88</v>
      </c>
      <c r="C1840" s="4" t="s">
        <v>12</v>
      </c>
      <c r="D1840" s="4" t="s">
        <v>75</v>
      </c>
      <c r="E1840" s="13">
        <f t="shared" ca="1" si="28"/>
        <v>46007</v>
      </c>
      <c r="F1840" s="4" t="s">
        <v>33</v>
      </c>
      <c r="G1840" s="5">
        <v>8</v>
      </c>
      <c r="H1840" s="6">
        <v>45000</v>
      </c>
      <c r="I1840" s="6">
        <v>387999</v>
      </c>
      <c r="J1840" s="16">
        <v>69840</v>
      </c>
    </row>
    <row r="1841" spans="1:10" x14ac:dyDescent="0.3">
      <c r="A1841" s="15" t="s">
        <v>10</v>
      </c>
      <c r="B1841" s="7" t="s">
        <v>46</v>
      </c>
      <c r="C1841" s="7" t="s">
        <v>26</v>
      </c>
      <c r="D1841" s="7" t="s">
        <v>53</v>
      </c>
      <c r="E1841" s="13">
        <f t="shared" ca="1" si="28"/>
        <v>45671</v>
      </c>
      <c r="F1841" s="7" t="s">
        <v>14</v>
      </c>
      <c r="G1841" s="8">
        <v>1</v>
      </c>
      <c r="H1841" s="9">
        <v>18500</v>
      </c>
      <c r="I1841" s="9">
        <v>19629</v>
      </c>
      <c r="J1841" s="17">
        <v>2355</v>
      </c>
    </row>
    <row r="1842" spans="1:10" x14ac:dyDescent="0.3">
      <c r="A1842" s="14" t="s">
        <v>15</v>
      </c>
      <c r="B1842" s="4" t="s">
        <v>31</v>
      </c>
      <c r="C1842" s="4" t="s">
        <v>12</v>
      </c>
      <c r="D1842" s="4" t="s">
        <v>248</v>
      </c>
      <c r="E1842" s="13">
        <f t="shared" ca="1" si="28"/>
        <v>45861</v>
      </c>
      <c r="F1842" s="4" t="s">
        <v>21</v>
      </c>
      <c r="G1842" s="5">
        <v>6</v>
      </c>
      <c r="H1842" s="6">
        <v>12500</v>
      </c>
      <c r="I1842" s="6">
        <v>73123</v>
      </c>
      <c r="J1842" s="16">
        <v>5850</v>
      </c>
    </row>
    <row r="1843" spans="1:10" x14ac:dyDescent="0.3">
      <c r="A1843" s="15" t="s">
        <v>10</v>
      </c>
      <c r="B1843" s="7" t="s">
        <v>19</v>
      </c>
      <c r="C1843" s="7" t="s">
        <v>12</v>
      </c>
      <c r="D1843" s="7" t="s">
        <v>143</v>
      </c>
      <c r="E1843" s="13">
        <f t="shared" ca="1" si="28"/>
        <v>46000</v>
      </c>
      <c r="F1843" s="7" t="s">
        <v>21</v>
      </c>
      <c r="G1843" s="8">
        <v>6</v>
      </c>
      <c r="H1843" s="9">
        <v>12500</v>
      </c>
      <c r="I1843" s="9">
        <v>80697</v>
      </c>
      <c r="J1843" s="17">
        <v>6456</v>
      </c>
    </row>
    <row r="1844" spans="1:10" x14ac:dyDescent="0.3">
      <c r="A1844" s="14" t="s">
        <v>41</v>
      </c>
      <c r="B1844" s="4" t="s">
        <v>19</v>
      </c>
      <c r="C1844" s="4" t="s">
        <v>12</v>
      </c>
      <c r="D1844" s="4" t="s">
        <v>99</v>
      </c>
      <c r="E1844" s="13">
        <f t="shared" ca="1" si="28"/>
        <v>45743</v>
      </c>
      <c r="F1844" s="4" t="s">
        <v>33</v>
      </c>
      <c r="G1844" s="5">
        <v>9</v>
      </c>
      <c r="H1844" s="6">
        <v>45000</v>
      </c>
      <c r="I1844" s="6">
        <v>376894</v>
      </c>
      <c r="J1844" s="16">
        <v>67841</v>
      </c>
    </row>
    <row r="1845" spans="1:10" x14ac:dyDescent="0.3">
      <c r="A1845" s="15" t="s">
        <v>37</v>
      </c>
      <c r="B1845" s="7" t="s">
        <v>19</v>
      </c>
      <c r="C1845" s="7" t="s">
        <v>12</v>
      </c>
      <c r="D1845" s="7" t="s">
        <v>135</v>
      </c>
      <c r="E1845" s="13">
        <f t="shared" ca="1" si="28"/>
        <v>45690</v>
      </c>
      <c r="F1845" s="7" t="s">
        <v>33</v>
      </c>
      <c r="G1845" s="8">
        <v>3</v>
      </c>
      <c r="H1845" s="9">
        <v>45000</v>
      </c>
      <c r="I1845" s="9">
        <v>123733</v>
      </c>
      <c r="J1845" s="17">
        <v>22272</v>
      </c>
    </row>
    <row r="1846" spans="1:10" x14ac:dyDescent="0.3">
      <c r="A1846" s="14" t="s">
        <v>37</v>
      </c>
      <c r="B1846" s="4" t="s">
        <v>31</v>
      </c>
      <c r="C1846" s="4" t="s">
        <v>12</v>
      </c>
      <c r="D1846" s="4" t="s">
        <v>227</v>
      </c>
      <c r="E1846" s="13">
        <f t="shared" ca="1" si="28"/>
        <v>45735</v>
      </c>
      <c r="F1846" s="4" t="s">
        <v>21</v>
      </c>
      <c r="G1846" s="5">
        <v>1</v>
      </c>
      <c r="H1846" s="6">
        <v>12500</v>
      </c>
      <c r="I1846" s="6">
        <v>12264</v>
      </c>
      <c r="J1846" s="16">
        <v>981</v>
      </c>
    </row>
    <row r="1847" spans="1:10" x14ac:dyDescent="0.3">
      <c r="A1847" s="15" t="s">
        <v>41</v>
      </c>
      <c r="B1847" s="7" t="s">
        <v>77</v>
      </c>
      <c r="C1847" s="7" t="s">
        <v>12</v>
      </c>
      <c r="D1847" s="7" t="s">
        <v>145</v>
      </c>
      <c r="E1847" s="13">
        <f t="shared" ca="1" si="28"/>
        <v>45856</v>
      </c>
      <c r="F1847" s="7" t="s">
        <v>14</v>
      </c>
      <c r="G1847" s="8">
        <v>10</v>
      </c>
      <c r="H1847" s="9">
        <v>18500</v>
      </c>
      <c r="I1847" s="9">
        <v>174596</v>
      </c>
      <c r="J1847" s="17">
        <v>20952</v>
      </c>
    </row>
    <row r="1848" spans="1:10" x14ac:dyDescent="0.3">
      <c r="A1848" s="14" t="s">
        <v>41</v>
      </c>
      <c r="B1848" s="4" t="s">
        <v>22</v>
      </c>
      <c r="C1848" s="4" t="s">
        <v>23</v>
      </c>
      <c r="D1848" s="4" t="s">
        <v>224</v>
      </c>
      <c r="E1848" s="13">
        <f t="shared" ca="1" si="28"/>
        <v>45835</v>
      </c>
      <c r="F1848" s="4" t="s">
        <v>40</v>
      </c>
      <c r="G1848" s="5">
        <v>10</v>
      </c>
      <c r="H1848" s="6">
        <v>15000</v>
      </c>
      <c r="I1848" s="6">
        <v>145129</v>
      </c>
      <c r="J1848" s="16">
        <v>14513</v>
      </c>
    </row>
    <row r="1849" spans="1:10" x14ac:dyDescent="0.3">
      <c r="A1849" s="15" t="s">
        <v>37</v>
      </c>
      <c r="B1849" s="7" t="s">
        <v>16</v>
      </c>
      <c r="C1849" s="7" t="s">
        <v>12</v>
      </c>
      <c r="D1849" s="7" t="s">
        <v>187</v>
      </c>
      <c r="E1849" s="13">
        <f t="shared" ca="1" si="28"/>
        <v>45860</v>
      </c>
      <c r="F1849" s="7" t="s">
        <v>33</v>
      </c>
      <c r="G1849" s="8">
        <v>5</v>
      </c>
      <c r="H1849" s="9">
        <v>45000</v>
      </c>
      <c r="I1849" s="9">
        <v>219260</v>
      </c>
      <c r="J1849" s="17">
        <v>39467</v>
      </c>
    </row>
    <row r="1850" spans="1:10" x14ac:dyDescent="0.3">
      <c r="A1850" s="14" t="s">
        <v>41</v>
      </c>
      <c r="B1850" s="4" t="s">
        <v>25</v>
      </c>
      <c r="C1850" s="4" t="s">
        <v>26</v>
      </c>
      <c r="D1850" s="4" t="s">
        <v>247</v>
      </c>
      <c r="E1850" s="13">
        <f t="shared" ca="1" si="28"/>
        <v>45713</v>
      </c>
      <c r="F1850" s="4" t="s">
        <v>21</v>
      </c>
      <c r="G1850" s="5">
        <v>8</v>
      </c>
      <c r="H1850" s="6">
        <v>12500</v>
      </c>
      <c r="I1850" s="6">
        <v>99804</v>
      </c>
      <c r="J1850" s="16">
        <v>7984</v>
      </c>
    </row>
    <row r="1851" spans="1:10" x14ac:dyDescent="0.3">
      <c r="A1851" s="15" t="s">
        <v>10</v>
      </c>
      <c r="B1851" s="7" t="s">
        <v>84</v>
      </c>
      <c r="C1851" s="7" t="s">
        <v>12</v>
      </c>
      <c r="D1851" s="7" t="s">
        <v>249</v>
      </c>
      <c r="E1851" s="13">
        <f t="shared" ca="1" si="28"/>
        <v>45856</v>
      </c>
      <c r="F1851" s="7" t="s">
        <v>36</v>
      </c>
      <c r="G1851" s="8">
        <v>3</v>
      </c>
      <c r="H1851" s="9">
        <v>55000</v>
      </c>
      <c r="I1851" s="9">
        <v>171812</v>
      </c>
      <c r="J1851" s="17">
        <v>37799</v>
      </c>
    </row>
    <row r="1852" spans="1:10" x14ac:dyDescent="0.3">
      <c r="A1852" s="14" t="s">
        <v>37</v>
      </c>
      <c r="B1852" s="4" t="s">
        <v>25</v>
      </c>
      <c r="C1852" s="4" t="s">
        <v>26</v>
      </c>
      <c r="D1852" s="4" t="s">
        <v>222</v>
      </c>
      <c r="E1852" s="13">
        <f t="shared" ca="1" si="28"/>
        <v>45675</v>
      </c>
      <c r="F1852" s="4" t="s">
        <v>33</v>
      </c>
      <c r="G1852" s="5">
        <v>10</v>
      </c>
      <c r="H1852" s="6">
        <v>45000</v>
      </c>
      <c r="I1852" s="6">
        <v>405904</v>
      </c>
      <c r="J1852" s="16">
        <v>73063</v>
      </c>
    </row>
    <row r="1853" spans="1:10" x14ac:dyDescent="0.3">
      <c r="A1853" s="15" t="s">
        <v>18</v>
      </c>
      <c r="B1853" s="7" t="s">
        <v>51</v>
      </c>
      <c r="C1853" s="7" t="s">
        <v>12</v>
      </c>
      <c r="D1853" s="7" t="s">
        <v>149</v>
      </c>
      <c r="E1853" s="13">
        <f t="shared" ca="1" si="28"/>
        <v>45859</v>
      </c>
      <c r="F1853" s="7" t="s">
        <v>36</v>
      </c>
      <c r="G1853" s="8">
        <v>3</v>
      </c>
      <c r="H1853" s="9">
        <v>55000</v>
      </c>
      <c r="I1853" s="9">
        <v>154651</v>
      </c>
      <c r="J1853" s="17">
        <v>34023</v>
      </c>
    </row>
    <row r="1854" spans="1:10" x14ac:dyDescent="0.3">
      <c r="A1854" s="14" t="s">
        <v>37</v>
      </c>
      <c r="B1854" s="4" t="s">
        <v>11</v>
      </c>
      <c r="C1854" s="4" t="s">
        <v>12</v>
      </c>
      <c r="D1854" s="4" t="s">
        <v>80</v>
      </c>
      <c r="E1854" s="13">
        <f t="shared" ca="1" si="28"/>
        <v>45749</v>
      </c>
      <c r="F1854" s="4" t="s">
        <v>33</v>
      </c>
      <c r="G1854" s="5">
        <v>3</v>
      </c>
      <c r="H1854" s="6">
        <v>45000</v>
      </c>
      <c r="I1854" s="6">
        <v>121747</v>
      </c>
      <c r="J1854" s="16">
        <v>21914</v>
      </c>
    </row>
    <row r="1855" spans="1:10" x14ac:dyDescent="0.3">
      <c r="A1855" s="15" t="s">
        <v>10</v>
      </c>
      <c r="B1855" s="7" t="s">
        <v>19</v>
      </c>
      <c r="C1855" s="7" t="s">
        <v>12</v>
      </c>
      <c r="D1855" s="7" t="s">
        <v>110</v>
      </c>
      <c r="E1855" s="13">
        <f t="shared" ca="1" si="28"/>
        <v>45962</v>
      </c>
      <c r="F1855" s="7" t="s">
        <v>14</v>
      </c>
      <c r="G1855" s="8">
        <v>2</v>
      </c>
      <c r="H1855" s="9">
        <v>18500</v>
      </c>
      <c r="I1855" s="9">
        <v>35939</v>
      </c>
      <c r="J1855" s="17">
        <v>4313</v>
      </c>
    </row>
    <row r="1856" spans="1:10" x14ac:dyDescent="0.3">
      <c r="A1856" s="14" t="s">
        <v>15</v>
      </c>
      <c r="B1856" s="4" t="s">
        <v>29</v>
      </c>
      <c r="C1856" s="4" t="s">
        <v>26</v>
      </c>
      <c r="D1856" s="4" t="s">
        <v>244</v>
      </c>
      <c r="E1856" s="13">
        <f t="shared" ca="1" si="28"/>
        <v>45999</v>
      </c>
      <c r="F1856" s="4" t="s">
        <v>33</v>
      </c>
      <c r="G1856" s="5">
        <v>2</v>
      </c>
      <c r="H1856" s="6">
        <v>45000</v>
      </c>
      <c r="I1856" s="6">
        <v>89990</v>
      </c>
      <c r="J1856" s="16">
        <v>16198</v>
      </c>
    </row>
    <row r="1857" spans="1:10" x14ac:dyDescent="0.3">
      <c r="A1857" s="15" t="s">
        <v>10</v>
      </c>
      <c r="B1857" s="7" t="s">
        <v>22</v>
      </c>
      <c r="C1857" s="7" t="s">
        <v>23</v>
      </c>
      <c r="D1857" s="7" t="s">
        <v>185</v>
      </c>
      <c r="E1857" s="13">
        <f t="shared" ca="1" si="28"/>
        <v>45747</v>
      </c>
      <c r="F1857" s="7" t="s">
        <v>14</v>
      </c>
      <c r="G1857" s="8">
        <v>1</v>
      </c>
      <c r="H1857" s="9">
        <v>18500</v>
      </c>
      <c r="I1857" s="9">
        <v>17979</v>
      </c>
      <c r="J1857" s="17">
        <v>2157</v>
      </c>
    </row>
    <row r="1858" spans="1:10" x14ac:dyDescent="0.3">
      <c r="A1858" s="14" t="s">
        <v>41</v>
      </c>
      <c r="B1858" s="4" t="s">
        <v>77</v>
      </c>
      <c r="C1858" s="4" t="s">
        <v>12</v>
      </c>
      <c r="D1858" s="4" t="s">
        <v>261</v>
      </c>
      <c r="E1858" s="13">
        <f t="shared" ca="1" si="28"/>
        <v>45680</v>
      </c>
      <c r="F1858" s="4" t="s">
        <v>40</v>
      </c>
      <c r="G1858" s="5">
        <v>4</v>
      </c>
      <c r="H1858" s="6">
        <v>15000</v>
      </c>
      <c r="I1858" s="6">
        <v>61052</v>
      </c>
      <c r="J1858" s="16">
        <v>6105</v>
      </c>
    </row>
    <row r="1859" spans="1:10" x14ac:dyDescent="0.3">
      <c r="A1859" s="15" t="s">
        <v>37</v>
      </c>
      <c r="B1859" s="7" t="s">
        <v>88</v>
      </c>
      <c r="C1859" s="7" t="s">
        <v>12</v>
      </c>
      <c r="D1859" s="7" t="s">
        <v>42</v>
      </c>
      <c r="E1859" s="13">
        <f t="shared" ref="E1859:E1922" ca="1" si="29">DATE(2025,1,1)+RANDBETWEEN(0,364)</f>
        <v>45661</v>
      </c>
      <c r="F1859" s="7" t="s">
        <v>33</v>
      </c>
      <c r="G1859" s="8">
        <v>4</v>
      </c>
      <c r="H1859" s="9">
        <v>45000</v>
      </c>
      <c r="I1859" s="9">
        <v>173360</v>
      </c>
      <c r="J1859" s="17">
        <v>31205</v>
      </c>
    </row>
    <row r="1860" spans="1:10" x14ac:dyDescent="0.3">
      <c r="A1860" s="14" t="s">
        <v>37</v>
      </c>
      <c r="B1860" s="4" t="s">
        <v>25</v>
      </c>
      <c r="C1860" s="4" t="s">
        <v>26</v>
      </c>
      <c r="D1860" s="4" t="s">
        <v>28</v>
      </c>
      <c r="E1860" s="13">
        <f t="shared" ca="1" si="29"/>
        <v>45860</v>
      </c>
      <c r="F1860" s="4" t="s">
        <v>21</v>
      </c>
      <c r="G1860" s="5">
        <v>8</v>
      </c>
      <c r="H1860" s="6">
        <v>12500</v>
      </c>
      <c r="I1860" s="6">
        <v>94898</v>
      </c>
      <c r="J1860" s="16">
        <v>7592</v>
      </c>
    </row>
    <row r="1861" spans="1:10" x14ac:dyDescent="0.3">
      <c r="A1861" s="15" t="s">
        <v>37</v>
      </c>
      <c r="B1861" s="7" t="s">
        <v>38</v>
      </c>
      <c r="C1861" s="7" t="s">
        <v>23</v>
      </c>
      <c r="D1861" s="7" t="s">
        <v>235</v>
      </c>
      <c r="E1861" s="13">
        <f t="shared" ca="1" si="29"/>
        <v>45830</v>
      </c>
      <c r="F1861" s="7" t="s">
        <v>36</v>
      </c>
      <c r="G1861" s="8">
        <v>3</v>
      </c>
      <c r="H1861" s="9">
        <v>55000</v>
      </c>
      <c r="I1861" s="9">
        <v>172704</v>
      </c>
      <c r="J1861" s="17">
        <v>37995</v>
      </c>
    </row>
    <row r="1862" spans="1:10" x14ac:dyDescent="0.3">
      <c r="A1862" s="14" t="s">
        <v>10</v>
      </c>
      <c r="B1862" s="4" t="s">
        <v>46</v>
      </c>
      <c r="C1862" s="4" t="s">
        <v>26</v>
      </c>
      <c r="D1862" s="4" t="s">
        <v>207</v>
      </c>
      <c r="E1862" s="13">
        <f t="shared" ca="1" si="29"/>
        <v>46012</v>
      </c>
      <c r="F1862" s="4" t="s">
        <v>21</v>
      </c>
      <c r="G1862" s="5">
        <v>2</v>
      </c>
      <c r="H1862" s="6">
        <v>12500</v>
      </c>
      <c r="I1862" s="6">
        <v>27295</v>
      </c>
      <c r="J1862" s="16">
        <v>2184</v>
      </c>
    </row>
    <row r="1863" spans="1:10" x14ac:dyDescent="0.3">
      <c r="A1863" s="15" t="s">
        <v>15</v>
      </c>
      <c r="B1863" s="7" t="s">
        <v>31</v>
      </c>
      <c r="C1863" s="7" t="s">
        <v>12</v>
      </c>
      <c r="D1863" s="7" t="s">
        <v>215</v>
      </c>
      <c r="E1863" s="13">
        <f t="shared" ca="1" si="29"/>
        <v>45843</v>
      </c>
      <c r="F1863" s="7" t="s">
        <v>33</v>
      </c>
      <c r="G1863" s="8">
        <v>4</v>
      </c>
      <c r="H1863" s="9">
        <v>45000</v>
      </c>
      <c r="I1863" s="9">
        <v>193193</v>
      </c>
      <c r="J1863" s="17">
        <v>34775</v>
      </c>
    </row>
    <row r="1864" spans="1:10" x14ac:dyDescent="0.3">
      <c r="A1864" s="14" t="s">
        <v>37</v>
      </c>
      <c r="B1864" s="4" t="s">
        <v>38</v>
      </c>
      <c r="C1864" s="4" t="s">
        <v>23</v>
      </c>
      <c r="D1864" s="4" t="s">
        <v>120</v>
      </c>
      <c r="E1864" s="13">
        <f t="shared" ca="1" si="29"/>
        <v>45856</v>
      </c>
      <c r="F1864" s="4" t="s">
        <v>33</v>
      </c>
      <c r="G1864" s="5">
        <v>7</v>
      </c>
      <c r="H1864" s="6">
        <v>45000</v>
      </c>
      <c r="I1864" s="6">
        <v>284814</v>
      </c>
      <c r="J1864" s="16">
        <v>51267</v>
      </c>
    </row>
    <row r="1865" spans="1:10" x14ac:dyDescent="0.3">
      <c r="A1865" s="15" t="s">
        <v>37</v>
      </c>
      <c r="B1865" s="7" t="s">
        <v>81</v>
      </c>
      <c r="C1865" s="7" t="s">
        <v>26</v>
      </c>
      <c r="D1865" s="7" t="s">
        <v>44</v>
      </c>
      <c r="E1865" s="13">
        <f t="shared" ca="1" si="29"/>
        <v>45981</v>
      </c>
      <c r="F1865" s="7" t="s">
        <v>33</v>
      </c>
      <c r="G1865" s="8">
        <v>1</v>
      </c>
      <c r="H1865" s="9">
        <v>45000</v>
      </c>
      <c r="I1865" s="9">
        <v>43186</v>
      </c>
      <c r="J1865" s="17">
        <v>7773</v>
      </c>
    </row>
    <row r="1866" spans="1:10" x14ac:dyDescent="0.3">
      <c r="A1866" s="14" t="s">
        <v>15</v>
      </c>
      <c r="B1866" s="4" t="s">
        <v>84</v>
      </c>
      <c r="C1866" s="4" t="s">
        <v>12</v>
      </c>
      <c r="D1866" s="4" t="s">
        <v>131</v>
      </c>
      <c r="E1866" s="13">
        <f t="shared" ca="1" si="29"/>
        <v>46005</v>
      </c>
      <c r="F1866" s="4" t="s">
        <v>36</v>
      </c>
      <c r="G1866" s="5">
        <v>8</v>
      </c>
      <c r="H1866" s="6">
        <v>55000</v>
      </c>
      <c r="I1866" s="6">
        <v>470427</v>
      </c>
      <c r="J1866" s="16">
        <v>103494</v>
      </c>
    </row>
    <row r="1867" spans="1:10" x14ac:dyDescent="0.3">
      <c r="A1867" s="15" t="s">
        <v>41</v>
      </c>
      <c r="B1867" s="7" t="s">
        <v>88</v>
      </c>
      <c r="C1867" s="7" t="s">
        <v>12</v>
      </c>
      <c r="D1867" s="7" t="s">
        <v>227</v>
      </c>
      <c r="E1867" s="13">
        <f t="shared" ca="1" si="29"/>
        <v>45797</v>
      </c>
      <c r="F1867" s="7" t="s">
        <v>40</v>
      </c>
      <c r="G1867" s="8">
        <v>4</v>
      </c>
      <c r="H1867" s="9">
        <v>15000</v>
      </c>
      <c r="I1867" s="9">
        <v>65977</v>
      </c>
      <c r="J1867" s="17">
        <v>6598</v>
      </c>
    </row>
    <row r="1868" spans="1:10" x14ac:dyDescent="0.3">
      <c r="A1868" s="14" t="s">
        <v>18</v>
      </c>
      <c r="B1868" s="4" t="s">
        <v>77</v>
      </c>
      <c r="C1868" s="4" t="s">
        <v>12</v>
      </c>
      <c r="D1868" s="4" t="s">
        <v>71</v>
      </c>
      <c r="E1868" s="13">
        <f t="shared" ca="1" si="29"/>
        <v>45944</v>
      </c>
      <c r="F1868" s="4" t="s">
        <v>40</v>
      </c>
      <c r="G1868" s="5">
        <v>5</v>
      </c>
      <c r="H1868" s="6">
        <v>15000</v>
      </c>
      <c r="I1868" s="6">
        <v>77451</v>
      </c>
      <c r="J1868" s="16">
        <v>7745</v>
      </c>
    </row>
    <row r="1869" spans="1:10" x14ac:dyDescent="0.3">
      <c r="A1869" s="15" t="s">
        <v>37</v>
      </c>
      <c r="B1869" s="7" t="s">
        <v>46</v>
      </c>
      <c r="C1869" s="7" t="s">
        <v>26</v>
      </c>
      <c r="D1869" s="7" t="s">
        <v>62</v>
      </c>
      <c r="E1869" s="13">
        <f t="shared" ca="1" si="29"/>
        <v>45670</v>
      </c>
      <c r="F1869" s="7" t="s">
        <v>40</v>
      </c>
      <c r="G1869" s="8">
        <v>6</v>
      </c>
      <c r="H1869" s="9">
        <v>15000</v>
      </c>
      <c r="I1869" s="9">
        <v>83068</v>
      </c>
      <c r="J1869" s="17">
        <v>8307</v>
      </c>
    </row>
    <row r="1870" spans="1:10" x14ac:dyDescent="0.3">
      <c r="A1870" s="14" t="s">
        <v>10</v>
      </c>
      <c r="B1870" s="4" t="s">
        <v>46</v>
      </c>
      <c r="C1870" s="4" t="s">
        <v>26</v>
      </c>
      <c r="D1870" s="4" t="s">
        <v>24</v>
      </c>
      <c r="E1870" s="13">
        <f t="shared" ca="1" si="29"/>
        <v>46002</v>
      </c>
      <c r="F1870" s="4" t="s">
        <v>14</v>
      </c>
      <c r="G1870" s="5">
        <v>1</v>
      </c>
      <c r="H1870" s="6">
        <v>18500</v>
      </c>
      <c r="I1870" s="6">
        <v>17801</v>
      </c>
      <c r="J1870" s="16">
        <v>2136</v>
      </c>
    </row>
    <row r="1871" spans="1:10" x14ac:dyDescent="0.3">
      <c r="A1871" s="15" t="s">
        <v>41</v>
      </c>
      <c r="B1871" s="7" t="s">
        <v>88</v>
      </c>
      <c r="C1871" s="7" t="s">
        <v>12</v>
      </c>
      <c r="D1871" s="7" t="s">
        <v>133</v>
      </c>
      <c r="E1871" s="13">
        <f t="shared" ca="1" si="29"/>
        <v>46003</v>
      </c>
      <c r="F1871" s="7" t="s">
        <v>36</v>
      </c>
      <c r="G1871" s="8">
        <v>10</v>
      </c>
      <c r="H1871" s="9">
        <v>55000</v>
      </c>
      <c r="I1871" s="9">
        <v>507011</v>
      </c>
      <c r="J1871" s="17">
        <v>111542</v>
      </c>
    </row>
    <row r="1872" spans="1:10" x14ac:dyDescent="0.3">
      <c r="A1872" s="14" t="s">
        <v>41</v>
      </c>
      <c r="B1872" s="4" t="s">
        <v>11</v>
      </c>
      <c r="C1872" s="4" t="s">
        <v>12</v>
      </c>
      <c r="D1872" s="4" t="s">
        <v>178</v>
      </c>
      <c r="E1872" s="13">
        <f t="shared" ca="1" si="29"/>
        <v>45832</v>
      </c>
      <c r="F1872" s="4" t="s">
        <v>33</v>
      </c>
      <c r="G1872" s="5">
        <v>4</v>
      </c>
      <c r="H1872" s="6">
        <v>45000</v>
      </c>
      <c r="I1872" s="6">
        <v>181496</v>
      </c>
      <c r="J1872" s="16">
        <v>32669</v>
      </c>
    </row>
    <row r="1873" spans="1:10" x14ac:dyDescent="0.3">
      <c r="A1873" s="15" t="s">
        <v>18</v>
      </c>
      <c r="B1873" s="7" t="s">
        <v>16</v>
      </c>
      <c r="C1873" s="7" t="s">
        <v>12</v>
      </c>
      <c r="D1873" s="7" t="s">
        <v>137</v>
      </c>
      <c r="E1873" s="13">
        <f t="shared" ca="1" si="29"/>
        <v>45859</v>
      </c>
      <c r="F1873" s="7" t="s">
        <v>36</v>
      </c>
      <c r="G1873" s="8">
        <v>9</v>
      </c>
      <c r="H1873" s="9">
        <v>55000</v>
      </c>
      <c r="I1873" s="9">
        <v>542842</v>
      </c>
      <c r="J1873" s="17">
        <v>119425</v>
      </c>
    </row>
    <row r="1874" spans="1:10" x14ac:dyDescent="0.3">
      <c r="A1874" s="14" t="s">
        <v>37</v>
      </c>
      <c r="B1874" s="4" t="s">
        <v>31</v>
      </c>
      <c r="C1874" s="4" t="s">
        <v>12</v>
      </c>
      <c r="D1874" s="4" t="s">
        <v>244</v>
      </c>
      <c r="E1874" s="13">
        <f t="shared" ca="1" si="29"/>
        <v>45861</v>
      </c>
      <c r="F1874" s="4" t="s">
        <v>14</v>
      </c>
      <c r="G1874" s="5">
        <v>2</v>
      </c>
      <c r="H1874" s="6">
        <v>18500</v>
      </c>
      <c r="I1874" s="6">
        <v>36774</v>
      </c>
      <c r="J1874" s="16">
        <v>4413</v>
      </c>
    </row>
    <row r="1875" spans="1:10" x14ac:dyDescent="0.3">
      <c r="A1875" s="15" t="s">
        <v>15</v>
      </c>
      <c r="B1875" s="7" t="s">
        <v>38</v>
      </c>
      <c r="C1875" s="7" t="s">
        <v>23</v>
      </c>
      <c r="D1875" s="7" t="s">
        <v>156</v>
      </c>
      <c r="E1875" s="13">
        <f t="shared" ca="1" si="29"/>
        <v>45818</v>
      </c>
      <c r="F1875" s="7" t="s">
        <v>21</v>
      </c>
      <c r="G1875" s="8">
        <v>2</v>
      </c>
      <c r="H1875" s="9">
        <v>12500</v>
      </c>
      <c r="I1875" s="9">
        <v>24260</v>
      </c>
      <c r="J1875" s="17">
        <v>1941</v>
      </c>
    </row>
    <row r="1876" spans="1:10" x14ac:dyDescent="0.3">
      <c r="A1876" s="14" t="s">
        <v>10</v>
      </c>
      <c r="B1876" s="4" t="s">
        <v>88</v>
      </c>
      <c r="C1876" s="4" t="s">
        <v>12</v>
      </c>
      <c r="D1876" s="4" t="s">
        <v>244</v>
      </c>
      <c r="E1876" s="13">
        <f t="shared" ca="1" si="29"/>
        <v>45734</v>
      </c>
      <c r="F1876" s="4" t="s">
        <v>40</v>
      </c>
      <c r="G1876" s="5">
        <v>5</v>
      </c>
      <c r="H1876" s="6">
        <v>15000</v>
      </c>
      <c r="I1876" s="6">
        <v>72370</v>
      </c>
      <c r="J1876" s="16">
        <v>7237</v>
      </c>
    </row>
    <row r="1877" spans="1:10" x14ac:dyDescent="0.3">
      <c r="A1877" s="15" t="s">
        <v>37</v>
      </c>
      <c r="B1877" s="7" t="s">
        <v>88</v>
      </c>
      <c r="C1877" s="7" t="s">
        <v>12</v>
      </c>
      <c r="D1877" s="7" t="s">
        <v>62</v>
      </c>
      <c r="E1877" s="13">
        <f t="shared" ca="1" si="29"/>
        <v>45744</v>
      </c>
      <c r="F1877" s="7" t="s">
        <v>33</v>
      </c>
      <c r="G1877" s="8">
        <v>9</v>
      </c>
      <c r="H1877" s="9">
        <v>45000</v>
      </c>
      <c r="I1877" s="9">
        <v>368719</v>
      </c>
      <c r="J1877" s="17">
        <v>66369</v>
      </c>
    </row>
    <row r="1878" spans="1:10" x14ac:dyDescent="0.3">
      <c r="A1878" s="14" t="s">
        <v>18</v>
      </c>
      <c r="B1878" s="4" t="s">
        <v>77</v>
      </c>
      <c r="C1878" s="4" t="s">
        <v>12</v>
      </c>
      <c r="D1878" s="4" t="s">
        <v>62</v>
      </c>
      <c r="E1878" s="13">
        <f t="shared" ca="1" si="29"/>
        <v>45944</v>
      </c>
      <c r="F1878" s="4" t="s">
        <v>33</v>
      </c>
      <c r="G1878" s="5">
        <v>10</v>
      </c>
      <c r="H1878" s="6">
        <v>45000</v>
      </c>
      <c r="I1878" s="6">
        <v>457228</v>
      </c>
      <c r="J1878" s="16">
        <v>82301</v>
      </c>
    </row>
    <row r="1879" spans="1:10" x14ac:dyDescent="0.3">
      <c r="A1879" s="15" t="s">
        <v>18</v>
      </c>
      <c r="B1879" s="7" t="s">
        <v>51</v>
      </c>
      <c r="C1879" s="7" t="s">
        <v>12</v>
      </c>
      <c r="D1879" s="7" t="s">
        <v>238</v>
      </c>
      <c r="E1879" s="13">
        <f t="shared" ca="1" si="29"/>
        <v>45964</v>
      </c>
      <c r="F1879" s="7" t="s">
        <v>36</v>
      </c>
      <c r="G1879" s="8">
        <v>9</v>
      </c>
      <c r="H1879" s="9">
        <v>55000</v>
      </c>
      <c r="I1879" s="9">
        <v>535199</v>
      </c>
      <c r="J1879" s="17">
        <v>117744</v>
      </c>
    </row>
    <row r="1880" spans="1:10" x14ac:dyDescent="0.3">
      <c r="A1880" s="14" t="s">
        <v>37</v>
      </c>
      <c r="B1880" s="4" t="s">
        <v>51</v>
      </c>
      <c r="C1880" s="4" t="s">
        <v>12</v>
      </c>
      <c r="D1880" s="4" t="s">
        <v>133</v>
      </c>
      <c r="E1880" s="13">
        <f t="shared" ca="1" si="29"/>
        <v>46020</v>
      </c>
      <c r="F1880" s="4" t="s">
        <v>14</v>
      </c>
      <c r="G1880" s="5">
        <v>1</v>
      </c>
      <c r="H1880" s="6">
        <v>18500</v>
      </c>
      <c r="I1880" s="6">
        <v>20205</v>
      </c>
      <c r="J1880" s="16">
        <v>2425</v>
      </c>
    </row>
    <row r="1881" spans="1:10" x14ac:dyDescent="0.3">
      <c r="A1881" s="15" t="s">
        <v>10</v>
      </c>
      <c r="B1881" s="7" t="s">
        <v>16</v>
      </c>
      <c r="C1881" s="7" t="s">
        <v>12</v>
      </c>
      <c r="D1881" s="7" t="s">
        <v>197</v>
      </c>
      <c r="E1881" s="13">
        <f t="shared" ca="1" si="29"/>
        <v>45685</v>
      </c>
      <c r="F1881" s="7" t="s">
        <v>21</v>
      </c>
      <c r="G1881" s="8">
        <v>5</v>
      </c>
      <c r="H1881" s="9">
        <v>12500</v>
      </c>
      <c r="I1881" s="9">
        <v>59898</v>
      </c>
      <c r="J1881" s="17">
        <v>4792</v>
      </c>
    </row>
    <row r="1882" spans="1:10" x14ac:dyDescent="0.3">
      <c r="A1882" s="14" t="s">
        <v>15</v>
      </c>
      <c r="B1882" s="4" t="s">
        <v>31</v>
      </c>
      <c r="C1882" s="4" t="s">
        <v>12</v>
      </c>
      <c r="D1882" s="4" t="s">
        <v>236</v>
      </c>
      <c r="E1882" s="13">
        <f t="shared" ca="1" si="29"/>
        <v>45720</v>
      </c>
      <c r="F1882" s="4" t="s">
        <v>21</v>
      </c>
      <c r="G1882" s="5">
        <v>6</v>
      </c>
      <c r="H1882" s="6">
        <v>12500</v>
      </c>
      <c r="I1882" s="6">
        <v>74849</v>
      </c>
      <c r="J1882" s="16">
        <v>5988</v>
      </c>
    </row>
    <row r="1883" spans="1:10" x14ac:dyDescent="0.3">
      <c r="A1883" s="15" t="s">
        <v>18</v>
      </c>
      <c r="B1883" s="7" t="s">
        <v>31</v>
      </c>
      <c r="C1883" s="7" t="s">
        <v>12</v>
      </c>
      <c r="D1883" s="7" t="s">
        <v>220</v>
      </c>
      <c r="E1883" s="13">
        <f t="shared" ca="1" si="29"/>
        <v>45836</v>
      </c>
      <c r="F1883" s="7" t="s">
        <v>21</v>
      </c>
      <c r="G1883" s="8">
        <v>10</v>
      </c>
      <c r="H1883" s="9">
        <v>12500</v>
      </c>
      <c r="I1883" s="9">
        <v>137490</v>
      </c>
      <c r="J1883" s="17">
        <v>10999</v>
      </c>
    </row>
    <row r="1884" spans="1:10" x14ac:dyDescent="0.3">
      <c r="A1884" s="14" t="s">
        <v>37</v>
      </c>
      <c r="B1884" s="4" t="s">
        <v>19</v>
      </c>
      <c r="C1884" s="4" t="s">
        <v>12</v>
      </c>
      <c r="D1884" s="4" t="s">
        <v>53</v>
      </c>
      <c r="E1884" s="13">
        <f t="shared" ca="1" si="29"/>
        <v>45701</v>
      </c>
      <c r="F1884" s="4" t="s">
        <v>33</v>
      </c>
      <c r="G1884" s="5">
        <v>2</v>
      </c>
      <c r="H1884" s="6">
        <v>45000</v>
      </c>
      <c r="I1884" s="6">
        <v>97519</v>
      </c>
      <c r="J1884" s="16">
        <v>17553</v>
      </c>
    </row>
    <row r="1885" spans="1:10" x14ac:dyDescent="0.3">
      <c r="A1885" s="15" t="s">
        <v>37</v>
      </c>
      <c r="B1885" s="7" t="s">
        <v>77</v>
      </c>
      <c r="C1885" s="7" t="s">
        <v>12</v>
      </c>
      <c r="D1885" s="7" t="s">
        <v>129</v>
      </c>
      <c r="E1885" s="13">
        <f t="shared" ca="1" si="29"/>
        <v>45707</v>
      </c>
      <c r="F1885" s="7" t="s">
        <v>36</v>
      </c>
      <c r="G1885" s="8">
        <v>1</v>
      </c>
      <c r="H1885" s="9">
        <v>55000</v>
      </c>
      <c r="I1885" s="9">
        <v>52677</v>
      </c>
      <c r="J1885" s="17">
        <v>11589</v>
      </c>
    </row>
    <row r="1886" spans="1:10" x14ac:dyDescent="0.3">
      <c r="A1886" s="14" t="s">
        <v>18</v>
      </c>
      <c r="B1886" s="4" t="s">
        <v>77</v>
      </c>
      <c r="C1886" s="4" t="s">
        <v>12</v>
      </c>
      <c r="D1886" s="4" t="s">
        <v>205</v>
      </c>
      <c r="E1886" s="13">
        <f t="shared" ca="1" si="29"/>
        <v>45753</v>
      </c>
      <c r="F1886" s="4" t="s">
        <v>33</v>
      </c>
      <c r="G1886" s="5">
        <v>8</v>
      </c>
      <c r="H1886" s="6">
        <v>45000</v>
      </c>
      <c r="I1886" s="6">
        <v>362410</v>
      </c>
      <c r="J1886" s="16">
        <v>65234</v>
      </c>
    </row>
    <row r="1887" spans="1:10" x14ac:dyDescent="0.3">
      <c r="A1887" s="15" t="s">
        <v>18</v>
      </c>
      <c r="B1887" s="7" t="s">
        <v>31</v>
      </c>
      <c r="C1887" s="7" t="s">
        <v>12</v>
      </c>
      <c r="D1887" s="7" t="s">
        <v>231</v>
      </c>
      <c r="E1887" s="13">
        <f t="shared" ca="1" si="29"/>
        <v>46007</v>
      </c>
      <c r="F1887" s="7" t="s">
        <v>33</v>
      </c>
      <c r="G1887" s="8">
        <v>6</v>
      </c>
      <c r="H1887" s="9">
        <v>45000</v>
      </c>
      <c r="I1887" s="9">
        <v>263398</v>
      </c>
      <c r="J1887" s="17">
        <v>47412</v>
      </c>
    </row>
    <row r="1888" spans="1:10" x14ac:dyDescent="0.3">
      <c r="A1888" s="14" t="s">
        <v>18</v>
      </c>
      <c r="B1888" s="4" t="s">
        <v>81</v>
      </c>
      <c r="C1888" s="4" t="s">
        <v>26</v>
      </c>
      <c r="D1888" s="4" t="s">
        <v>108</v>
      </c>
      <c r="E1888" s="13">
        <f t="shared" ca="1" si="29"/>
        <v>45875</v>
      </c>
      <c r="F1888" s="4" t="s">
        <v>21</v>
      </c>
      <c r="G1888" s="5">
        <v>1</v>
      </c>
      <c r="H1888" s="6">
        <v>12500</v>
      </c>
      <c r="I1888" s="6">
        <v>11686</v>
      </c>
      <c r="J1888" s="16">
        <v>935</v>
      </c>
    </row>
    <row r="1889" spans="1:10" x14ac:dyDescent="0.3">
      <c r="A1889" s="15" t="s">
        <v>41</v>
      </c>
      <c r="B1889" s="7" t="s">
        <v>16</v>
      </c>
      <c r="C1889" s="7" t="s">
        <v>12</v>
      </c>
      <c r="D1889" s="7" t="s">
        <v>67</v>
      </c>
      <c r="E1889" s="13">
        <f t="shared" ca="1" si="29"/>
        <v>45877</v>
      </c>
      <c r="F1889" s="7" t="s">
        <v>21</v>
      </c>
      <c r="G1889" s="8">
        <v>3</v>
      </c>
      <c r="H1889" s="9">
        <v>12500</v>
      </c>
      <c r="I1889" s="9">
        <v>37235</v>
      </c>
      <c r="J1889" s="17">
        <v>2979</v>
      </c>
    </row>
    <row r="1890" spans="1:10" x14ac:dyDescent="0.3">
      <c r="A1890" s="14" t="s">
        <v>41</v>
      </c>
      <c r="B1890" s="4" t="s">
        <v>46</v>
      </c>
      <c r="C1890" s="4" t="s">
        <v>26</v>
      </c>
      <c r="D1890" s="4" t="s">
        <v>212</v>
      </c>
      <c r="E1890" s="13">
        <f t="shared" ca="1" si="29"/>
        <v>45780</v>
      </c>
      <c r="F1890" s="4" t="s">
        <v>21</v>
      </c>
      <c r="G1890" s="5">
        <v>10</v>
      </c>
      <c r="H1890" s="6">
        <v>12500</v>
      </c>
      <c r="I1890" s="6">
        <v>128319</v>
      </c>
      <c r="J1890" s="16">
        <v>10266</v>
      </c>
    </row>
    <row r="1891" spans="1:10" x14ac:dyDescent="0.3">
      <c r="A1891" s="15" t="s">
        <v>15</v>
      </c>
      <c r="B1891" s="7" t="s">
        <v>11</v>
      </c>
      <c r="C1891" s="7" t="s">
        <v>12</v>
      </c>
      <c r="D1891" s="7" t="s">
        <v>253</v>
      </c>
      <c r="E1891" s="13">
        <f t="shared" ca="1" si="29"/>
        <v>45684</v>
      </c>
      <c r="F1891" s="7" t="s">
        <v>36</v>
      </c>
      <c r="G1891" s="8">
        <v>6</v>
      </c>
      <c r="H1891" s="9">
        <v>55000</v>
      </c>
      <c r="I1891" s="9">
        <v>360574</v>
      </c>
      <c r="J1891" s="17">
        <v>79326</v>
      </c>
    </row>
    <row r="1892" spans="1:10" x14ac:dyDescent="0.3">
      <c r="A1892" s="14" t="s">
        <v>10</v>
      </c>
      <c r="B1892" s="4" t="s">
        <v>22</v>
      </c>
      <c r="C1892" s="4" t="s">
        <v>23</v>
      </c>
      <c r="D1892" s="4" t="s">
        <v>103</v>
      </c>
      <c r="E1892" s="13">
        <f t="shared" ca="1" si="29"/>
        <v>45666</v>
      </c>
      <c r="F1892" s="4" t="s">
        <v>33</v>
      </c>
      <c r="G1892" s="5">
        <v>8</v>
      </c>
      <c r="H1892" s="6">
        <v>45000</v>
      </c>
      <c r="I1892" s="6">
        <v>386062</v>
      </c>
      <c r="J1892" s="16">
        <v>69491</v>
      </c>
    </row>
    <row r="1893" spans="1:10" x14ac:dyDescent="0.3">
      <c r="A1893" s="15" t="s">
        <v>10</v>
      </c>
      <c r="B1893" s="7" t="s">
        <v>16</v>
      </c>
      <c r="C1893" s="7" t="s">
        <v>12</v>
      </c>
      <c r="D1893" s="7" t="s">
        <v>172</v>
      </c>
      <c r="E1893" s="13">
        <f t="shared" ca="1" si="29"/>
        <v>45975</v>
      </c>
      <c r="F1893" s="7" t="s">
        <v>21</v>
      </c>
      <c r="G1893" s="8">
        <v>4</v>
      </c>
      <c r="H1893" s="9">
        <v>12500</v>
      </c>
      <c r="I1893" s="9">
        <v>54605</v>
      </c>
      <c r="J1893" s="17">
        <v>4368</v>
      </c>
    </row>
    <row r="1894" spans="1:10" x14ac:dyDescent="0.3">
      <c r="A1894" s="14" t="s">
        <v>15</v>
      </c>
      <c r="B1894" s="4" t="s">
        <v>84</v>
      </c>
      <c r="C1894" s="4" t="s">
        <v>12</v>
      </c>
      <c r="D1894" s="4" t="s">
        <v>125</v>
      </c>
      <c r="E1894" s="13">
        <f t="shared" ca="1" si="29"/>
        <v>45773</v>
      </c>
      <c r="F1894" s="4" t="s">
        <v>33</v>
      </c>
      <c r="G1894" s="5">
        <v>6</v>
      </c>
      <c r="H1894" s="6">
        <v>45000</v>
      </c>
      <c r="I1894" s="6">
        <v>275094</v>
      </c>
      <c r="J1894" s="16">
        <v>49517</v>
      </c>
    </row>
    <row r="1895" spans="1:10" x14ac:dyDescent="0.3">
      <c r="A1895" s="15" t="s">
        <v>18</v>
      </c>
      <c r="B1895" s="7" t="s">
        <v>81</v>
      </c>
      <c r="C1895" s="7" t="s">
        <v>26</v>
      </c>
      <c r="D1895" s="7" t="s">
        <v>115</v>
      </c>
      <c r="E1895" s="13">
        <f t="shared" ca="1" si="29"/>
        <v>45927</v>
      </c>
      <c r="F1895" s="7" t="s">
        <v>14</v>
      </c>
      <c r="G1895" s="8">
        <v>2</v>
      </c>
      <c r="H1895" s="9">
        <v>18500</v>
      </c>
      <c r="I1895" s="9">
        <v>40490</v>
      </c>
      <c r="J1895" s="17">
        <v>4859</v>
      </c>
    </row>
    <row r="1896" spans="1:10" x14ac:dyDescent="0.3">
      <c r="A1896" s="14" t="s">
        <v>10</v>
      </c>
      <c r="B1896" s="4" t="s">
        <v>38</v>
      </c>
      <c r="C1896" s="4" t="s">
        <v>23</v>
      </c>
      <c r="D1896" s="4" t="s">
        <v>161</v>
      </c>
      <c r="E1896" s="13">
        <f t="shared" ca="1" si="29"/>
        <v>45761</v>
      </c>
      <c r="F1896" s="4" t="s">
        <v>14</v>
      </c>
      <c r="G1896" s="5">
        <v>10</v>
      </c>
      <c r="H1896" s="6">
        <v>18500</v>
      </c>
      <c r="I1896" s="6">
        <v>191873</v>
      </c>
      <c r="J1896" s="16">
        <v>23025</v>
      </c>
    </row>
    <row r="1897" spans="1:10" x14ac:dyDescent="0.3">
      <c r="A1897" s="15" t="s">
        <v>10</v>
      </c>
      <c r="B1897" s="7" t="s">
        <v>22</v>
      </c>
      <c r="C1897" s="7" t="s">
        <v>23</v>
      </c>
      <c r="D1897" s="7" t="s">
        <v>188</v>
      </c>
      <c r="E1897" s="13">
        <f t="shared" ca="1" si="29"/>
        <v>45762</v>
      </c>
      <c r="F1897" s="7" t="s">
        <v>36</v>
      </c>
      <c r="G1897" s="8">
        <v>7</v>
      </c>
      <c r="H1897" s="9">
        <v>55000</v>
      </c>
      <c r="I1897" s="9">
        <v>371174</v>
      </c>
      <c r="J1897" s="17">
        <v>81658</v>
      </c>
    </row>
    <row r="1898" spans="1:10" x14ac:dyDescent="0.3">
      <c r="A1898" s="14" t="s">
        <v>18</v>
      </c>
      <c r="B1898" s="4" t="s">
        <v>25</v>
      </c>
      <c r="C1898" s="4" t="s">
        <v>26</v>
      </c>
      <c r="D1898" s="4" t="s">
        <v>196</v>
      </c>
      <c r="E1898" s="13">
        <f t="shared" ca="1" si="29"/>
        <v>45978</v>
      </c>
      <c r="F1898" s="4" t="s">
        <v>36</v>
      </c>
      <c r="G1898" s="5">
        <v>4</v>
      </c>
      <c r="H1898" s="6">
        <v>55000</v>
      </c>
      <c r="I1898" s="6">
        <v>236763</v>
      </c>
      <c r="J1898" s="16">
        <v>52088</v>
      </c>
    </row>
    <row r="1899" spans="1:10" x14ac:dyDescent="0.3">
      <c r="A1899" s="15" t="s">
        <v>37</v>
      </c>
      <c r="B1899" s="7" t="s">
        <v>81</v>
      </c>
      <c r="C1899" s="7" t="s">
        <v>26</v>
      </c>
      <c r="D1899" s="7" t="s">
        <v>74</v>
      </c>
      <c r="E1899" s="13">
        <f t="shared" ca="1" si="29"/>
        <v>45958</v>
      </c>
      <c r="F1899" s="7" t="s">
        <v>21</v>
      </c>
      <c r="G1899" s="8">
        <v>3</v>
      </c>
      <c r="H1899" s="9">
        <v>12500</v>
      </c>
      <c r="I1899" s="9">
        <v>39054</v>
      </c>
      <c r="J1899" s="17">
        <v>3124</v>
      </c>
    </row>
    <row r="1900" spans="1:10" x14ac:dyDescent="0.3">
      <c r="A1900" s="14" t="s">
        <v>10</v>
      </c>
      <c r="B1900" s="4" t="s">
        <v>11</v>
      </c>
      <c r="C1900" s="4" t="s">
        <v>12</v>
      </c>
      <c r="D1900" s="4" t="s">
        <v>158</v>
      </c>
      <c r="E1900" s="13">
        <f t="shared" ca="1" si="29"/>
        <v>45966</v>
      </c>
      <c r="F1900" s="4" t="s">
        <v>40</v>
      </c>
      <c r="G1900" s="5">
        <v>2</v>
      </c>
      <c r="H1900" s="6">
        <v>15000</v>
      </c>
      <c r="I1900" s="6">
        <v>30431</v>
      </c>
      <c r="J1900" s="16">
        <v>3043</v>
      </c>
    </row>
    <row r="1901" spans="1:10" x14ac:dyDescent="0.3">
      <c r="A1901" s="15" t="s">
        <v>18</v>
      </c>
      <c r="B1901" s="7" t="s">
        <v>11</v>
      </c>
      <c r="C1901" s="7" t="s">
        <v>12</v>
      </c>
      <c r="D1901" s="7" t="s">
        <v>61</v>
      </c>
      <c r="E1901" s="13">
        <f t="shared" ca="1" si="29"/>
        <v>45674</v>
      </c>
      <c r="F1901" s="7" t="s">
        <v>40</v>
      </c>
      <c r="G1901" s="8">
        <v>3</v>
      </c>
      <c r="H1901" s="9">
        <v>15000</v>
      </c>
      <c r="I1901" s="9">
        <v>42969</v>
      </c>
      <c r="J1901" s="17">
        <v>4297</v>
      </c>
    </row>
    <row r="1902" spans="1:10" x14ac:dyDescent="0.3">
      <c r="A1902" s="14" t="s">
        <v>37</v>
      </c>
      <c r="B1902" s="4" t="s">
        <v>29</v>
      </c>
      <c r="C1902" s="4" t="s">
        <v>26</v>
      </c>
      <c r="D1902" s="4" t="s">
        <v>248</v>
      </c>
      <c r="E1902" s="13">
        <f t="shared" ca="1" si="29"/>
        <v>45989</v>
      </c>
      <c r="F1902" s="4" t="s">
        <v>33</v>
      </c>
      <c r="G1902" s="5">
        <v>10</v>
      </c>
      <c r="H1902" s="6">
        <v>45000</v>
      </c>
      <c r="I1902" s="6">
        <v>428923</v>
      </c>
      <c r="J1902" s="16">
        <v>77206</v>
      </c>
    </row>
    <row r="1903" spans="1:10" x14ac:dyDescent="0.3">
      <c r="A1903" s="15" t="s">
        <v>18</v>
      </c>
      <c r="B1903" s="7" t="s">
        <v>56</v>
      </c>
      <c r="C1903" s="7" t="s">
        <v>23</v>
      </c>
      <c r="D1903" s="7" t="s">
        <v>140</v>
      </c>
      <c r="E1903" s="13">
        <f t="shared" ca="1" si="29"/>
        <v>45847</v>
      </c>
      <c r="F1903" s="7" t="s">
        <v>36</v>
      </c>
      <c r="G1903" s="8">
        <v>5</v>
      </c>
      <c r="H1903" s="9">
        <v>55000</v>
      </c>
      <c r="I1903" s="9">
        <v>261026</v>
      </c>
      <c r="J1903" s="17">
        <v>57426</v>
      </c>
    </row>
    <row r="1904" spans="1:10" x14ac:dyDescent="0.3">
      <c r="A1904" s="14" t="s">
        <v>37</v>
      </c>
      <c r="B1904" s="4" t="s">
        <v>88</v>
      </c>
      <c r="C1904" s="4" t="s">
        <v>12</v>
      </c>
      <c r="D1904" s="4" t="s">
        <v>214</v>
      </c>
      <c r="E1904" s="13">
        <f t="shared" ca="1" si="29"/>
        <v>45845</v>
      </c>
      <c r="F1904" s="4" t="s">
        <v>33</v>
      </c>
      <c r="G1904" s="5">
        <v>7</v>
      </c>
      <c r="H1904" s="6">
        <v>45000</v>
      </c>
      <c r="I1904" s="6">
        <v>306389</v>
      </c>
      <c r="J1904" s="16">
        <v>55150</v>
      </c>
    </row>
    <row r="1905" spans="1:10" x14ac:dyDescent="0.3">
      <c r="A1905" s="15" t="s">
        <v>10</v>
      </c>
      <c r="B1905" s="7" t="s">
        <v>88</v>
      </c>
      <c r="C1905" s="7" t="s">
        <v>12</v>
      </c>
      <c r="D1905" s="7" t="s">
        <v>87</v>
      </c>
      <c r="E1905" s="13">
        <f t="shared" ca="1" si="29"/>
        <v>45922</v>
      </c>
      <c r="F1905" s="7" t="s">
        <v>40</v>
      </c>
      <c r="G1905" s="8">
        <v>2</v>
      </c>
      <c r="H1905" s="9">
        <v>15000</v>
      </c>
      <c r="I1905" s="9">
        <v>30497</v>
      </c>
      <c r="J1905" s="17">
        <v>3050</v>
      </c>
    </row>
    <row r="1906" spans="1:10" x14ac:dyDescent="0.3">
      <c r="A1906" s="14" t="s">
        <v>18</v>
      </c>
      <c r="B1906" s="4" t="s">
        <v>11</v>
      </c>
      <c r="C1906" s="4" t="s">
        <v>12</v>
      </c>
      <c r="D1906" s="4" t="s">
        <v>257</v>
      </c>
      <c r="E1906" s="13">
        <f t="shared" ca="1" si="29"/>
        <v>45660</v>
      </c>
      <c r="F1906" s="4" t="s">
        <v>21</v>
      </c>
      <c r="G1906" s="5">
        <v>7</v>
      </c>
      <c r="H1906" s="6">
        <v>12500</v>
      </c>
      <c r="I1906" s="6">
        <v>80478</v>
      </c>
      <c r="J1906" s="16">
        <v>6438</v>
      </c>
    </row>
    <row r="1907" spans="1:10" x14ac:dyDescent="0.3">
      <c r="A1907" s="15" t="s">
        <v>15</v>
      </c>
      <c r="B1907" s="7" t="s">
        <v>29</v>
      </c>
      <c r="C1907" s="7" t="s">
        <v>26</v>
      </c>
      <c r="D1907" s="7" t="s">
        <v>256</v>
      </c>
      <c r="E1907" s="13">
        <f t="shared" ca="1" si="29"/>
        <v>45722</v>
      </c>
      <c r="F1907" s="7" t="s">
        <v>33</v>
      </c>
      <c r="G1907" s="8">
        <v>1</v>
      </c>
      <c r="H1907" s="9">
        <v>45000</v>
      </c>
      <c r="I1907" s="9">
        <v>41640</v>
      </c>
      <c r="J1907" s="17">
        <v>7495</v>
      </c>
    </row>
    <row r="1908" spans="1:10" x14ac:dyDescent="0.3">
      <c r="A1908" s="14" t="s">
        <v>41</v>
      </c>
      <c r="B1908" s="4" t="s">
        <v>81</v>
      </c>
      <c r="C1908" s="4" t="s">
        <v>26</v>
      </c>
      <c r="D1908" s="4" t="s">
        <v>158</v>
      </c>
      <c r="E1908" s="13">
        <f t="shared" ca="1" si="29"/>
        <v>46009</v>
      </c>
      <c r="F1908" s="4" t="s">
        <v>21</v>
      </c>
      <c r="G1908" s="5">
        <v>2</v>
      </c>
      <c r="H1908" s="6">
        <v>12500</v>
      </c>
      <c r="I1908" s="6">
        <v>23104</v>
      </c>
      <c r="J1908" s="16">
        <v>1848</v>
      </c>
    </row>
    <row r="1909" spans="1:10" x14ac:dyDescent="0.3">
      <c r="A1909" s="15" t="s">
        <v>10</v>
      </c>
      <c r="B1909" s="7" t="s">
        <v>25</v>
      </c>
      <c r="C1909" s="7" t="s">
        <v>26</v>
      </c>
      <c r="D1909" s="7" t="s">
        <v>157</v>
      </c>
      <c r="E1909" s="13">
        <f t="shared" ca="1" si="29"/>
        <v>45848</v>
      </c>
      <c r="F1909" s="7" t="s">
        <v>14</v>
      </c>
      <c r="G1909" s="8">
        <v>4</v>
      </c>
      <c r="H1909" s="9">
        <v>18500</v>
      </c>
      <c r="I1909" s="9">
        <v>78987</v>
      </c>
      <c r="J1909" s="17">
        <v>9478</v>
      </c>
    </row>
    <row r="1910" spans="1:10" x14ac:dyDescent="0.3">
      <c r="A1910" s="14" t="s">
        <v>37</v>
      </c>
      <c r="B1910" s="4" t="s">
        <v>51</v>
      </c>
      <c r="C1910" s="4" t="s">
        <v>12</v>
      </c>
      <c r="D1910" s="4" t="s">
        <v>17</v>
      </c>
      <c r="E1910" s="13">
        <f t="shared" ca="1" si="29"/>
        <v>45833</v>
      </c>
      <c r="F1910" s="4" t="s">
        <v>36</v>
      </c>
      <c r="G1910" s="5">
        <v>3</v>
      </c>
      <c r="H1910" s="6">
        <v>55000</v>
      </c>
      <c r="I1910" s="6">
        <v>154711</v>
      </c>
      <c r="J1910" s="16">
        <v>34036</v>
      </c>
    </row>
    <row r="1911" spans="1:10" x14ac:dyDescent="0.3">
      <c r="A1911" s="15" t="s">
        <v>41</v>
      </c>
      <c r="B1911" s="7" t="s">
        <v>29</v>
      </c>
      <c r="C1911" s="7" t="s">
        <v>26</v>
      </c>
      <c r="D1911" s="7" t="s">
        <v>79</v>
      </c>
      <c r="E1911" s="13">
        <f t="shared" ca="1" si="29"/>
        <v>45978</v>
      </c>
      <c r="F1911" s="7" t="s">
        <v>36</v>
      </c>
      <c r="G1911" s="8">
        <v>2</v>
      </c>
      <c r="H1911" s="9">
        <v>55000</v>
      </c>
      <c r="I1911" s="9">
        <v>116831</v>
      </c>
      <c r="J1911" s="17">
        <v>25703</v>
      </c>
    </row>
    <row r="1912" spans="1:10" x14ac:dyDescent="0.3">
      <c r="A1912" s="14" t="s">
        <v>37</v>
      </c>
      <c r="B1912" s="4" t="s">
        <v>88</v>
      </c>
      <c r="C1912" s="4" t="s">
        <v>12</v>
      </c>
      <c r="D1912" s="4" t="s">
        <v>96</v>
      </c>
      <c r="E1912" s="13">
        <f t="shared" ca="1" si="29"/>
        <v>45998</v>
      </c>
      <c r="F1912" s="4" t="s">
        <v>36</v>
      </c>
      <c r="G1912" s="5">
        <v>2</v>
      </c>
      <c r="H1912" s="6">
        <v>55000</v>
      </c>
      <c r="I1912" s="6">
        <v>116110</v>
      </c>
      <c r="J1912" s="16">
        <v>25544</v>
      </c>
    </row>
    <row r="1913" spans="1:10" x14ac:dyDescent="0.3">
      <c r="A1913" s="15" t="s">
        <v>18</v>
      </c>
      <c r="B1913" s="7" t="s">
        <v>31</v>
      </c>
      <c r="C1913" s="7" t="s">
        <v>12</v>
      </c>
      <c r="D1913" s="7" t="s">
        <v>95</v>
      </c>
      <c r="E1913" s="13">
        <f t="shared" ca="1" si="29"/>
        <v>45771</v>
      </c>
      <c r="F1913" s="7" t="s">
        <v>40</v>
      </c>
      <c r="G1913" s="8">
        <v>2</v>
      </c>
      <c r="H1913" s="9">
        <v>15000</v>
      </c>
      <c r="I1913" s="9">
        <v>29526</v>
      </c>
      <c r="J1913" s="17">
        <v>2953</v>
      </c>
    </row>
    <row r="1914" spans="1:10" x14ac:dyDescent="0.3">
      <c r="A1914" s="14" t="s">
        <v>37</v>
      </c>
      <c r="B1914" s="4" t="s">
        <v>31</v>
      </c>
      <c r="C1914" s="4" t="s">
        <v>12</v>
      </c>
      <c r="D1914" s="4" t="s">
        <v>13</v>
      </c>
      <c r="E1914" s="13">
        <f t="shared" ca="1" si="29"/>
        <v>46006</v>
      </c>
      <c r="F1914" s="4" t="s">
        <v>33</v>
      </c>
      <c r="G1914" s="5">
        <v>5</v>
      </c>
      <c r="H1914" s="6">
        <v>45000</v>
      </c>
      <c r="I1914" s="6">
        <v>227433</v>
      </c>
      <c r="J1914" s="16">
        <v>40938</v>
      </c>
    </row>
    <row r="1915" spans="1:10" x14ac:dyDescent="0.3">
      <c r="A1915" s="15" t="s">
        <v>37</v>
      </c>
      <c r="B1915" s="7" t="s">
        <v>29</v>
      </c>
      <c r="C1915" s="7" t="s">
        <v>26</v>
      </c>
      <c r="D1915" s="7" t="s">
        <v>50</v>
      </c>
      <c r="E1915" s="13">
        <f t="shared" ca="1" si="29"/>
        <v>45852</v>
      </c>
      <c r="F1915" s="7" t="s">
        <v>36</v>
      </c>
      <c r="G1915" s="8">
        <v>3</v>
      </c>
      <c r="H1915" s="9">
        <v>55000</v>
      </c>
      <c r="I1915" s="9">
        <v>152527</v>
      </c>
      <c r="J1915" s="17">
        <v>33556</v>
      </c>
    </row>
    <row r="1916" spans="1:10" x14ac:dyDescent="0.3">
      <c r="A1916" s="14" t="s">
        <v>41</v>
      </c>
      <c r="B1916" s="4" t="s">
        <v>77</v>
      </c>
      <c r="C1916" s="4" t="s">
        <v>12</v>
      </c>
      <c r="D1916" s="4" t="s">
        <v>139</v>
      </c>
      <c r="E1916" s="13">
        <f t="shared" ca="1" si="29"/>
        <v>45901</v>
      </c>
      <c r="F1916" s="4" t="s">
        <v>40</v>
      </c>
      <c r="G1916" s="5">
        <v>5</v>
      </c>
      <c r="H1916" s="6">
        <v>15000</v>
      </c>
      <c r="I1916" s="6">
        <v>73732</v>
      </c>
      <c r="J1916" s="16">
        <v>7373</v>
      </c>
    </row>
    <row r="1917" spans="1:10" x14ac:dyDescent="0.3">
      <c r="A1917" s="15" t="s">
        <v>37</v>
      </c>
      <c r="B1917" s="7" t="s">
        <v>38</v>
      </c>
      <c r="C1917" s="7" t="s">
        <v>23</v>
      </c>
      <c r="D1917" s="7" t="s">
        <v>121</v>
      </c>
      <c r="E1917" s="13">
        <f t="shared" ca="1" si="29"/>
        <v>45775</v>
      </c>
      <c r="F1917" s="7" t="s">
        <v>14</v>
      </c>
      <c r="G1917" s="8">
        <v>2</v>
      </c>
      <c r="H1917" s="9">
        <v>18500</v>
      </c>
      <c r="I1917" s="9">
        <v>33463</v>
      </c>
      <c r="J1917" s="17">
        <v>4016</v>
      </c>
    </row>
    <row r="1918" spans="1:10" x14ac:dyDescent="0.3">
      <c r="A1918" s="14" t="s">
        <v>37</v>
      </c>
      <c r="B1918" s="4" t="s">
        <v>31</v>
      </c>
      <c r="C1918" s="4" t="s">
        <v>12</v>
      </c>
      <c r="D1918" s="4" t="s">
        <v>90</v>
      </c>
      <c r="E1918" s="13">
        <f t="shared" ca="1" si="29"/>
        <v>45898</v>
      </c>
      <c r="F1918" s="4" t="s">
        <v>40</v>
      </c>
      <c r="G1918" s="5">
        <v>5</v>
      </c>
      <c r="H1918" s="6">
        <v>15000</v>
      </c>
      <c r="I1918" s="6">
        <v>78594</v>
      </c>
      <c r="J1918" s="16">
        <v>7859</v>
      </c>
    </row>
    <row r="1919" spans="1:10" x14ac:dyDescent="0.3">
      <c r="A1919" s="15" t="s">
        <v>15</v>
      </c>
      <c r="B1919" s="7" t="s">
        <v>46</v>
      </c>
      <c r="C1919" s="7" t="s">
        <v>26</v>
      </c>
      <c r="D1919" s="7" t="s">
        <v>180</v>
      </c>
      <c r="E1919" s="13">
        <f t="shared" ca="1" si="29"/>
        <v>45878</v>
      </c>
      <c r="F1919" s="7" t="s">
        <v>33</v>
      </c>
      <c r="G1919" s="8">
        <v>8</v>
      </c>
      <c r="H1919" s="9">
        <v>45000</v>
      </c>
      <c r="I1919" s="9">
        <v>384751</v>
      </c>
      <c r="J1919" s="17">
        <v>69255</v>
      </c>
    </row>
    <row r="1920" spans="1:10" x14ac:dyDescent="0.3">
      <c r="A1920" s="14" t="s">
        <v>18</v>
      </c>
      <c r="B1920" s="4" t="s">
        <v>22</v>
      </c>
      <c r="C1920" s="4" t="s">
        <v>23</v>
      </c>
      <c r="D1920" s="4" t="s">
        <v>93</v>
      </c>
      <c r="E1920" s="13">
        <f t="shared" ca="1" si="29"/>
        <v>45901</v>
      </c>
      <c r="F1920" s="4" t="s">
        <v>21</v>
      </c>
      <c r="G1920" s="5">
        <v>3</v>
      </c>
      <c r="H1920" s="6">
        <v>12500</v>
      </c>
      <c r="I1920" s="6">
        <v>38007</v>
      </c>
      <c r="J1920" s="16">
        <v>3041</v>
      </c>
    </row>
    <row r="1921" spans="1:10" x14ac:dyDescent="0.3">
      <c r="A1921" s="15" t="s">
        <v>10</v>
      </c>
      <c r="B1921" s="7" t="s">
        <v>38</v>
      </c>
      <c r="C1921" s="7" t="s">
        <v>23</v>
      </c>
      <c r="D1921" s="7" t="s">
        <v>103</v>
      </c>
      <c r="E1921" s="13">
        <f t="shared" ca="1" si="29"/>
        <v>45896</v>
      </c>
      <c r="F1921" s="7" t="s">
        <v>21</v>
      </c>
      <c r="G1921" s="8">
        <v>5</v>
      </c>
      <c r="H1921" s="9">
        <v>12500</v>
      </c>
      <c r="I1921" s="9">
        <v>58344</v>
      </c>
      <c r="J1921" s="17">
        <v>4668</v>
      </c>
    </row>
    <row r="1922" spans="1:10" x14ac:dyDescent="0.3">
      <c r="A1922" s="14" t="s">
        <v>18</v>
      </c>
      <c r="B1922" s="4" t="s">
        <v>84</v>
      </c>
      <c r="C1922" s="4" t="s">
        <v>12</v>
      </c>
      <c r="D1922" s="4" t="s">
        <v>230</v>
      </c>
      <c r="E1922" s="13">
        <f t="shared" ca="1" si="29"/>
        <v>45983</v>
      </c>
      <c r="F1922" s="4" t="s">
        <v>14</v>
      </c>
      <c r="G1922" s="5">
        <v>1</v>
      </c>
      <c r="H1922" s="6">
        <v>18500</v>
      </c>
      <c r="I1922" s="6">
        <v>17157</v>
      </c>
      <c r="J1922" s="16">
        <v>2059</v>
      </c>
    </row>
    <row r="1923" spans="1:10" x14ac:dyDescent="0.3">
      <c r="A1923" s="15" t="s">
        <v>37</v>
      </c>
      <c r="B1923" s="7" t="s">
        <v>88</v>
      </c>
      <c r="C1923" s="7" t="s">
        <v>12</v>
      </c>
      <c r="D1923" s="7" t="s">
        <v>255</v>
      </c>
      <c r="E1923" s="13">
        <f t="shared" ref="E1923:E1986" ca="1" si="30">DATE(2025,1,1)+RANDBETWEEN(0,364)</f>
        <v>45961</v>
      </c>
      <c r="F1923" s="7" t="s">
        <v>33</v>
      </c>
      <c r="G1923" s="8">
        <v>1</v>
      </c>
      <c r="H1923" s="9">
        <v>45000</v>
      </c>
      <c r="I1923" s="9">
        <v>42763</v>
      </c>
      <c r="J1923" s="17">
        <v>7697</v>
      </c>
    </row>
    <row r="1924" spans="1:10" x14ac:dyDescent="0.3">
      <c r="A1924" s="14" t="s">
        <v>41</v>
      </c>
      <c r="B1924" s="4" t="s">
        <v>31</v>
      </c>
      <c r="C1924" s="4" t="s">
        <v>12</v>
      </c>
      <c r="D1924" s="4" t="s">
        <v>188</v>
      </c>
      <c r="E1924" s="13">
        <f t="shared" ca="1" si="30"/>
        <v>45763</v>
      </c>
      <c r="F1924" s="4" t="s">
        <v>21</v>
      </c>
      <c r="G1924" s="5">
        <v>5</v>
      </c>
      <c r="H1924" s="6">
        <v>12500</v>
      </c>
      <c r="I1924" s="6">
        <v>59203</v>
      </c>
      <c r="J1924" s="16">
        <v>4736</v>
      </c>
    </row>
    <row r="1925" spans="1:10" x14ac:dyDescent="0.3">
      <c r="A1925" s="15" t="s">
        <v>15</v>
      </c>
      <c r="B1925" s="7" t="s">
        <v>88</v>
      </c>
      <c r="C1925" s="7" t="s">
        <v>12</v>
      </c>
      <c r="D1925" s="7" t="s">
        <v>218</v>
      </c>
      <c r="E1925" s="13">
        <f t="shared" ca="1" si="30"/>
        <v>45667</v>
      </c>
      <c r="F1925" s="7" t="s">
        <v>14</v>
      </c>
      <c r="G1925" s="8">
        <v>10</v>
      </c>
      <c r="H1925" s="9">
        <v>18500</v>
      </c>
      <c r="I1925" s="9">
        <v>168022</v>
      </c>
      <c r="J1925" s="17">
        <v>20163</v>
      </c>
    </row>
    <row r="1926" spans="1:10" x14ac:dyDescent="0.3">
      <c r="A1926" s="14" t="s">
        <v>37</v>
      </c>
      <c r="B1926" s="4" t="s">
        <v>38</v>
      </c>
      <c r="C1926" s="4" t="s">
        <v>23</v>
      </c>
      <c r="D1926" s="4" t="s">
        <v>177</v>
      </c>
      <c r="E1926" s="13">
        <f t="shared" ca="1" si="30"/>
        <v>45955</v>
      </c>
      <c r="F1926" s="4" t="s">
        <v>40</v>
      </c>
      <c r="G1926" s="5">
        <v>9</v>
      </c>
      <c r="H1926" s="6">
        <v>15000</v>
      </c>
      <c r="I1926" s="6">
        <v>135286</v>
      </c>
      <c r="J1926" s="16">
        <v>13529</v>
      </c>
    </row>
    <row r="1927" spans="1:10" x14ac:dyDescent="0.3">
      <c r="A1927" s="15" t="s">
        <v>37</v>
      </c>
      <c r="B1927" s="7" t="s">
        <v>19</v>
      </c>
      <c r="C1927" s="7" t="s">
        <v>12</v>
      </c>
      <c r="D1927" s="7" t="s">
        <v>172</v>
      </c>
      <c r="E1927" s="13">
        <f t="shared" ca="1" si="30"/>
        <v>45825</v>
      </c>
      <c r="F1927" s="7" t="s">
        <v>40</v>
      </c>
      <c r="G1927" s="8">
        <v>7</v>
      </c>
      <c r="H1927" s="9">
        <v>15000</v>
      </c>
      <c r="I1927" s="9">
        <v>105487</v>
      </c>
      <c r="J1927" s="17">
        <v>10549</v>
      </c>
    </row>
    <row r="1928" spans="1:10" x14ac:dyDescent="0.3">
      <c r="A1928" s="14" t="s">
        <v>18</v>
      </c>
      <c r="B1928" s="4" t="s">
        <v>16</v>
      </c>
      <c r="C1928" s="4" t="s">
        <v>12</v>
      </c>
      <c r="D1928" s="4" t="s">
        <v>147</v>
      </c>
      <c r="E1928" s="13">
        <f t="shared" ca="1" si="30"/>
        <v>45790</v>
      </c>
      <c r="F1928" s="4" t="s">
        <v>21</v>
      </c>
      <c r="G1928" s="5">
        <v>6</v>
      </c>
      <c r="H1928" s="6">
        <v>12500</v>
      </c>
      <c r="I1928" s="6">
        <v>80871</v>
      </c>
      <c r="J1928" s="16">
        <v>6470</v>
      </c>
    </row>
    <row r="1929" spans="1:10" x14ac:dyDescent="0.3">
      <c r="A1929" s="15" t="s">
        <v>18</v>
      </c>
      <c r="B1929" s="7" t="s">
        <v>88</v>
      </c>
      <c r="C1929" s="7" t="s">
        <v>12</v>
      </c>
      <c r="D1929" s="7" t="s">
        <v>53</v>
      </c>
      <c r="E1929" s="13">
        <f t="shared" ca="1" si="30"/>
        <v>45967</v>
      </c>
      <c r="F1929" s="7" t="s">
        <v>36</v>
      </c>
      <c r="G1929" s="8">
        <v>8</v>
      </c>
      <c r="H1929" s="9">
        <v>55000</v>
      </c>
      <c r="I1929" s="9">
        <v>433418</v>
      </c>
      <c r="J1929" s="17">
        <v>95352</v>
      </c>
    </row>
    <row r="1930" spans="1:10" x14ac:dyDescent="0.3">
      <c r="A1930" s="14" t="s">
        <v>15</v>
      </c>
      <c r="B1930" s="4" t="s">
        <v>29</v>
      </c>
      <c r="C1930" s="4" t="s">
        <v>26</v>
      </c>
      <c r="D1930" s="4" t="s">
        <v>262</v>
      </c>
      <c r="E1930" s="13">
        <f t="shared" ca="1" si="30"/>
        <v>45971</v>
      </c>
      <c r="F1930" s="4" t="s">
        <v>33</v>
      </c>
      <c r="G1930" s="5">
        <v>9</v>
      </c>
      <c r="H1930" s="6">
        <v>45000</v>
      </c>
      <c r="I1930" s="6">
        <v>372916</v>
      </c>
      <c r="J1930" s="16">
        <v>67125</v>
      </c>
    </row>
    <row r="1931" spans="1:10" x14ac:dyDescent="0.3">
      <c r="A1931" s="15" t="s">
        <v>15</v>
      </c>
      <c r="B1931" s="7" t="s">
        <v>81</v>
      </c>
      <c r="C1931" s="7" t="s">
        <v>26</v>
      </c>
      <c r="D1931" s="7" t="s">
        <v>260</v>
      </c>
      <c r="E1931" s="13">
        <f t="shared" ca="1" si="30"/>
        <v>45936</v>
      </c>
      <c r="F1931" s="7" t="s">
        <v>21</v>
      </c>
      <c r="G1931" s="8">
        <v>6</v>
      </c>
      <c r="H1931" s="9">
        <v>12500</v>
      </c>
      <c r="I1931" s="9">
        <v>80015</v>
      </c>
      <c r="J1931" s="17">
        <v>6401</v>
      </c>
    </row>
    <row r="1932" spans="1:10" x14ac:dyDescent="0.3">
      <c r="A1932" s="14" t="s">
        <v>18</v>
      </c>
      <c r="B1932" s="4" t="s">
        <v>16</v>
      </c>
      <c r="C1932" s="4" t="s">
        <v>12</v>
      </c>
      <c r="D1932" s="4" t="s">
        <v>220</v>
      </c>
      <c r="E1932" s="13">
        <f t="shared" ca="1" si="30"/>
        <v>45823</v>
      </c>
      <c r="F1932" s="4" t="s">
        <v>21</v>
      </c>
      <c r="G1932" s="5">
        <v>3</v>
      </c>
      <c r="H1932" s="6">
        <v>12500</v>
      </c>
      <c r="I1932" s="6">
        <v>34518</v>
      </c>
      <c r="J1932" s="16">
        <v>2761</v>
      </c>
    </row>
    <row r="1933" spans="1:10" x14ac:dyDescent="0.3">
      <c r="A1933" s="15" t="s">
        <v>15</v>
      </c>
      <c r="B1933" s="7" t="s">
        <v>31</v>
      </c>
      <c r="C1933" s="7" t="s">
        <v>12</v>
      </c>
      <c r="D1933" s="7" t="s">
        <v>73</v>
      </c>
      <c r="E1933" s="13">
        <f t="shared" ca="1" si="30"/>
        <v>45997</v>
      </c>
      <c r="F1933" s="7" t="s">
        <v>33</v>
      </c>
      <c r="G1933" s="8">
        <v>1</v>
      </c>
      <c r="H1933" s="9">
        <v>45000</v>
      </c>
      <c r="I1933" s="9">
        <v>45265</v>
      </c>
      <c r="J1933" s="17">
        <v>8148</v>
      </c>
    </row>
    <row r="1934" spans="1:10" x14ac:dyDescent="0.3">
      <c r="A1934" s="14" t="s">
        <v>37</v>
      </c>
      <c r="B1934" s="4" t="s">
        <v>38</v>
      </c>
      <c r="C1934" s="4" t="s">
        <v>23</v>
      </c>
      <c r="D1934" s="4" t="s">
        <v>236</v>
      </c>
      <c r="E1934" s="13">
        <f t="shared" ca="1" si="30"/>
        <v>45780</v>
      </c>
      <c r="F1934" s="4" t="s">
        <v>36</v>
      </c>
      <c r="G1934" s="5">
        <v>8</v>
      </c>
      <c r="H1934" s="6">
        <v>55000</v>
      </c>
      <c r="I1934" s="6">
        <v>458148</v>
      </c>
      <c r="J1934" s="16">
        <v>100793</v>
      </c>
    </row>
    <row r="1935" spans="1:10" x14ac:dyDescent="0.3">
      <c r="A1935" s="15" t="s">
        <v>10</v>
      </c>
      <c r="B1935" s="7" t="s">
        <v>56</v>
      </c>
      <c r="C1935" s="7" t="s">
        <v>23</v>
      </c>
      <c r="D1935" s="7" t="s">
        <v>153</v>
      </c>
      <c r="E1935" s="13">
        <f t="shared" ca="1" si="30"/>
        <v>45859</v>
      </c>
      <c r="F1935" s="7" t="s">
        <v>33</v>
      </c>
      <c r="G1935" s="8">
        <v>1</v>
      </c>
      <c r="H1935" s="9">
        <v>45000</v>
      </c>
      <c r="I1935" s="9">
        <v>45786</v>
      </c>
      <c r="J1935" s="17">
        <v>8241</v>
      </c>
    </row>
    <row r="1936" spans="1:10" x14ac:dyDescent="0.3">
      <c r="A1936" s="14" t="s">
        <v>10</v>
      </c>
      <c r="B1936" s="4" t="s">
        <v>11</v>
      </c>
      <c r="C1936" s="4" t="s">
        <v>12</v>
      </c>
      <c r="D1936" s="4" t="s">
        <v>176</v>
      </c>
      <c r="E1936" s="13">
        <f t="shared" ca="1" si="30"/>
        <v>46015</v>
      </c>
      <c r="F1936" s="4" t="s">
        <v>14</v>
      </c>
      <c r="G1936" s="5">
        <v>5</v>
      </c>
      <c r="H1936" s="6">
        <v>18500</v>
      </c>
      <c r="I1936" s="6">
        <v>96666</v>
      </c>
      <c r="J1936" s="16">
        <v>11600</v>
      </c>
    </row>
    <row r="1937" spans="1:10" x14ac:dyDescent="0.3">
      <c r="A1937" s="15" t="s">
        <v>15</v>
      </c>
      <c r="B1937" s="7" t="s">
        <v>84</v>
      </c>
      <c r="C1937" s="7" t="s">
        <v>12</v>
      </c>
      <c r="D1937" s="7" t="s">
        <v>172</v>
      </c>
      <c r="E1937" s="13">
        <f t="shared" ca="1" si="30"/>
        <v>45841</v>
      </c>
      <c r="F1937" s="7" t="s">
        <v>33</v>
      </c>
      <c r="G1937" s="8">
        <v>3</v>
      </c>
      <c r="H1937" s="9">
        <v>45000</v>
      </c>
      <c r="I1937" s="9">
        <v>121640</v>
      </c>
      <c r="J1937" s="17">
        <v>21895</v>
      </c>
    </row>
    <row r="1938" spans="1:10" x14ac:dyDescent="0.3">
      <c r="A1938" s="14" t="s">
        <v>37</v>
      </c>
      <c r="B1938" s="4" t="s">
        <v>88</v>
      </c>
      <c r="C1938" s="4" t="s">
        <v>12</v>
      </c>
      <c r="D1938" s="4" t="s">
        <v>71</v>
      </c>
      <c r="E1938" s="13">
        <f t="shared" ca="1" si="30"/>
        <v>45673</v>
      </c>
      <c r="F1938" s="4" t="s">
        <v>14</v>
      </c>
      <c r="G1938" s="5">
        <v>7</v>
      </c>
      <c r="H1938" s="6">
        <v>18500</v>
      </c>
      <c r="I1938" s="6">
        <v>134253</v>
      </c>
      <c r="J1938" s="16">
        <v>16110</v>
      </c>
    </row>
    <row r="1939" spans="1:10" x14ac:dyDescent="0.3">
      <c r="A1939" s="15" t="s">
        <v>10</v>
      </c>
      <c r="B1939" s="7" t="s">
        <v>88</v>
      </c>
      <c r="C1939" s="7" t="s">
        <v>12</v>
      </c>
      <c r="D1939" s="7" t="s">
        <v>240</v>
      </c>
      <c r="E1939" s="13">
        <f t="shared" ca="1" si="30"/>
        <v>45692</v>
      </c>
      <c r="F1939" s="7" t="s">
        <v>33</v>
      </c>
      <c r="G1939" s="8">
        <v>5</v>
      </c>
      <c r="H1939" s="9">
        <v>45000</v>
      </c>
      <c r="I1939" s="9">
        <v>212691</v>
      </c>
      <c r="J1939" s="17">
        <v>38284</v>
      </c>
    </row>
    <row r="1940" spans="1:10" x14ac:dyDescent="0.3">
      <c r="A1940" s="14" t="s">
        <v>15</v>
      </c>
      <c r="B1940" s="4" t="s">
        <v>84</v>
      </c>
      <c r="C1940" s="4" t="s">
        <v>12</v>
      </c>
      <c r="D1940" s="4" t="s">
        <v>256</v>
      </c>
      <c r="E1940" s="13">
        <f t="shared" ca="1" si="30"/>
        <v>45761</v>
      </c>
      <c r="F1940" s="4" t="s">
        <v>36</v>
      </c>
      <c r="G1940" s="5">
        <v>4</v>
      </c>
      <c r="H1940" s="6">
        <v>55000</v>
      </c>
      <c r="I1940" s="6">
        <v>206497</v>
      </c>
      <c r="J1940" s="16">
        <v>45429</v>
      </c>
    </row>
    <row r="1941" spans="1:10" x14ac:dyDescent="0.3">
      <c r="A1941" s="15" t="s">
        <v>10</v>
      </c>
      <c r="B1941" s="7" t="s">
        <v>81</v>
      </c>
      <c r="C1941" s="7" t="s">
        <v>26</v>
      </c>
      <c r="D1941" s="7" t="s">
        <v>227</v>
      </c>
      <c r="E1941" s="13">
        <f t="shared" ca="1" si="30"/>
        <v>45831</v>
      </c>
      <c r="F1941" s="7" t="s">
        <v>36</v>
      </c>
      <c r="G1941" s="8">
        <v>6</v>
      </c>
      <c r="H1941" s="9">
        <v>55000</v>
      </c>
      <c r="I1941" s="9">
        <v>301551</v>
      </c>
      <c r="J1941" s="17">
        <v>66341</v>
      </c>
    </row>
    <row r="1942" spans="1:10" x14ac:dyDescent="0.3">
      <c r="A1942" s="14" t="s">
        <v>41</v>
      </c>
      <c r="B1942" s="4" t="s">
        <v>81</v>
      </c>
      <c r="C1942" s="4" t="s">
        <v>26</v>
      </c>
      <c r="D1942" s="4" t="s">
        <v>243</v>
      </c>
      <c r="E1942" s="13">
        <f t="shared" ca="1" si="30"/>
        <v>45956</v>
      </c>
      <c r="F1942" s="4" t="s">
        <v>36</v>
      </c>
      <c r="G1942" s="5">
        <v>6</v>
      </c>
      <c r="H1942" s="6">
        <v>55000</v>
      </c>
      <c r="I1942" s="6">
        <v>317985</v>
      </c>
      <c r="J1942" s="16">
        <v>69957</v>
      </c>
    </row>
    <row r="1943" spans="1:10" x14ac:dyDescent="0.3">
      <c r="A1943" s="15" t="s">
        <v>10</v>
      </c>
      <c r="B1943" s="7" t="s">
        <v>77</v>
      </c>
      <c r="C1943" s="7" t="s">
        <v>12</v>
      </c>
      <c r="D1943" s="7" t="s">
        <v>124</v>
      </c>
      <c r="E1943" s="13">
        <f t="shared" ca="1" si="30"/>
        <v>45790</v>
      </c>
      <c r="F1943" s="7" t="s">
        <v>36</v>
      </c>
      <c r="G1943" s="8">
        <v>8</v>
      </c>
      <c r="H1943" s="9">
        <v>55000</v>
      </c>
      <c r="I1943" s="9">
        <v>420567</v>
      </c>
      <c r="J1943" s="17">
        <v>92525</v>
      </c>
    </row>
    <row r="1944" spans="1:10" x14ac:dyDescent="0.3">
      <c r="A1944" s="14" t="s">
        <v>10</v>
      </c>
      <c r="B1944" s="4" t="s">
        <v>22</v>
      </c>
      <c r="C1944" s="4" t="s">
        <v>23</v>
      </c>
      <c r="D1944" s="4" t="s">
        <v>195</v>
      </c>
      <c r="E1944" s="13">
        <f t="shared" ca="1" si="30"/>
        <v>45714</v>
      </c>
      <c r="F1944" s="4" t="s">
        <v>14</v>
      </c>
      <c r="G1944" s="5">
        <v>4</v>
      </c>
      <c r="H1944" s="6">
        <v>18500</v>
      </c>
      <c r="I1944" s="6">
        <v>68383</v>
      </c>
      <c r="J1944" s="16">
        <v>8206</v>
      </c>
    </row>
    <row r="1945" spans="1:10" x14ac:dyDescent="0.3">
      <c r="A1945" s="15" t="s">
        <v>18</v>
      </c>
      <c r="B1945" s="7" t="s">
        <v>25</v>
      </c>
      <c r="C1945" s="7" t="s">
        <v>26</v>
      </c>
      <c r="D1945" s="7" t="s">
        <v>174</v>
      </c>
      <c r="E1945" s="13">
        <f t="shared" ca="1" si="30"/>
        <v>45772</v>
      </c>
      <c r="F1945" s="7" t="s">
        <v>33</v>
      </c>
      <c r="G1945" s="8">
        <v>4</v>
      </c>
      <c r="H1945" s="9">
        <v>45000</v>
      </c>
      <c r="I1945" s="9">
        <v>175616</v>
      </c>
      <c r="J1945" s="17">
        <v>31611</v>
      </c>
    </row>
    <row r="1946" spans="1:10" x14ac:dyDescent="0.3">
      <c r="A1946" s="14" t="s">
        <v>41</v>
      </c>
      <c r="B1946" s="4" t="s">
        <v>84</v>
      </c>
      <c r="C1946" s="4" t="s">
        <v>12</v>
      </c>
      <c r="D1946" s="4" t="s">
        <v>93</v>
      </c>
      <c r="E1946" s="13">
        <f t="shared" ca="1" si="30"/>
        <v>45922</v>
      </c>
      <c r="F1946" s="4" t="s">
        <v>33</v>
      </c>
      <c r="G1946" s="5">
        <v>7</v>
      </c>
      <c r="H1946" s="6">
        <v>45000</v>
      </c>
      <c r="I1946" s="6">
        <v>338722</v>
      </c>
      <c r="J1946" s="16">
        <v>60970</v>
      </c>
    </row>
    <row r="1947" spans="1:10" x14ac:dyDescent="0.3">
      <c r="A1947" s="15" t="s">
        <v>10</v>
      </c>
      <c r="B1947" s="7" t="s">
        <v>88</v>
      </c>
      <c r="C1947" s="7" t="s">
        <v>12</v>
      </c>
      <c r="D1947" s="7" t="s">
        <v>112</v>
      </c>
      <c r="E1947" s="13">
        <f t="shared" ca="1" si="30"/>
        <v>45746</v>
      </c>
      <c r="F1947" s="7" t="s">
        <v>40</v>
      </c>
      <c r="G1947" s="8">
        <v>8</v>
      </c>
      <c r="H1947" s="9">
        <v>15000</v>
      </c>
      <c r="I1947" s="9">
        <v>109023</v>
      </c>
      <c r="J1947" s="17">
        <v>10902</v>
      </c>
    </row>
    <row r="1948" spans="1:10" x14ac:dyDescent="0.3">
      <c r="A1948" s="14" t="s">
        <v>18</v>
      </c>
      <c r="B1948" s="4" t="s">
        <v>88</v>
      </c>
      <c r="C1948" s="4" t="s">
        <v>12</v>
      </c>
      <c r="D1948" s="4" t="s">
        <v>198</v>
      </c>
      <c r="E1948" s="13">
        <f t="shared" ca="1" si="30"/>
        <v>46014</v>
      </c>
      <c r="F1948" s="4" t="s">
        <v>21</v>
      </c>
      <c r="G1948" s="5">
        <v>4</v>
      </c>
      <c r="H1948" s="6">
        <v>12500</v>
      </c>
      <c r="I1948" s="6">
        <v>46499</v>
      </c>
      <c r="J1948" s="16">
        <v>3720</v>
      </c>
    </row>
    <row r="1949" spans="1:10" x14ac:dyDescent="0.3">
      <c r="A1949" s="15" t="s">
        <v>10</v>
      </c>
      <c r="B1949" s="7" t="s">
        <v>16</v>
      </c>
      <c r="C1949" s="7" t="s">
        <v>12</v>
      </c>
      <c r="D1949" s="7" t="s">
        <v>262</v>
      </c>
      <c r="E1949" s="13">
        <f t="shared" ca="1" si="30"/>
        <v>45728</v>
      </c>
      <c r="F1949" s="7" t="s">
        <v>33</v>
      </c>
      <c r="G1949" s="8">
        <v>8</v>
      </c>
      <c r="H1949" s="9">
        <v>45000</v>
      </c>
      <c r="I1949" s="9">
        <v>345453</v>
      </c>
      <c r="J1949" s="17">
        <v>62182</v>
      </c>
    </row>
    <row r="1950" spans="1:10" x14ac:dyDescent="0.3">
      <c r="A1950" s="14" t="s">
        <v>18</v>
      </c>
      <c r="B1950" s="4" t="s">
        <v>46</v>
      </c>
      <c r="C1950" s="4" t="s">
        <v>26</v>
      </c>
      <c r="D1950" s="4" t="s">
        <v>219</v>
      </c>
      <c r="E1950" s="13">
        <f t="shared" ca="1" si="30"/>
        <v>45670</v>
      </c>
      <c r="F1950" s="4" t="s">
        <v>33</v>
      </c>
      <c r="G1950" s="5">
        <v>1</v>
      </c>
      <c r="H1950" s="6">
        <v>45000</v>
      </c>
      <c r="I1950" s="6">
        <v>49047</v>
      </c>
      <c r="J1950" s="16">
        <v>8828</v>
      </c>
    </row>
    <row r="1951" spans="1:10" x14ac:dyDescent="0.3">
      <c r="A1951" s="15" t="s">
        <v>18</v>
      </c>
      <c r="B1951" s="7" t="s">
        <v>29</v>
      </c>
      <c r="C1951" s="7" t="s">
        <v>26</v>
      </c>
      <c r="D1951" s="7" t="s">
        <v>87</v>
      </c>
      <c r="E1951" s="13">
        <f t="shared" ca="1" si="30"/>
        <v>45927</v>
      </c>
      <c r="F1951" s="7" t="s">
        <v>21</v>
      </c>
      <c r="G1951" s="8">
        <v>6</v>
      </c>
      <c r="H1951" s="9">
        <v>12500</v>
      </c>
      <c r="I1951" s="9">
        <v>71555</v>
      </c>
      <c r="J1951" s="17">
        <v>5724</v>
      </c>
    </row>
    <row r="1952" spans="1:10" x14ac:dyDescent="0.3">
      <c r="A1952" s="14" t="s">
        <v>37</v>
      </c>
      <c r="B1952" s="4" t="s">
        <v>77</v>
      </c>
      <c r="C1952" s="4" t="s">
        <v>12</v>
      </c>
      <c r="D1952" s="4" t="s">
        <v>125</v>
      </c>
      <c r="E1952" s="13">
        <f t="shared" ca="1" si="30"/>
        <v>45801</v>
      </c>
      <c r="F1952" s="4" t="s">
        <v>14</v>
      </c>
      <c r="G1952" s="5">
        <v>6</v>
      </c>
      <c r="H1952" s="6">
        <v>18500</v>
      </c>
      <c r="I1952" s="6">
        <v>111308</v>
      </c>
      <c r="J1952" s="16">
        <v>13357</v>
      </c>
    </row>
    <row r="1953" spans="1:10" x14ac:dyDescent="0.3">
      <c r="A1953" s="15" t="s">
        <v>18</v>
      </c>
      <c r="B1953" s="7" t="s">
        <v>77</v>
      </c>
      <c r="C1953" s="7" t="s">
        <v>12</v>
      </c>
      <c r="D1953" s="7" t="s">
        <v>103</v>
      </c>
      <c r="E1953" s="13">
        <f t="shared" ca="1" si="30"/>
        <v>45821</v>
      </c>
      <c r="F1953" s="7" t="s">
        <v>40</v>
      </c>
      <c r="G1953" s="8">
        <v>3</v>
      </c>
      <c r="H1953" s="9">
        <v>15000</v>
      </c>
      <c r="I1953" s="9">
        <v>43204</v>
      </c>
      <c r="J1953" s="17">
        <v>4320</v>
      </c>
    </row>
    <row r="1954" spans="1:10" x14ac:dyDescent="0.3">
      <c r="A1954" s="14" t="s">
        <v>10</v>
      </c>
      <c r="B1954" s="4" t="s">
        <v>51</v>
      </c>
      <c r="C1954" s="4" t="s">
        <v>12</v>
      </c>
      <c r="D1954" s="4" t="s">
        <v>86</v>
      </c>
      <c r="E1954" s="13">
        <f t="shared" ca="1" si="30"/>
        <v>45802</v>
      </c>
      <c r="F1954" s="4" t="s">
        <v>33</v>
      </c>
      <c r="G1954" s="5">
        <v>4</v>
      </c>
      <c r="H1954" s="6">
        <v>45000</v>
      </c>
      <c r="I1954" s="6">
        <v>196765</v>
      </c>
      <c r="J1954" s="16">
        <v>35418</v>
      </c>
    </row>
    <row r="1955" spans="1:10" x14ac:dyDescent="0.3">
      <c r="A1955" s="15" t="s">
        <v>18</v>
      </c>
      <c r="B1955" s="7" t="s">
        <v>16</v>
      </c>
      <c r="C1955" s="7" t="s">
        <v>12</v>
      </c>
      <c r="D1955" s="7" t="s">
        <v>92</v>
      </c>
      <c r="E1955" s="13">
        <f t="shared" ca="1" si="30"/>
        <v>45914</v>
      </c>
      <c r="F1955" s="7" t="s">
        <v>21</v>
      </c>
      <c r="G1955" s="8">
        <v>8</v>
      </c>
      <c r="H1955" s="9">
        <v>12500</v>
      </c>
      <c r="I1955" s="9">
        <v>108850</v>
      </c>
      <c r="J1955" s="17">
        <v>8708</v>
      </c>
    </row>
    <row r="1956" spans="1:10" x14ac:dyDescent="0.3">
      <c r="A1956" s="14" t="s">
        <v>41</v>
      </c>
      <c r="B1956" s="4" t="s">
        <v>11</v>
      </c>
      <c r="C1956" s="4" t="s">
        <v>12</v>
      </c>
      <c r="D1956" s="4" t="s">
        <v>211</v>
      </c>
      <c r="E1956" s="13">
        <f t="shared" ca="1" si="30"/>
        <v>45699</v>
      </c>
      <c r="F1956" s="4" t="s">
        <v>14</v>
      </c>
      <c r="G1956" s="5">
        <v>6</v>
      </c>
      <c r="H1956" s="6">
        <v>18500</v>
      </c>
      <c r="I1956" s="6">
        <v>120934</v>
      </c>
      <c r="J1956" s="16">
        <v>14512</v>
      </c>
    </row>
    <row r="1957" spans="1:10" x14ac:dyDescent="0.3">
      <c r="A1957" s="15" t="s">
        <v>18</v>
      </c>
      <c r="B1957" s="7" t="s">
        <v>84</v>
      </c>
      <c r="C1957" s="7" t="s">
        <v>12</v>
      </c>
      <c r="D1957" s="7" t="s">
        <v>138</v>
      </c>
      <c r="E1957" s="13">
        <f t="shared" ca="1" si="30"/>
        <v>46012</v>
      </c>
      <c r="F1957" s="7" t="s">
        <v>36</v>
      </c>
      <c r="G1957" s="8">
        <v>5</v>
      </c>
      <c r="H1957" s="9">
        <v>55000</v>
      </c>
      <c r="I1957" s="9">
        <v>301738</v>
      </c>
      <c r="J1957" s="17">
        <v>66382</v>
      </c>
    </row>
    <row r="1958" spans="1:10" x14ac:dyDescent="0.3">
      <c r="A1958" s="14" t="s">
        <v>15</v>
      </c>
      <c r="B1958" s="4" t="s">
        <v>16</v>
      </c>
      <c r="C1958" s="4" t="s">
        <v>12</v>
      </c>
      <c r="D1958" s="4" t="s">
        <v>133</v>
      </c>
      <c r="E1958" s="13">
        <f t="shared" ca="1" si="30"/>
        <v>45768</v>
      </c>
      <c r="F1958" s="4" t="s">
        <v>14</v>
      </c>
      <c r="G1958" s="5">
        <v>2</v>
      </c>
      <c r="H1958" s="6">
        <v>18500</v>
      </c>
      <c r="I1958" s="6">
        <v>34703</v>
      </c>
      <c r="J1958" s="16">
        <v>4164</v>
      </c>
    </row>
    <row r="1959" spans="1:10" x14ac:dyDescent="0.3">
      <c r="A1959" s="15" t="s">
        <v>18</v>
      </c>
      <c r="B1959" s="7" t="s">
        <v>29</v>
      </c>
      <c r="C1959" s="7" t="s">
        <v>26</v>
      </c>
      <c r="D1959" s="7" t="s">
        <v>122</v>
      </c>
      <c r="E1959" s="13">
        <f t="shared" ca="1" si="30"/>
        <v>45814</v>
      </c>
      <c r="F1959" s="7" t="s">
        <v>14</v>
      </c>
      <c r="G1959" s="8">
        <v>6</v>
      </c>
      <c r="H1959" s="9">
        <v>18500</v>
      </c>
      <c r="I1959" s="9">
        <v>111194</v>
      </c>
      <c r="J1959" s="17">
        <v>13343</v>
      </c>
    </row>
    <row r="1960" spans="1:10" x14ac:dyDescent="0.3">
      <c r="A1960" s="14" t="s">
        <v>37</v>
      </c>
      <c r="B1960" s="4" t="s">
        <v>46</v>
      </c>
      <c r="C1960" s="4" t="s">
        <v>26</v>
      </c>
      <c r="D1960" s="4" t="s">
        <v>208</v>
      </c>
      <c r="E1960" s="13">
        <f t="shared" ca="1" si="30"/>
        <v>45883</v>
      </c>
      <c r="F1960" s="4" t="s">
        <v>33</v>
      </c>
      <c r="G1960" s="5">
        <v>6</v>
      </c>
      <c r="H1960" s="6">
        <v>45000</v>
      </c>
      <c r="I1960" s="6">
        <v>269172</v>
      </c>
      <c r="J1960" s="16">
        <v>48451</v>
      </c>
    </row>
    <row r="1961" spans="1:10" x14ac:dyDescent="0.3">
      <c r="A1961" s="15" t="s">
        <v>15</v>
      </c>
      <c r="B1961" s="7" t="s">
        <v>31</v>
      </c>
      <c r="C1961" s="7" t="s">
        <v>12</v>
      </c>
      <c r="D1961" s="7" t="s">
        <v>164</v>
      </c>
      <c r="E1961" s="13">
        <f t="shared" ca="1" si="30"/>
        <v>45800</v>
      </c>
      <c r="F1961" s="7" t="s">
        <v>33</v>
      </c>
      <c r="G1961" s="8">
        <v>6</v>
      </c>
      <c r="H1961" s="9">
        <v>45000</v>
      </c>
      <c r="I1961" s="9">
        <v>248264</v>
      </c>
      <c r="J1961" s="17">
        <v>44688</v>
      </c>
    </row>
    <row r="1962" spans="1:10" x14ac:dyDescent="0.3">
      <c r="A1962" s="14" t="s">
        <v>10</v>
      </c>
      <c r="B1962" s="4" t="s">
        <v>46</v>
      </c>
      <c r="C1962" s="4" t="s">
        <v>26</v>
      </c>
      <c r="D1962" s="4" t="s">
        <v>149</v>
      </c>
      <c r="E1962" s="13">
        <f t="shared" ca="1" si="30"/>
        <v>45794</v>
      </c>
      <c r="F1962" s="4" t="s">
        <v>14</v>
      </c>
      <c r="G1962" s="5">
        <v>5</v>
      </c>
      <c r="H1962" s="6">
        <v>18500</v>
      </c>
      <c r="I1962" s="6">
        <v>84971</v>
      </c>
      <c r="J1962" s="16">
        <v>10197</v>
      </c>
    </row>
    <row r="1963" spans="1:10" x14ac:dyDescent="0.3">
      <c r="A1963" s="15" t="s">
        <v>18</v>
      </c>
      <c r="B1963" s="7" t="s">
        <v>84</v>
      </c>
      <c r="C1963" s="7" t="s">
        <v>12</v>
      </c>
      <c r="D1963" s="7" t="s">
        <v>183</v>
      </c>
      <c r="E1963" s="13">
        <f t="shared" ca="1" si="30"/>
        <v>45878</v>
      </c>
      <c r="F1963" s="7" t="s">
        <v>33</v>
      </c>
      <c r="G1963" s="8">
        <v>6</v>
      </c>
      <c r="H1963" s="9">
        <v>45000</v>
      </c>
      <c r="I1963" s="9">
        <v>293277</v>
      </c>
      <c r="J1963" s="17">
        <v>52790</v>
      </c>
    </row>
    <row r="1964" spans="1:10" x14ac:dyDescent="0.3">
      <c r="A1964" s="14" t="s">
        <v>18</v>
      </c>
      <c r="B1964" s="4" t="s">
        <v>81</v>
      </c>
      <c r="C1964" s="4" t="s">
        <v>26</v>
      </c>
      <c r="D1964" s="4" t="s">
        <v>242</v>
      </c>
      <c r="E1964" s="13">
        <f t="shared" ca="1" si="30"/>
        <v>45908</v>
      </c>
      <c r="F1964" s="4" t="s">
        <v>40</v>
      </c>
      <c r="G1964" s="5">
        <v>9</v>
      </c>
      <c r="H1964" s="6">
        <v>15000</v>
      </c>
      <c r="I1964" s="6">
        <v>136665</v>
      </c>
      <c r="J1964" s="16">
        <v>13666</v>
      </c>
    </row>
    <row r="1965" spans="1:10" x14ac:dyDescent="0.3">
      <c r="A1965" s="15" t="s">
        <v>15</v>
      </c>
      <c r="B1965" s="7" t="s">
        <v>88</v>
      </c>
      <c r="C1965" s="7" t="s">
        <v>12</v>
      </c>
      <c r="D1965" s="7" t="s">
        <v>57</v>
      </c>
      <c r="E1965" s="13">
        <f t="shared" ca="1" si="30"/>
        <v>45780</v>
      </c>
      <c r="F1965" s="7" t="s">
        <v>36</v>
      </c>
      <c r="G1965" s="8">
        <v>9</v>
      </c>
      <c r="H1965" s="9">
        <v>55000</v>
      </c>
      <c r="I1965" s="9">
        <v>473862</v>
      </c>
      <c r="J1965" s="17">
        <v>104250</v>
      </c>
    </row>
    <row r="1966" spans="1:10" x14ac:dyDescent="0.3">
      <c r="A1966" s="14" t="s">
        <v>10</v>
      </c>
      <c r="B1966" s="4" t="s">
        <v>31</v>
      </c>
      <c r="C1966" s="4" t="s">
        <v>12</v>
      </c>
      <c r="D1966" s="4" t="s">
        <v>129</v>
      </c>
      <c r="E1966" s="13">
        <f t="shared" ca="1" si="30"/>
        <v>45735</v>
      </c>
      <c r="F1966" s="4" t="s">
        <v>21</v>
      </c>
      <c r="G1966" s="5">
        <v>4</v>
      </c>
      <c r="H1966" s="6">
        <v>12500</v>
      </c>
      <c r="I1966" s="6">
        <v>52892</v>
      </c>
      <c r="J1966" s="16">
        <v>4231</v>
      </c>
    </row>
    <row r="1967" spans="1:10" x14ac:dyDescent="0.3">
      <c r="A1967" s="15" t="s">
        <v>41</v>
      </c>
      <c r="B1967" s="7" t="s">
        <v>31</v>
      </c>
      <c r="C1967" s="7" t="s">
        <v>12</v>
      </c>
      <c r="D1967" s="7" t="s">
        <v>96</v>
      </c>
      <c r="E1967" s="13">
        <f t="shared" ca="1" si="30"/>
        <v>45744</v>
      </c>
      <c r="F1967" s="7" t="s">
        <v>21</v>
      </c>
      <c r="G1967" s="8">
        <v>3</v>
      </c>
      <c r="H1967" s="9">
        <v>12500</v>
      </c>
      <c r="I1967" s="9">
        <v>34583</v>
      </c>
      <c r="J1967" s="17">
        <v>2767</v>
      </c>
    </row>
    <row r="1968" spans="1:10" x14ac:dyDescent="0.3">
      <c r="A1968" s="14" t="s">
        <v>18</v>
      </c>
      <c r="B1968" s="4" t="s">
        <v>16</v>
      </c>
      <c r="C1968" s="4" t="s">
        <v>12</v>
      </c>
      <c r="D1968" s="4" t="s">
        <v>151</v>
      </c>
      <c r="E1968" s="13">
        <f t="shared" ca="1" si="30"/>
        <v>45881</v>
      </c>
      <c r="F1968" s="4" t="s">
        <v>33</v>
      </c>
      <c r="G1968" s="5">
        <v>10</v>
      </c>
      <c r="H1968" s="6">
        <v>45000</v>
      </c>
      <c r="I1968" s="6">
        <v>425900</v>
      </c>
      <c r="J1968" s="16">
        <v>76662</v>
      </c>
    </row>
    <row r="1969" spans="1:10" x14ac:dyDescent="0.3">
      <c r="A1969" s="15" t="s">
        <v>41</v>
      </c>
      <c r="B1969" s="7" t="s">
        <v>84</v>
      </c>
      <c r="C1969" s="7" t="s">
        <v>12</v>
      </c>
      <c r="D1969" s="7" t="s">
        <v>122</v>
      </c>
      <c r="E1969" s="13">
        <f t="shared" ca="1" si="30"/>
        <v>45727</v>
      </c>
      <c r="F1969" s="7" t="s">
        <v>14</v>
      </c>
      <c r="G1969" s="8">
        <v>2</v>
      </c>
      <c r="H1969" s="9">
        <v>18500</v>
      </c>
      <c r="I1969" s="9">
        <v>36379</v>
      </c>
      <c r="J1969" s="17">
        <v>4365</v>
      </c>
    </row>
    <row r="1970" spans="1:10" x14ac:dyDescent="0.3">
      <c r="A1970" s="14" t="s">
        <v>37</v>
      </c>
      <c r="B1970" s="4" t="s">
        <v>56</v>
      </c>
      <c r="C1970" s="4" t="s">
        <v>23</v>
      </c>
      <c r="D1970" s="4" t="s">
        <v>228</v>
      </c>
      <c r="E1970" s="13">
        <f t="shared" ca="1" si="30"/>
        <v>45965</v>
      </c>
      <c r="F1970" s="4" t="s">
        <v>40</v>
      </c>
      <c r="G1970" s="5">
        <v>10</v>
      </c>
      <c r="H1970" s="6">
        <v>15000</v>
      </c>
      <c r="I1970" s="6">
        <v>144028</v>
      </c>
      <c r="J1970" s="16">
        <v>14403</v>
      </c>
    </row>
    <row r="1971" spans="1:10" x14ac:dyDescent="0.3">
      <c r="A1971" s="15" t="s">
        <v>18</v>
      </c>
      <c r="B1971" s="7" t="s">
        <v>31</v>
      </c>
      <c r="C1971" s="7" t="s">
        <v>12</v>
      </c>
      <c r="D1971" s="7" t="s">
        <v>230</v>
      </c>
      <c r="E1971" s="13">
        <f t="shared" ca="1" si="30"/>
        <v>45749</v>
      </c>
      <c r="F1971" s="7" t="s">
        <v>36</v>
      </c>
      <c r="G1971" s="8">
        <v>9</v>
      </c>
      <c r="H1971" s="9">
        <v>55000</v>
      </c>
      <c r="I1971" s="9">
        <v>494566</v>
      </c>
      <c r="J1971" s="17">
        <v>108805</v>
      </c>
    </row>
    <row r="1972" spans="1:10" x14ac:dyDescent="0.3">
      <c r="A1972" s="14" t="s">
        <v>18</v>
      </c>
      <c r="B1972" s="4" t="s">
        <v>19</v>
      </c>
      <c r="C1972" s="4" t="s">
        <v>12</v>
      </c>
      <c r="D1972" s="4" t="s">
        <v>113</v>
      </c>
      <c r="E1972" s="13">
        <f t="shared" ca="1" si="30"/>
        <v>45880</v>
      </c>
      <c r="F1972" s="4" t="s">
        <v>36</v>
      </c>
      <c r="G1972" s="5">
        <v>4</v>
      </c>
      <c r="H1972" s="6">
        <v>55000</v>
      </c>
      <c r="I1972" s="6">
        <v>205901</v>
      </c>
      <c r="J1972" s="16">
        <v>45298</v>
      </c>
    </row>
    <row r="1973" spans="1:10" x14ac:dyDescent="0.3">
      <c r="A1973" s="15" t="s">
        <v>18</v>
      </c>
      <c r="B1973" s="7" t="s">
        <v>22</v>
      </c>
      <c r="C1973" s="7" t="s">
        <v>23</v>
      </c>
      <c r="D1973" s="7" t="s">
        <v>230</v>
      </c>
      <c r="E1973" s="13">
        <f t="shared" ca="1" si="30"/>
        <v>45720</v>
      </c>
      <c r="F1973" s="7" t="s">
        <v>36</v>
      </c>
      <c r="G1973" s="8">
        <v>7</v>
      </c>
      <c r="H1973" s="9">
        <v>55000</v>
      </c>
      <c r="I1973" s="9">
        <v>374628</v>
      </c>
      <c r="J1973" s="17">
        <v>82418</v>
      </c>
    </row>
    <row r="1974" spans="1:10" x14ac:dyDescent="0.3">
      <c r="A1974" s="14" t="s">
        <v>10</v>
      </c>
      <c r="B1974" s="4" t="s">
        <v>56</v>
      </c>
      <c r="C1974" s="4" t="s">
        <v>23</v>
      </c>
      <c r="D1974" s="4" t="s">
        <v>108</v>
      </c>
      <c r="E1974" s="13">
        <f t="shared" ca="1" si="30"/>
        <v>45759</v>
      </c>
      <c r="F1974" s="4" t="s">
        <v>40</v>
      </c>
      <c r="G1974" s="5">
        <v>7</v>
      </c>
      <c r="H1974" s="6">
        <v>15000</v>
      </c>
      <c r="I1974" s="6">
        <v>111867</v>
      </c>
      <c r="J1974" s="16">
        <v>11187</v>
      </c>
    </row>
    <row r="1975" spans="1:10" x14ac:dyDescent="0.3">
      <c r="A1975" s="15" t="s">
        <v>18</v>
      </c>
      <c r="B1975" s="7" t="s">
        <v>22</v>
      </c>
      <c r="C1975" s="7" t="s">
        <v>23</v>
      </c>
      <c r="D1975" s="7" t="s">
        <v>159</v>
      </c>
      <c r="E1975" s="13">
        <f t="shared" ca="1" si="30"/>
        <v>46007</v>
      </c>
      <c r="F1975" s="7" t="s">
        <v>36</v>
      </c>
      <c r="G1975" s="8">
        <v>9</v>
      </c>
      <c r="H1975" s="9">
        <v>55000</v>
      </c>
      <c r="I1975" s="9">
        <v>509999</v>
      </c>
      <c r="J1975" s="17">
        <v>112200</v>
      </c>
    </row>
    <row r="1976" spans="1:10" x14ac:dyDescent="0.3">
      <c r="A1976" s="14" t="s">
        <v>10</v>
      </c>
      <c r="B1976" s="4" t="s">
        <v>38</v>
      </c>
      <c r="C1976" s="4" t="s">
        <v>23</v>
      </c>
      <c r="D1976" s="4" t="s">
        <v>67</v>
      </c>
      <c r="E1976" s="13">
        <f t="shared" ca="1" si="30"/>
        <v>45967</v>
      </c>
      <c r="F1976" s="4" t="s">
        <v>33</v>
      </c>
      <c r="G1976" s="5">
        <v>9</v>
      </c>
      <c r="H1976" s="6">
        <v>45000</v>
      </c>
      <c r="I1976" s="6">
        <v>372160</v>
      </c>
      <c r="J1976" s="16">
        <v>66989</v>
      </c>
    </row>
    <row r="1977" spans="1:10" x14ac:dyDescent="0.3">
      <c r="A1977" s="15" t="s">
        <v>10</v>
      </c>
      <c r="B1977" s="7" t="s">
        <v>19</v>
      </c>
      <c r="C1977" s="7" t="s">
        <v>12</v>
      </c>
      <c r="D1977" s="7" t="s">
        <v>50</v>
      </c>
      <c r="E1977" s="13">
        <f t="shared" ca="1" si="30"/>
        <v>45834</v>
      </c>
      <c r="F1977" s="7" t="s">
        <v>14</v>
      </c>
      <c r="G1977" s="8">
        <v>6</v>
      </c>
      <c r="H1977" s="9">
        <v>18500</v>
      </c>
      <c r="I1977" s="9">
        <v>114462</v>
      </c>
      <c r="J1977" s="17">
        <v>13735</v>
      </c>
    </row>
    <row r="1978" spans="1:10" x14ac:dyDescent="0.3">
      <c r="A1978" s="14" t="s">
        <v>41</v>
      </c>
      <c r="B1978" s="4" t="s">
        <v>11</v>
      </c>
      <c r="C1978" s="4" t="s">
        <v>12</v>
      </c>
      <c r="D1978" s="4" t="s">
        <v>82</v>
      </c>
      <c r="E1978" s="13">
        <f t="shared" ca="1" si="30"/>
        <v>45753</v>
      </c>
      <c r="F1978" s="4" t="s">
        <v>33</v>
      </c>
      <c r="G1978" s="5">
        <v>1</v>
      </c>
      <c r="H1978" s="6">
        <v>45000</v>
      </c>
      <c r="I1978" s="6">
        <v>41686</v>
      </c>
      <c r="J1978" s="16">
        <v>7503</v>
      </c>
    </row>
    <row r="1979" spans="1:10" x14ac:dyDescent="0.3">
      <c r="A1979" s="15" t="s">
        <v>15</v>
      </c>
      <c r="B1979" s="7" t="s">
        <v>16</v>
      </c>
      <c r="C1979" s="7" t="s">
        <v>12</v>
      </c>
      <c r="D1979" s="7" t="s">
        <v>75</v>
      </c>
      <c r="E1979" s="13">
        <f t="shared" ca="1" si="30"/>
        <v>45663</v>
      </c>
      <c r="F1979" s="7" t="s">
        <v>40</v>
      </c>
      <c r="G1979" s="8">
        <v>9</v>
      </c>
      <c r="H1979" s="9">
        <v>15000</v>
      </c>
      <c r="I1979" s="9">
        <v>136260</v>
      </c>
      <c r="J1979" s="17">
        <v>13626</v>
      </c>
    </row>
    <row r="1980" spans="1:10" x14ac:dyDescent="0.3">
      <c r="A1980" s="14" t="s">
        <v>10</v>
      </c>
      <c r="B1980" s="4" t="s">
        <v>19</v>
      </c>
      <c r="C1980" s="4" t="s">
        <v>12</v>
      </c>
      <c r="D1980" s="4" t="s">
        <v>226</v>
      </c>
      <c r="E1980" s="13">
        <f t="shared" ca="1" si="30"/>
        <v>45731</v>
      </c>
      <c r="F1980" s="4" t="s">
        <v>33</v>
      </c>
      <c r="G1980" s="5">
        <v>6</v>
      </c>
      <c r="H1980" s="6">
        <v>45000</v>
      </c>
      <c r="I1980" s="6">
        <v>291658</v>
      </c>
      <c r="J1980" s="16">
        <v>52498</v>
      </c>
    </row>
    <row r="1981" spans="1:10" x14ac:dyDescent="0.3">
      <c r="A1981" s="15" t="s">
        <v>41</v>
      </c>
      <c r="B1981" s="7" t="s">
        <v>88</v>
      </c>
      <c r="C1981" s="7" t="s">
        <v>12</v>
      </c>
      <c r="D1981" s="7" t="s">
        <v>172</v>
      </c>
      <c r="E1981" s="13">
        <f t="shared" ca="1" si="30"/>
        <v>45794</v>
      </c>
      <c r="F1981" s="7" t="s">
        <v>36</v>
      </c>
      <c r="G1981" s="8">
        <v>3</v>
      </c>
      <c r="H1981" s="9">
        <v>55000</v>
      </c>
      <c r="I1981" s="9">
        <v>153060</v>
      </c>
      <c r="J1981" s="17">
        <v>33673</v>
      </c>
    </row>
    <row r="1982" spans="1:10" x14ac:dyDescent="0.3">
      <c r="A1982" s="14" t="s">
        <v>15</v>
      </c>
      <c r="B1982" s="4" t="s">
        <v>51</v>
      </c>
      <c r="C1982" s="4" t="s">
        <v>12</v>
      </c>
      <c r="D1982" s="4" t="s">
        <v>129</v>
      </c>
      <c r="E1982" s="13">
        <f t="shared" ca="1" si="30"/>
        <v>45734</v>
      </c>
      <c r="F1982" s="4" t="s">
        <v>21</v>
      </c>
      <c r="G1982" s="5">
        <v>7</v>
      </c>
      <c r="H1982" s="6">
        <v>12500</v>
      </c>
      <c r="I1982" s="6">
        <v>79057</v>
      </c>
      <c r="J1982" s="16">
        <v>6325</v>
      </c>
    </row>
    <row r="1983" spans="1:10" x14ac:dyDescent="0.3">
      <c r="A1983" s="15" t="s">
        <v>15</v>
      </c>
      <c r="B1983" s="7" t="s">
        <v>56</v>
      </c>
      <c r="C1983" s="7" t="s">
        <v>23</v>
      </c>
      <c r="D1983" s="7" t="s">
        <v>225</v>
      </c>
      <c r="E1983" s="13">
        <f t="shared" ca="1" si="30"/>
        <v>45761</v>
      </c>
      <c r="F1983" s="7" t="s">
        <v>21</v>
      </c>
      <c r="G1983" s="8">
        <v>5</v>
      </c>
      <c r="H1983" s="9">
        <v>12500</v>
      </c>
      <c r="I1983" s="9">
        <v>64326</v>
      </c>
      <c r="J1983" s="17">
        <v>5146</v>
      </c>
    </row>
    <row r="1984" spans="1:10" x14ac:dyDescent="0.3">
      <c r="A1984" s="14" t="s">
        <v>41</v>
      </c>
      <c r="B1984" s="4" t="s">
        <v>11</v>
      </c>
      <c r="C1984" s="4" t="s">
        <v>12</v>
      </c>
      <c r="D1984" s="4" t="s">
        <v>127</v>
      </c>
      <c r="E1984" s="13">
        <f t="shared" ca="1" si="30"/>
        <v>45961</v>
      </c>
      <c r="F1984" s="4" t="s">
        <v>36</v>
      </c>
      <c r="G1984" s="5">
        <v>8</v>
      </c>
      <c r="H1984" s="6">
        <v>55000</v>
      </c>
      <c r="I1984" s="6">
        <v>479762</v>
      </c>
      <c r="J1984" s="16">
        <v>105548</v>
      </c>
    </row>
    <row r="1985" spans="1:10" x14ac:dyDescent="0.3">
      <c r="A1985" s="15" t="s">
        <v>10</v>
      </c>
      <c r="B1985" s="7" t="s">
        <v>84</v>
      </c>
      <c r="C1985" s="7" t="s">
        <v>12</v>
      </c>
      <c r="D1985" s="7" t="s">
        <v>123</v>
      </c>
      <c r="E1985" s="13">
        <f t="shared" ca="1" si="30"/>
        <v>45698</v>
      </c>
      <c r="F1985" s="7" t="s">
        <v>36</v>
      </c>
      <c r="G1985" s="8">
        <v>6</v>
      </c>
      <c r="H1985" s="9">
        <v>55000</v>
      </c>
      <c r="I1985" s="9">
        <v>319988</v>
      </c>
      <c r="J1985" s="17">
        <v>70397</v>
      </c>
    </row>
    <row r="1986" spans="1:10" x14ac:dyDescent="0.3">
      <c r="A1986" s="14" t="s">
        <v>41</v>
      </c>
      <c r="B1986" s="4" t="s">
        <v>25</v>
      </c>
      <c r="C1986" s="4" t="s">
        <v>26</v>
      </c>
      <c r="D1986" s="4" t="s">
        <v>182</v>
      </c>
      <c r="E1986" s="13">
        <f t="shared" ca="1" si="30"/>
        <v>45889</v>
      </c>
      <c r="F1986" s="4" t="s">
        <v>21</v>
      </c>
      <c r="G1986" s="5">
        <v>8</v>
      </c>
      <c r="H1986" s="6">
        <v>12500</v>
      </c>
      <c r="I1986" s="6">
        <v>109491</v>
      </c>
      <c r="J1986" s="16">
        <v>8759</v>
      </c>
    </row>
    <row r="1987" spans="1:10" x14ac:dyDescent="0.3">
      <c r="A1987" s="15" t="s">
        <v>41</v>
      </c>
      <c r="B1987" s="7" t="s">
        <v>81</v>
      </c>
      <c r="C1987" s="7" t="s">
        <v>26</v>
      </c>
      <c r="D1987" s="7" t="s">
        <v>58</v>
      </c>
      <c r="E1987" s="13">
        <f t="shared" ref="E1987:E2001" ca="1" si="31">DATE(2025,1,1)+RANDBETWEEN(0,364)</f>
        <v>45836</v>
      </c>
      <c r="F1987" s="7" t="s">
        <v>33</v>
      </c>
      <c r="G1987" s="8">
        <v>6</v>
      </c>
      <c r="H1987" s="9">
        <v>45000</v>
      </c>
      <c r="I1987" s="9">
        <v>261881</v>
      </c>
      <c r="J1987" s="17">
        <v>47139</v>
      </c>
    </row>
    <row r="1988" spans="1:10" x14ac:dyDescent="0.3">
      <c r="A1988" s="14" t="s">
        <v>18</v>
      </c>
      <c r="B1988" s="4" t="s">
        <v>25</v>
      </c>
      <c r="C1988" s="4" t="s">
        <v>26</v>
      </c>
      <c r="D1988" s="4" t="s">
        <v>74</v>
      </c>
      <c r="E1988" s="13">
        <f t="shared" ca="1" si="31"/>
        <v>45859</v>
      </c>
      <c r="F1988" s="4" t="s">
        <v>33</v>
      </c>
      <c r="G1988" s="5">
        <v>3</v>
      </c>
      <c r="H1988" s="6">
        <v>45000</v>
      </c>
      <c r="I1988" s="6">
        <v>134500</v>
      </c>
      <c r="J1988" s="16">
        <v>24210</v>
      </c>
    </row>
    <row r="1989" spans="1:10" x14ac:dyDescent="0.3">
      <c r="A1989" s="15" t="s">
        <v>15</v>
      </c>
      <c r="B1989" s="7" t="s">
        <v>84</v>
      </c>
      <c r="C1989" s="7" t="s">
        <v>12</v>
      </c>
      <c r="D1989" s="7" t="s">
        <v>95</v>
      </c>
      <c r="E1989" s="13">
        <f t="shared" ca="1" si="31"/>
        <v>45735</v>
      </c>
      <c r="F1989" s="7" t="s">
        <v>40</v>
      </c>
      <c r="G1989" s="8">
        <v>1</v>
      </c>
      <c r="H1989" s="9">
        <v>15000</v>
      </c>
      <c r="I1989" s="9">
        <v>13579</v>
      </c>
      <c r="J1989" s="17">
        <v>1358</v>
      </c>
    </row>
    <row r="1990" spans="1:10" x14ac:dyDescent="0.3">
      <c r="A1990" s="14" t="s">
        <v>10</v>
      </c>
      <c r="B1990" s="4" t="s">
        <v>77</v>
      </c>
      <c r="C1990" s="4" t="s">
        <v>12</v>
      </c>
      <c r="D1990" s="4" t="s">
        <v>237</v>
      </c>
      <c r="E1990" s="13">
        <f t="shared" ca="1" si="31"/>
        <v>46019</v>
      </c>
      <c r="F1990" s="4" t="s">
        <v>40</v>
      </c>
      <c r="G1990" s="5">
        <v>9</v>
      </c>
      <c r="H1990" s="6">
        <v>15000</v>
      </c>
      <c r="I1990" s="6">
        <v>130944</v>
      </c>
      <c r="J1990" s="16">
        <v>13094</v>
      </c>
    </row>
    <row r="1991" spans="1:10" x14ac:dyDescent="0.3">
      <c r="A1991" s="15" t="s">
        <v>41</v>
      </c>
      <c r="B1991" s="7" t="s">
        <v>19</v>
      </c>
      <c r="C1991" s="7" t="s">
        <v>12</v>
      </c>
      <c r="D1991" s="7" t="s">
        <v>113</v>
      </c>
      <c r="E1991" s="13">
        <f t="shared" ca="1" si="31"/>
        <v>45928</v>
      </c>
      <c r="F1991" s="7" t="s">
        <v>40</v>
      </c>
      <c r="G1991" s="8">
        <v>10</v>
      </c>
      <c r="H1991" s="9">
        <v>15000</v>
      </c>
      <c r="I1991" s="9">
        <v>157817</v>
      </c>
      <c r="J1991" s="17">
        <v>15782</v>
      </c>
    </row>
    <row r="1992" spans="1:10" x14ac:dyDescent="0.3">
      <c r="A1992" s="14" t="s">
        <v>15</v>
      </c>
      <c r="B1992" s="4" t="s">
        <v>81</v>
      </c>
      <c r="C1992" s="4" t="s">
        <v>26</v>
      </c>
      <c r="D1992" s="4" t="s">
        <v>180</v>
      </c>
      <c r="E1992" s="13">
        <f t="shared" ca="1" si="31"/>
        <v>45879</v>
      </c>
      <c r="F1992" s="4" t="s">
        <v>36</v>
      </c>
      <c r="G1992" s="5">
        <v>3</v>
      </c>
      <c r="H1992" s="6">
        <v>55000</v>
      </c>
      <c r="I1992" s="6">
        <v>153772</v>
      </c>
      <c r="J1992" s="16">
        <v>33830</v>
      </c>
    </row>
    <row r="1993" spans="1:10" x14ac:dyDescent="0.3">
      <c r="A1993" s="15" t="s">
        <v>41</v>
      </c>
      <c r="B1993" s="7" t="s">
        <v>38</v>
      </c>
      <c r="C1993" s="7" t="s">
        <v>23</v>
      </c>
      <c r="D1993" s="7" t="s">
        <v>248</v>
      </c>
      <c r="E1993" s="13">
        <f t="shared" ca="1" si="31"/>
        <v>45772</v>
      </c>
      <c r="F1993" s="7" t="s">
        <v>40</v>
      </c>
      <c r="G1993" s="8">
        <v>8</v>
      </c>
      <c r="H1993" s="9">
        <v>15000</v>
      </c>
      <c r="I1993" s="9">
        <v>111575</v>
      </c>
      <c r="J1993" s="17">
        <v>11158</v>
      </c>
    </row>
    <row r="1994" spans="1:10" x14ac:dyDescent="0.3">
      <c r="A1994" s="14" t="s">
        <v>18</v>
      </c>
      <c r="B1994" s="4" t="s">
        <v>56</v>
      </c>
      <c r="C1994" s="4" t="s">
        <v>23</v>
      </c>
      <c r="D1994" s="4" t="s">
        <v>97</v>
      </c>
      <c r="E1994" s="13">
        <f t="shared" ca="1" si="31"/>
        <v>45763</v>
      </c>
      <c r="F1994" s="4" t="s">
        <v>21</v>
      </c>
      <c r="G1994" s="5">
        <v>10</v>
      </c>
      <c r="H1994" s="6">
        <v>12500</v>
      </c>
      <c r="I1994" s="6">
        <v>129172</v>
      </c>
      <c r="J1994" s="16">
        <v>10334</v>
      </c>
    </row>
    <row r="1995" spans="1:10" x14ac:dyDescent="0.3">
      <c r="A1995" s="15" t="s">
        <v>10</v>
      </c>
      <c r="B1995" s="7" t="s">
        <v>38</v>
      </c>
      <c r="C1995" s="7" t="s">
        <v>23</v>
      </c>
      <c r="D1995" s="7" t="s">
        <v>175</v>
      </c>
      <c r="E1995" s="13">
        <f t="shared" ca="1" si="31"/>
        <v>45892</v>
      </c>
      <c r="F1995" s="7" t="s">
        <v>21</v>
      </c>
      <c r="G1995" s="8">
        <v>9</v>
      </c>
      <c r="H1995" s="9">
        <v>12500</v>
      </c>
      <c r="I1995" s="9">
        <v>119887</v>
      </c>
      <c r="J1995" s="17">
        <v>9591</v>
      </c>
    </row>
    <row r="1996" spans="1:10" x14ac:dyDescent="0.3">
      <c r="A1996" s="14" t="s">
        <v>18</v>
      </c>
      <c r="B1996" s="4" t="s">
        <v>25</v>
      </c>
      <c r="C1996" s="4" t="s">
        <v>26</v>
      </c>
      <c r="D1996" s="4" t="s">
        <v>140</v>
      </c>
      <c r="E1996" s="13">
        <f t="shared" ca="1" si="31"/>
        <v>45870</v>
      </c>
      <c r="F1996" s="4" t="s">
        <v>33</v>
      </c>
      <c r="G1996" s="5">
        <v>1</v>
      </c>
      <c r="H1996" s="6">
        <v>45000</v>
      </c>
      <c r="I1996" s="6">
        <v>48255</v>
      </c>
      <c r="J1996" s="16">
        <v>8686</v>
      </c>
    </row>
    <row r="1997" spans="1:10" x14ac:dyDescent="0.3">
      <c r="A1997" s="15" t="s">
        <v>18</v>
      </c>
      <c r="B1997" s="7" t="s">
        <v>51</v>
      </c>
      <c r="C1997" s="7" t="s">
        <v>12</v>
      </c>
      <c r="D1997" s="7" t="s">
        <v>171</v>
      </c>
      <c r="E1997" s="13">
        <f t="shared" ca="1" si="31"/>
        <v>45947</v>
      </c>
      <c r="F1997" s="7" t="s">
        <v>21</v>
      </c>
      <c r="G1997" s="8">
        <v>8</v>
      </c>
      <c r="H1997" s="9">
        <v>12500</v>
      </c>
      <c r="I1997" s="9">
        <v>97084</v>
      </c>
      <c r="J1997" s="17">
        <v>7767</v>
      </c>
    </row>
    <row r="1998" spans="1:10" x14ac:dyDescent="0.3">
      <c r="A1998" s="14" t="s">
        <v>41</v>
      </c>
      <c r="B1998" s="4" t="s">
        <v>22</v>
      </c>
      <c r="C1998" s="4" t="s">
        <v>23</v>
      </c>
      <c r="D1998" s="4" t="s">
        <v>66</v>
      </c>
      <c r="E1998" s="13">
        <f t="shared" ca="1" si="31"/>
        <v>45742</v>
      </c>
      <c r="F1998" s="4" t="s">
        <v>40</v>
      </c>
      <c r="G1998" s="5">
        <v>5</v>
      </c>
      <c r="H1998" s="6">
        <v>15000</v>
      </c>
      <c r="I1998" s="6">
        <v>70234</v>
      </c>
      <c r="J1998" s="16">
        <v>7023</v>
      </c>
    </row>
    <row r="1999" spans="1:10" x14ac:dyDescent="0.3">
      <c r="A1999" s="15" t="s">
        <v>37</v>
      </c>
      <c r="B1999" s="7" t="s">
        <v>29</v>
      </c>
      <c r="C1999" s="7" t="s">
        <v>26</v>
      </c>
      <c r="D1999" s="7" t="s">
        <v>256</v>
      </c>
      <c r="E1999" s="13">
        <f t="shared" ca="1" si="31"/>
        <v>45827</v>
      </c>
      <c r="F1999" s="7" t="s">
        <v>40</v>
      </c>
      <c r="G1999" s="8">
        <v>5</v>
      </c>
      <c r="H1999" s="9">
        <v>15000</v>
      </c>
      <c r="I1999" s="9">
        <v>73663</v>
      </c>
      <c r="J1999" s="17">
        <v>7366</v>
      </c>
    </row>
    <row r="2000" spans="1:10" x14ac:dyDescent="0.3">
      <c r="A2000" s="14" t="s">
        <v>18</v>
      </c>
      <c r="B2000" s="4" t="s">
        <v>77</v>
      </c>
      <c r="C2000" s="4" t="s">
        <v>12</v>
      </c>
      <c r="D2000" s="4" t="s">
        <v>138</v>
      </c>
      <c r="E2000" s="13">
        <f t="shared" ca="1" si="31"/>
        <v>45899</v>
      </c>
      <c r="F2000" s="4" t="s">
        <v>36</v>
      </c>
      <c r="G2000" s="5">
        <v>7</v>
      </c>
      <c r="H2000" s="6">
        <v>55000</v>
      </c>
      <c r="I2000" s="6">
        <v>352810</v>
      </c>
      <c r="J2000" s="16">
        <v>77618</v>
      </c>
    </row>
    <row r="2001" spans="1:10" x14ac:dyDescent="0.3">
      <c r="A2001" s="21" t="s">
        <v>10</v>
      </c>
      <c r="B2001" s="22" t="s">
        <v>25</v>
      </c>
      <c r="C2001" s="22" t="s">
        <v>26</v>
      </c>
      <c r="D2001" s="22" t="s">
        <v>92</v>
      </c>
      <c r="E2001" s="13">
        <f t="shared" ca="1" si="31"/>
        <v>45755</v>
      </c>
      <c r="F2001" s="22" t="s">
        <v>33</v>
      </c>
      <c r="G2001" s="23">
        <v>2</v>
      </c>
      <c r="H2001" s="24">
        <v>45000</v>
      </c>
      <c r="I2001" s="24">
        <v>83600</v>
      </c>
      <c r="J2001" s="25">
        <v>15048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97"/>
  <sheetViews>
    <sheetView showGridLines="0" zoomScale="86" zoomScaleNormal="86" workbookViewId="0">
      <selection activeCell="I74" sqref="I74"/>
    </sheetView>
  </sheetViews>
  <sheetFormatPr baseColWidth="10" defaultRowHeight="14.4" x14ac:dyDescent="0.3"/>
  <cols>
    <col min="1" max="2" width="20.88671875" bestFit="1" customWidth="1"/>
    <col min="3" max="3" width="25.44140625" bestFit="1" customWidth="1"/>
    <col min="4" max="4" width="18.6640625" bestFit="1" customWidth="1"/>
    <col min="7" max="7" width="12.5546875" bestFit="1" customWidth="1"/>
    <col min="8" max="8" width="25.44140625" bestFit="1" customWidth="1"/>
    <col min="9" max="9" width="18.33203125" bestFit="1" customWidth="1"/>
    <col min="10" max="11" width="18.6640625" bestFit="1" customWidth="1"/>
  </cols>
  <sheetData>
    <row r="2" spans="2:10" x14ac:dyDescent="0.3">
      <c r="G2" s="10" t="s">
        <v>5</v>
      </c>
      <c r="H2" t="s">
        <v>265</v>
      </c>
      <c r="I2" t="s">
        <v>266</v>
      </c>
      <c r="J2" t="s">
        <v>267</v>
      </c>
    </row>
    <row r="3" spans="2:10" x14ac:dyDescent="0.3">
      <c r="G3" t="s">
        <v>14</v>
      </c>
      <c r="H3" s="12">
        <v>37172559</v>
      </c>
      <c r="I3" s="12">
        <v>4460701</v>
      </c>
      <c r="J3" s="38">
        <v>2019</v>
      </c>
    </row>
    <row r="4" spans="2:10" x14ac:dyDescent="0.3">
      <c r="G4" t="s">
        <v>40</v>
      </c>
      <c r="H4" s="12">
        <v>30736311</v>
      </c>
      <c r="I4" s="12">
        <v>3073633</v>
      </c>
      <c r="J4" s="38">
        <v>2059</v>
      </c>
    </row>
    <row r="5" spans="2:10" x14ac:dyDescent="0.3">
      <c r="G5" t="s">
        <v>36</v>
      </c>
      <c r="H5" s="12">
        <v>128969266</v>
      </c>
      <c r="I5" s="12">
        <v>28373246</v>
      </c>
      <c r="J5" s="38">
        <v>2350</v>
      </c>
    </row>
    <row r="6" spans="2:10" x14ac:dyDescent="0.3">
      <c r="G6" t="s">
        <v>21</v>
      </c>
      <c r="H6" s="12">
        <v>26557405</v>
      </c>
      <c r="I6" s="12">
        <v>2124601</v>
      </c>
      <c r="J6" s="38">
        <v>2132</v>
      </c>
    </row>
    <row r="7" spans="2:10" x14ac:dyDescent="0.3">
      <c r="G7" t="s">
        <v>33</v>
      </c>
      <c r="H7" s="12">
        <v>102244053</v>
      </c>
      <c r="I7" s="12">
        <v>18403926</v>
      </c>
      <c r="J7" s="38">
        <v>2275</v>
      </c>
    </row>
    <row r="8" spans="2:10" x14ac:dyDescent="0.3">
      <c r="G8" t="s">
        <v>264</v>
      </c>
      <c r="H8" s="12">
        <v>325679594</v>
      </c>
      <c r="I8" s="12">
        <v>56436107</v>
      </c>
      <c r="J8" s="38">
        <v>10835</v>
      </c>
    </row>
    <row r="13" spans="2:10" x14ac:dyDescent="0.3">
      <c r="B13" s="10" t="s">
        <v>263</v>
      </c>
      <c r="C13" t="s">
        <v>265</v>
      </c>
    </row>
    <row r="14" spans="2:10" x14ac:dyDescent="0.3">
      <c r="B14" s="11" t="s">
        <v>84</v>
      </c>
      <c r="C14" s="38">
        <v>26310321</v>
      </c>
    </row>
    <row r="15" spans="2:10" x14ac:dyDescent="0.3">
      <c r="B15" s="11" t="s">
        <v>88</v>
      </c>
      <c r="C15" s="38">
        <v>24706785</v>
      </c>
    </row>
    <row r="16" spans="2:10" x14ac:dyDescent="0.3">
      <c r="B16" s="11" t="s">
        <v>81</v>
      </c>
      <c r="C16" s="38">
        <v>18437887</v>
      </c>
    </row>
    <row r="17" spans="2:3" x14ac:dyDescent="0.3">
      <c r="B17" s="11" t="s">
        <v>77</v>
      </c>
      <c r="C17" s="38">
        <v>23961933</v>
      </c>
    </row>
    <row r="18" spans="2:3" x14ac:dyDescent="0.3">
      <c r="B18" s="11" t="s">
        <v>19</v>
      </c>
      <c r="C18" s="38">
        <v>19648160</v>
      </c>
    </row>
    <row r="19" spans="2:3" x14ac:dyDescent="0.3">
      <c r="B19" s="11" t="s">
        <v>31</v>
      </c>
      <c r="C19" s="38">
        <v>21103205</v>
      </c>
    </row>
    <row r="20" spans="2:3" x14ac:dyDescent="0.3">
      <c r="B20" s="11" t="s">
        <v>29</v>
      </c>
      <c r="C20" s="38">
        <v>18801088</v>
      </c>
    </row>
    <row r="21" spans="2:3" x14ac:dyDescent="0.3">
      <c r="B21" s="11" t="s">
        <v>22</v>
      </c>
      <c r="C21" s="38">
        <v>25753332</v>
      </c>
    </row>
    <row r="22" spans="2:3" x14ac:dyDescent="0.3">
      <c r="B22" s="11" t="s">
        <v>25</v>
      </c>
      <c r="C22" s="38">
        <v>21144109</v>
      </c>
    </row>
    <row r="23" spans="2:3" x14ac:dyDescent="0.3">
      <c r="B23" s="11" t="s">
        <v>38</v>
      </c>
      <c r="C23" s="38">
        <v>23305594</v>
      </c>
    </row>
    <row r="24" spans="2:3" x14ac:dyDescent="0.3">
      <c r="B24" s="11" t="s">
        <v>11</v>
      </c>
      <c r="C24" s="38">
        <v>18281053</v>
      </c>
    </row>
    <row r="25" spans="2:3" x14ac:dyDescent="0.3">
      <c r="B25" s="11" t="s">
        <v>16</v>
      </c>
      <c r="C25" s="38">
        <v>23944099</v>
      </c>
    </row>
    <row r="26" spans="2:3" x14ac:dyDescent="0.3">
      <c r="B26" s="11" t="s">
        <v>46</v>
      </c>
      <c r="C26" s="38">
        <v>18192338</v>
      </c>
    </row>
    <row r="27" spans="2:3" x14ac:dyDescent="0.3">
      <c r="B27" s="11" t="s">
        <v>51</v>
      </c>
      <c r="C27" s="38">
        <v>21008017</v>
      </c>
    </row>
    <row r="28" spans="2:3" x14ac:dyDescent="0.3">
      <c r="B28" s="11" t="s">
        <v>56</v>
      </c>
      <c r="C28" s="38">
        <v>21081673</v>
      </c>
    </row>
    <row r="29" spans="2:3" x14ac:dyDescent="0.3">
      <c r="B29" s="11" t="s">
        <v>264</v>
      </c>
      <c r="C29" s="38">
        <v>325679594</v>
      </c>
    </row>
    <row r="39" spans="2:6" x14ac:dyDescent="0.3">
      <c r="B39" s="11" t="s">
        <v>2</v>
      </c>
      <c r="C39" t="s">
        <v>268</v>
      </c>
      <c r="D39" t="s">
        <v>269</v>
      </c>
      <c r="E39" t="s">
        <v>271</v>
      </c>
      <c r="F39" t="s">
        <v>270</v>
      </c>
    </row>
    <row r="40" spans="2:6" x14ac:dyDescent="0.3">
      <c r="B40" s="11" t="s">
        <v>84</v>
      </c>
      <c r="C40">
        <v>1</v>
      </c>
      <c r="D40">
        <v>11</v>
      </c>
      <c r="E40">
        <f>VLOOKUP(B40,B$14:C$28,2,FALSE)</f>
        <v>26310321</v>
      </c>
      <c r="F40">
        <f>IF(E40=MAX(E$40:E$54),E40,"")</f>
        <v>26310321</v>
      </c>
    </row>
    <row r="41" spans="2:6" x14ac:dyDescent="0.3">
      <c r="B41" s="11" t="s">
        <v>88</v>
      </c>
      <c r="C41">
        <v>2</v>
      </c>
      <c r="D41">
        <v>10</v>
      </c>
      <c r="E41">
        <f t="shared" ref="E41:E54" si="0">VLOOKUP(B41,B$14:C$28,2,FALSE)</f>
        <v>24706785</v>
      </c>
      <c r="F41" t="str">
        <f t="shared" ref="F41:F54" si="1">IF(E41=MAX(E$40:E$54),E41,"")</f>
        <v/>
      </c>
    </row>
    <row r="42" spans="2:6" x14ac:dyDescent="0.3">
      <c r="B42" s="11" t="s">
        <v>81</v>
      </c>
      <c r="C42">
        <v>4</v>
      </c>
      <c r="D42">
        <v>14</v>
      </c>
      <c r="E42">
        <f t="shared" si="0"/>
        <v>18437887</v>
      </c>
      <c r="F42" t="str">
        <f t="shared" si="1"/>
        <v/>
      </c>
    </row>
    <row r="43" spans="2:6" x14ac:dyDescent="0.3">
      <c r="B43" s="11" t="s">
        <v>77</v>
      </c>
      <c r="C43">
        <v>5</v>
      </c>
      <c r="D43">
        <v>12</v>
      </c>
      <c r="E43">
        <f t="shared" si="0"/>
        <v>23961933</v>
      </c>
      <c r="F43" t="str">
        <f t="shared" si="1"/>
        <v/>
      </c>
    </row>
    <row r="44" spans="2:6" x14ac:dyDescent="0.3">
      <c r="B44" s="11" t="s">
        <v>19</v>
      </c>
      <c r="C44">
        <v>4</v>
      </c>
      <c r="D44">
        <v>10</v>
      </c>
      <c r="E44">
        <f t="shared" si="0"/>
        <v>19648160</v>
      </c>
      <c r="F44" t="str">
        <f t="shared" si="1"/>
        <v/>
      </c>
    </row>
    <row r="45" spans="2:6" x14ac:dyDescent="0.3">
      <c r="B45" s="11" t="s">
        <v>31</v>
      </c>
      <c r="C45">
        <v>6</v>
      </c>
      <c r="D45">
        <v>4</v>
      </c>
      <c r="E45">
        <f t="shared" si="0"/>
        <v>21103205</v>
      </c>
      <c r="F45" t="str">
        <f t="shared" si="1"/>
        <v/>
      </c>
    </row>
    <row r="46" spans="2:6" x14ac:dyDescent="0.3">
      <c r="B46" s="11" t="s">
        <v>29</v>
      </c>
      <c r="C46">
        <v>9</v>
      </c>
      <c r="D46">
        <v>14</v>
      </c>
      <c r="E46">
        <f t="shared" si="0"/>
        <v>18801088</v>
      </c>
      <c r="F46" t="str">
        <f t="shared" si="1"/>
        <v/>
      </c>
    </row>
    <row r="47" spans="2:6" x14ac:dyDescent="0.3">
      <c r="B47" s="11" t="s">
        <v>22</v>
      </c>
      <c r="C47">
        <v>3</v>
      </c>
      <c r="D47">
        <v>12</v>
      </c>
      <c r="E47">
        <f t="shared" si="0"/>
        <v>25753332</v>
      </c>
      <c r="F47" t="str">
        <f t="shared" si="1"/>
        <v/>
      </c>
    </row>
    <row r="48" spans="2:6" x14ac:dyDescent="0.3">
      <c r="B48" s="11" t="s">
        <v>25</v>
      </c>
      <c r="C48">
        <v>7</v>
      </c>
      <c r="D48">
        <v>12</v>
      </c>
      <c r="E48">
        <f t="shared" si="0"/>
        <v>21144109</v>
      </c>
      <c r="F48" t="str">
        <f t="shared" si="1"/>
        <v/>
      </c>
    </row>
    <row r="49" spans="2:6" x14ac:dyDescent="0.3">
      <c r="B49" s="11" t="s">
        <v>38</v>
      </c>
      <c r="C49">
        <v>8</v>
      </c>
      <c r="D49">
        <v>7</v>
      </c>
      <c r="E49">
        <f t="shared" si="0"/>
        <v>23305594</v>
      </c>
      <c r="F49" t="str">
        <f t="shared" si="1"/>
        <v/>
      </c>
    </row>
    <row r="50" spans="2:6" x14ac:dyDescent="0.3">
      <c r="B50" s="11" t="s">
        <v>11</v>
      </c>
      <c r="C50">
        <v>9</v>
      </c>
      <c r="D50">
        <v>4</v>
      </c>
      <c r="E50">
        <f t="shared" si="0"/>
        <v>18281053</v>
      </c>
      <c r="F50" t="str">
        <f t="shared" si="1"/>
        <v/>
      </c>
    </row>
    <row r="51" spans="2:6" x14ac:dyDescent="0.3">
      <c r="B51" s="11" t="s">
        <v>16</v>
      </c>
      <c r="C51">
        <v>11.5</v>
      </c>
      <c r="D51">
        <v>8.5</v>
      </c>
      <c r="E51">
        <f t="shared" si="0"/>
        <v>23944099</v>
      </c>
      <c r="F51" t="str">
        <f t="shared" si="1"/>
        <v/>
      </c>
    </row>
    <row r="52" spans="2:6" x14ac:dyDescent="0.3">
      <c r="B52" s="11" t="s">
        <v>46</v>
      </c>
      <c r="C52">
        <v>8</v>
      </c>
      <c r="D52">
        <v>1</v>
      </c>
      <c r="E52">
        <f t="shared" si="0"/>
        <v>18192338</v>
      </c>
      <c r="F52" t="str">
        <f t="shared" si="1"/>
        <v/>
      </c>
    </row>
    <row r="53" spans="2:6" x14ac:dyDescent="0.3">
      <c r="B53" s="11" t="s">
        <v>51</v>
      </c>
      <c r="C53">
        <v>10</v>
      </c>
      <c r="D53">
        <v>8</v>
      </c>
      <c r="E53">
        <f t="shared" si="0"/>
        <v>21008017</v>
      </c>
      <c r="F53" t="str">
        <f t="shared" si="1"/>
        <v/>
      </c>
    </row>
    <row r="54" spans="2:6" x14ac:dyDescent="0.3">
      <c r="B54" s="11" t="s">
        <v>56</v>
      </c>
      <c r="C54">
        <v>7</v>
      </c>
      <c r="D54">
        <v>9</v>
      </c>
      <c r="E54">
        <f t="shared" si="0"/>
        <v>21081673</v>
      </c>
      <c r="F54" t="str">
        <f t="shared" si="1"/>
        <v/>
      </c>
    </row>
    <row r="55" spans="2:6" x14ac:dyDescent="0.3">
      <c r="B55" s="11"/>
    </row>
    <row r="56" spans="2:6" x14ac:dyDescent="0.3">
      <c r="B56" s="10" t="s">
        <v>263</v>
      </c>
      <c r="C56" t="s">
        <v>265</v>
      </c>
    </row>
    <row r="57" spans="2:6" x14ac:dyDescent="0.3">
      <c r="B57" s="11" t="s">
        <v>272</v>
      </c>
      <c r="C57" s="26">
        <v>31140395</v>
      </c>
    </row>
    <row r="58" spans="2:6" x14ac:dyDescent="0.3">
      <c r="B58" s="11" t="s">
        <v>273</v>
      </c>
      <c r="C58" s="26">
        <v>27096656</v>
      </c>
    </row>
    <row r="59" spans="2:6" x14ac:dyDescent="0.3">
      <c r="B59" s="11" t="s">
        <v>274</v>
      </c>
      <c r="C59" s="26">
        <v>24073359</v>
      </c>
    </row>
    <row r="60" spans="2:6" x14ac:dyDescent="0.3">
      <c r="B60" s="11" t="s">
        <v>275</v>
      </c>
      <c r="C60" s="26">
        <v>27327721</v>
      </c>
    </row>
    <row r="61" spans="2:6" x14ac:dyDescent="0.3">
      <c r="B61" s="11" t="s">
        <v>276</v>
      </c>
      <c r="C61" s="26">
        <v>30357206</v>
      </c>
    </row>
    <row r="62" spans="2:6" x14ac:dyDescent="0.3">
      <c r="B62" s="11" t="s">
        <v>277</v>
      </c>
      <c r="C62" s="26">
        <v>31527048</v>
      </c>
    </row>
    <row r="63" spans="2:6" x14ac:dyDescent="0.3">
      <c r="B63" s="11" t="s">
        <v>278</v>
      </c>
      <c r="C63" s="26">
        <v>20057043</v>
      </c>
    </row>
    <row r="64" spans="2:6" x14ac:dyDescent="0.3">
      <c r="B64" s="11" t="s">
        <v>279</v>
      </c>
      <c r="C64" s="26">
        <v>24513767</v>
      </c>
    </row>
    <row r="65" spans="2:3" x14ac:dyDescent="0.3">
      <c r="B65" s="11" t="s">
        <v>280</v>
      </c>
      <c r="C65" s="26">
        <v>26055104</v>
      </c>
    </row>
    <row r="66" spans="2:3" x14ac:dyDescent="0.3">
      <c r="B66" s="11" t="s">
        <v>281</v>
      </c>
      <c r="C66" s="26">
        <v>27420603</v>
      </c>
    </row>
    <row r="67" spans="2:3" x14ac:dyDescent="0.3">
      <c r="B67" s="11" t="s">
        <v>282</v>
      </c>
      <c r="C67" s="26">
        <v>26227727</v>
      </c>
    </row>
    <row r="68" spans="2:3" x14ac:dyDescent="0.3">
      <c r="B68" s="11" t="s">
        <v>283</v>
      </c>
      <c r="C68" s="26">
        <v>29882965</v>
      </c>
    </row>
    <row r="69" spans="2:3" x14ac:dyDescent="0.3">
      <c r="B69" s="11" t="s">
        <v>264</v>
      </c>
      <c r="C69" s="26">
        <v>325679594</v>
      </c>
    </row>
    <row r="73" spans="2:3" x14ac:dyDescent="0.3">
      <c r="B73" s="10" t="s">
        <v>263</v>
      </c>
      <c r="C73" t="s">
        <v>267</v>
      </c>
    </row>
    <row r="74" spans="2:3" x14ac:dyDescent="0.3">
      <c r="B74" s="11" t="s">
        <v>10</v>
      </c>
      <c r="C74">
        <v>2216</v>
      </c>
    </row>
    <row r="75" spans="2:3" x14ac:dyDescent="0.3">
      <c r="B75" s="11" t="s">
        <v>15</v>
      </c>
      <c r="C75">
        <v>2155</v>
      </c>
    </row>
    <row r="76" spans="2:3" x14ac:dyDescent="0.3">
      <c r="B76" s="11" t="s">
        <v>18</v>
      </c>
      <c r="C76">
        <v>2164</v>
      </c>
    </row>
    <row r="77" spans="2:3" x14ac:dyDescent="0.3">
      <c r="B77" s="11" t="s">
        <v>37</v>
      </c>
      <c r="C77">
        <v>2301</v>
      </c>
    </row>
    <row r="78" spans="2:3" x14ac:dyDescent="0.3">
      <c r="B78" s="11" t="s">
        <v>41</v>
      </c>
      <c r="C78">
        <v>1999</v>
      </c>
    </row>
    <row r="79" spans="2:3" x14ac:dyDescent="0.3">
      <c r="B79" s="11" t="s">
        <v>264</v>
      </c>
      <c r="C79">
        <v>10835</v>
      </c>
    </row>
    <row r="82" spans="2:4" x14ac:dyDescent="0.3">
      <c r="B82" s="10" t="s">
        <v>263</v>
      </c>
      <c r="C82" t="s">
        <v>265</v>
      </c>
    </row>
    <row r="83" spans="2:4" x14ac:dyDescent="0.3">
      <c r="B83" s="11" t="s">
        <v>171</v>
      </c>
      <c r="C83" s="26">
        <v>2899783</v>
      </c>
    </row>
    <row r="84" spans="2:4" x14ac:dyDescent="0.3">
      <c r="B84" s="11" t="s">
        <v>140</v>
      </c>
      <c r="C84" s="26">
        <v>3066707</v>
      </c>
    </row>
    <row r="85" spans="2:4" x14ac:dyDescent="0.3">
      <c r="B85" s="11" t="s">
        <v>85</v>
      </c>
      <c r="C85" s="26">
        <v>3501542</v>
      </c>
    </row>
    <row r="86" spans="2:4" x14ac:dyDescent="0.3">
      <c r="B86" s="11" t="s">
        <v>13</v>
      </c>
      <c r="C86" s="26">
        <v>3616276</v>
      </c>
    </row>
    <row r="87" spans="2:4" x14ac:dyDescent="0.3">
      <c r="B87" s="11" t="s">
        <v>53</v>
      </c>
      <c r="C87" s="26">
        <v>3748977</v>
      </c>
    </row>
    <row r="88" spans="2:4" x14ac:dyDescent="0.3">
      <c r="B88" s="11" t="s">
        <v>264</v>
      </c>
      <c r="C88" s="26">
        <v>16833285</v>
      </c>
    </row>
    <row r="91" spans="2:4" x14ac:dyDescent="0.3">
      <c r="B91" s="10" t="s">
        <v>263</v>
      </c>
      <c r="C91" t="s">
        <v>265</v>
      </c>
    </row>
    <row r="92" spans="2:4" x14ac:dyDescent="0.3">
      <c r="B92" s="11" t="s">
        <v>14</v>
      </c>
      <c r="C92" s="29">
        <v>0.11413843447618643</v>
      </c>
      <c r="D92" s="28">
        <f>1-C92</f>
        <v>0.88586156552381357</v>
      </c>
    </row>
    <row r="93" spans="2:4" x14ac:dyDescent="0.3">
      <c r="B93" s="11" t="s">
        <v>40</v>
      </c>
      <c r="C93" s="29">
        <v>9.4375919051286949E-2</v>
      </c>
      <c r="D93" s="28">
        <f t="shared" ref="D93:D96" si="2">1-C93</f>
        <v>0.90562408094871305</v>
      </c>
    </row>
    <row r="94" spans="2:4" x14ac:dyDescent="0.3">
      <c r="B94" s="11" t="s">
        <v>36</v>
      </c>
      <c r="C94" s="29">
        <v>0.39600045067607154</v>
      </c>
      <c r="D94" s="28">
        <f t="shared" si="2"/>
        <v>0.60399954932392852</v>
      </c>
    </row>
    <row r="95" spans="2:4" x14ac:dyDescent="0.3">
      <c r="B95" s="11" t="s">
        <v>21</v>
      </c>
      <c r="C95" s="29">
        <v>8.1544577828232004E-2</v>
      </c>
      <c r="D95" s="28">
        <f t="shared" si="2"/>
        <v>0.91845542217176801</v>
      </c>
    </row>
    <row r="96" spans="2:4" x14ac:dyDescent="0.3">
      <c r="B96" s="11" t="s">
        <v>33</v>
      </c>
      <c r="C96" s="29">
        <v>0.31394061796822309</v>
      </c>
      <c r="D96" s="28">
        <f t="shared" si="2"/>
        <v>0.68605938203177685</v>
      </c>
    </row>
    <row r="97" spans="2:3" x14ac:dyDescent="0.3">
      <c r="B97" s="11" t="s">
        <v>264</v>
      </c>
      <c r="C97" s="27">
        <v>1</v>
      </c>
    </row>
  </sheetData>
  <pageMargins left="0.7" right="0.7" top="0.75" bottom="0.75" header="0.3" footer="0.3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0"/>
  <sheetViews>
    <sheetView showGridLines="0" tabSelected="1" zoomScale="74" zoomScaleNormal="70" workbookViewId="0">
      <selection activeCell="O13" sqref="O13"/>
    </sheetView>
  </sheetViews>
  <sheetFormatPr baseColWidth="10" defaultColWidth="5.77734375" defaultRowHeight="13.8" x14ac:dyDescent="0.25"/>
  <cols>
    <col min="1" max="16384" width="5.77734375" style="30"/>
  </cols>
  <sheetData>
    <row r="1" spans="1:19" ht="6.6" customHeight="1" x14ac:dyDescent="0.25"/>
    <row r="2" spans="1:19" x14ac:dyDescent="0.25">
      <c r="A2" s="37" t="s">
        <v>284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</row>
    <row r="3" spans="1:19" x14ac:dyDescent="0.25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</row>
    <row r="4" spans="1:19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</row>
    <row r="7" spans="1:19" s="34" customFormat="1" ht="14.4" customHeight="1" x14ac:dyDescent="0.5">
      <c r="A7" s="39">
        <f>GETPIVOTDATA("Somme de Chiffre d'affaires",Traitement!$G$2)</f>
        <v>325679594</v>
      </c>
      <c r="B7" s="39"/>
      <c r="C7" s="39"/>
      <c r="D7" s="39"/>
      <c r="E7" s="39"/>
      <c r="F7" s="32"/>
      <c r="G7" s="32"/>
      <c r="H7" s="39">
        <f>GETPIVOTDATA("Somme de Bénéfice",Traitement!$G$2)</f>
        <v>56436107</v>
      </c>
      <c r="I7" s="39"/>
      <c r="J7" s="39"/>
      <c r="K7" s="39"/>
      <c r="L7" s="39"/>
      <c r="M7" s="32"/>
      <c r="N7" s="39">
        <f>GETPIVOTDATA("Somme de Quantité",Traitement!$G$2)</f>
        <v>10835</v>
      </c>
      <c r="O7" s="39"/>
      <c r="P7" s="39"/>
      <c r="Q7" s="39"/>
    </row>
    <row r="8" spans="1:19" s="34" customFormat="1" ht="14.4" customHeight="1" x14ac:dyDescent="0.5">
      <c r="A8" s="39"/>
      <c r="B8" s="39"/>
      <c r="C8" s="39"/>
      <c r="D8" s="39"/>
      <c r="E8" s="39"/>
      <c r="F8" s="32"/>
      <c r="G8" s="32"/>
      <c r="H8" s="39"/>
      <c r="I8" s="39"/>
      <c r="J8" s="39"/>
      <c r="K8" s="39"/>
      <c r="L8" s="39"/>
      <c r="M8" s="32"/>
      <c r="N8" s="39"/>
      <c r="O8" s="39"/>
      <c r="P8" s="39"/>
      <c r="Q8" s="39"/>
    </row>
    <row r="9" spans="1:19" s="34" customFormat="1" ht="8.4" customHeight="1" x14ac:dyDescent="0.5">
      <c r="A9" s="39"/>
      <c r="B9" s="39"/>
      <c r="C9" s="39"/>
      <c r="D9" s="39"/>
      <c r="E9" s="39"/>
      <c r="F9" s="32"/>
      <c r="G9" s="32"/>
      <c r="H9" s="39"/>
      <c r="I9" s="39"/>
      <c r="J9" s="39"/>
      <c r="K9" s="39"/>
      <c r="L9" s="39"/>
      <c r="M9" s="32"/>
      <c r="N9" s="39"/>
      <c r="O9" s="39"/>
      <c r="P9" s="39"/>
      <c r="Q9" s="39"/>
    </row>
    <row r="10" spans="1:19" s="34" customFormat="1" ht="8.4" customHeight="1" x14ac:dyDescent="0.5">
      <c r="A10" s="31"/>
      <c r="B10" s="31"/>
      <c r="C10" s="31"/>
      <c r="D10" s="31"/>
      <c r="E10" s="31"/>
      <c r="F10" s="32"/>
      <c r="G10" s="32"/>
      <c r="H10" s="33"/>
      <c r="I10" s="33"/>
      <c r="J10" s="33"/>
      <c r="K10" s="33"/>
      <c r="L10" s="33"/>
      <c r="M10" s="32"/>
      <c r="N10" s="31"/>
      <c r="O10" s="31"/>
      <c r="P10" s="31"/>
      <c r="Q10" s="31"/>
    </row>
    <row r="11" spans="1:19" s="34" customFormat="1" ht="15.6" x14ac:dyDescent="0.3"/>
    <row r="12" spans="1:19" s="34" customFormat="1" ht="15.6" x14ac:dyDescent="0.3"/>
    <row r="13" spans="1:19" s="34" customFormat="1" ht="15.6" x14ac:dyDescent="0.3"/>
    <row r="14" spans="1:19" s="34" customFormat="1" ht="15.6" x14ac:dyDescent="0.3"/>
    <row r="15" spans="1:19" s="34" customFormat="1" ht="15.6" x14ac:dyDescent="0.3"/>
    <row r="16" spans="1:19" s="34" customFormat="1" ht="15.6" x14ac:dyDescent="0.3"/>
    <row r="17" s="34" customFormat="1" ht="15.6" x14ac:dyDescent="0.3"/>
    <row r="18" s="34" customFormat="1" ht="15.6" x14ac:dyDescent="0.3"/>
    <row r="19" s="34" customFormat="1" ht="15.6" x14ac:dyDescent="0.3"/>
    <row r="20" s="34" customFormat="1" ht="15.6" x14ac:dyDescent="0.3"/>
    <row r="21" s="34" customFormat="1" ht="15.6" x14ac:dyDescent="0.3"/>
    <row r="22" s="34" customFormat="1" ht="15.6" x14ac:dyDescent="0.3"/>
    <row r="23" s="34" customFormat="1" ht="15.6" x14ac:dyDescent="0.3"/>
    <row r="24" s="34" customFormat="1" ht="15.6" x14ac:dyDescent="0.3"/>
    <row r="25" s="34" customFormat="1" ht="15.6" x14ac:dyDescent="0.3"/>
    <row r="26" s="34" customFormat="1" ht="15.6" x14ac:dyDescent="0.3"/>
    <row r="27" s="34" customFormat="1" ht="15.6" x14ac:dyDescent="0.3"/>
    <row r="28" s="34" customFormat="1" ht="15.6" x14ac:dyDescent="0.3"/>
    <row r="29" s="34" customFormat="1" ht="15.6" x14ac:dyDescent="0.3"/>
    <row r="30" s="34" customFormat="1" ht="15.6" x14ac:dyDescent="0.3"/>
    <row r="31" s="34" customFormat="1" ht="15.6" x14ac:dyDescent="0.3"/>
    <row r="32" s="34" customFormat="1" ht="15.6" x14ac:dyDescent="0.3"/>
    <row r="33" spans="19:19" s="34" customFormat="1" ht="15.6" x14ac:dyDescent="0.3"/>
    <row r="34" spans="19:19" s="34" customFormat="1" ht="15.6" x14ac:dyDescent="0.3"/>
    <row r="35" spans="19:19" s="34" customFormat="1" ht="15.6" x14ac:dyDescent="0.3"/>
    <row r="36" spans="19:19" s="34" customFormat="1" ht="15.6" x14ac:dyDescent="0.3"/>
    <row r="37" spans="19:19" s="34" customFormat="1" ht="15.6" x14ac:dyDescent="0.3">
      <c r="S37" s="35"/>
    </row>
    <row r="38" spans="19:19" s="34" customFormat="1" ht="15.6" x14ac:dyDescent="0.3"/>
    <row r="39" spans="19:19" s="34" customFormat="1" ht="15.6" x14ac:dyDescent="0.3"/>
    <row r="40" spans="19:19" s="34" customFormat="1" ht="15.6" x14ac:dyDescent="0.3"/>
    <row r="41" spans="19:19" s="34" customFormat="1" ht="15.6" x14ac:dyDescent="0.3"/>
    <row r="42" spans="19:19" s="34" customFormat="1" ht="15.6" x14ac:dyDescent="0.3"/>
    <row r="43" spans="19:19" s="34" customFormat="1" ht="15.6" x14ac:dyDescent="0.3"/>
    <row r="44" spans="19:19" s="34" customFormat="1" ht="15.6" x14ac:dyDescent="0.3"/>
    <row r="45" spans="19:19" s="34" customFormat="1" ht="15.6" x14ac:dyDescent="0.3"/>
    <row r="46" spans="19:19" s="34" customFormat="1" ht="15.6" x14ac:dyDescent="0.3"/>
    <row r="47" spans="19:19" s="34" customFormat="1" ht="15.6" x14ac:dyDescent="0.3"/>
    <row r="48" spans="19:19" s="34" customFormat="1" ht="15.6" x14ac:dyDescent="0.3"/>
    <row r="49" s="34" customFormat="1" ht="15.6" x14ac:dyDescent="0.3"/>
    <row r="50" s="34" customFormat="1" ht="15.6" x14ac:dyDescent="0.3"/>
    <row r="51" s="34" customFormat="1" ht="15.6" x14ac:dyDescent="0.3"/>
    <row r="52" s="34" customFormat="1" ht="15.6" x14ac:dyDescent="0.3"/>
    <row r="53" s="34" customFormat="1" ht="15.6" x14ac:dyDescent="0.3"/>
    <row r="54" s="34" customFormat="1" ht="15.6" x14ac:dyDescent="0.3"/>
    <row r="55" s="34" customFormat="1" ht="15.6" x14ac:dyDescent="0.3"/>
    <row r="56" s="34" customFormat="1" ht="15.6" x14ac:dyDescent="0.3"/>
    <row r="57" s="34" customFormat="1" ht="15.6" x14ac:dyDescent="0.3"/>
    <row r="58" s="34" customFormat="1" ht="15.6" x14ac:dyDescent="0.3"/>
    <row r="59" s="34" customFormat="1" ht="15.6" x14ac:dyDescent="0.3"/>
    <row r="60" s="34" customFormat="1" ht="15.6" x14ac:dyDescent="0.3"/>
    <row r="61" s="34" customFormat="1" ht="15.6" x14ac:dyDescent="0.3"/>
    <row r="62" s="34" customFormat="1" ht="15.6" x14ac:dyDescent="0.3"/>
    <row r="63" s="34" customFormat="1" ht="15.6" x14ac:dyDescent="0.3"/>
    <row r="64" s="34" customFormat="1" ht="15.6" x14ac:dyDescent="0.3"/>
    <row r="65" s="34" customFormat="1" ht="15.6" x14ac:dyDescent="0.3"/>
    <row r="66" s="34" customFormat="1" ht="15.6" x14ac:dyDescent="0.3"/>
    <row r="67" s="34" customFormat="1" ht="15.6" x14ac:dyDescent="0.3"/>
    <row r="68" s="34" customFormat="1" ht="15.6" x14ac:dyDescent="0.3"/>
    <row r="69" s="34" customFormat="1" ht="15.6" x14ac:dyDescent="0.3"/>
    <row r="70" s="34" customFormat="1" ht="15.6" x14ac:dyDescent="0.3"/>
  </sheetData>
  <mergeCells count="4">
    <mergeCell ref="A2:S4"/>
    <mergeCell ref="A7:E9"/>
    <mergeCell ref="N7:Q9"/>
    <mergeCell ref="H7:L9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73ECA-3D59-4AEF-B3F1-90289F13E2F2}">
  <dimension ref="A1:J1611"/>
  <sheetViews>
    <sheetView workbookViewId="0">
      <selection activeCell="L16" sqref="L16"/>
    </sheetView>
  </sheetViews>
  <sheetFormatPr baseColWidth="10" defaultRowHeight="14.4" x14ac:dyDescent="0.3"/>
  <cols>
    <col min="1" max="1" width="13.21875" bestFit="1" customWidth="1"/>
    <col min="2" max="2" width="12.44140625" bestFit="1" customWidth="1"/>
    <col min="3" max="3" width="15.44140625" bestFit="1" customWidth="1"/>
    <col min="4" max="4" width="17.33203125" bestFit="1" customWidth="1"/>
    <col min="5" max="5" width="19.77734375" bestFit="1" customWidth="1"/>
    <col min="6" max="6" width="9.77734375" bestFit="1" customWidth="1"/>
    <col min="7" max="7" width="10.5546875" bestFit="1" customWidth="1"/>
    <col min="8" max="8" width="6.33203125" bestFit="1" customWidth="1"/>
    <col min="9" max="9" width="17.109375" bestFit="1" customWidth="1"/>
    <col min="10" max="10" width="10.44140625" bestFit="1" customWidth="1"/>
  </cols>
  <sheetData>
    <row r="1" spans="1:10" x14ac:dyDescent="0.3">
      <c r="A1" t="s">
        <v>1</v>
      </c>
      <c r="B1" t="s">
        <v>2</v>
      </c>
      <c r="C1" t="s">
        <v>0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 x14ac:dyDescent="0.3">
      <c r="A2" t="s">
        <v>37</v>
      </c>
      <c r="B2" t="s">
        <v>16</v>
      </c>
      <c r="C2" t="s">
        <v>12</v>
      </c>
      <c r="D2" t="s">
        <v>45</v>
      </c>
      <c r="E2" s="36">
        <v>45977</v>
      </c>
      <c r="F2" t="s">
        <v>40</v>
      </c>
      <c r="G2">
        <v>3</v>
      </c>
      <c r="H2">
        <v>15000</v>
      </c>
      <c r="I2">
        <v>42227</v>
      </c>
      <c r="J2">
        <v>4223</v>
      </c>
    </row>
    <row r="3" spans="1:10" x14ac:dyDescent="0.3">
      <c r="A3" t="s">
        <v>37</v>
      </c>
      <c r="B3" t="s">
        <v>11</v>
      </c>
      <c r="C3" t="s">
        <v>12</v>
      </c>
      <c r="D3" t="s">
        <v>61</v>
      </c>
      <c r="E3" s="36">
        <v>45900</v>
      </c>
      <c r="F3" t="s">
        <v>40</v>
      </c>
      <c r="G3">
        <v>8</v>
      </c>
      <c r="H3">
        <v>15000</v>
      </c>
      <c r="I3">
        <v>116447</v>
      </c>
      <c r="J3">
        <v>11645</v>
      </c>
    </row>
    <row r="4" spans="1:10" x14ac:dyDescent="0.3">
      <c r="A4" t="s">
        <v>37</v>
      </c>
      <c r="B4" t="s">
        <v>19</v>
      </c>
      <c r="C4" t="s">
        <v>12</v>
      </c>
      <c r="D4" t="s">
        <v>68</v>
      </c>
      <c r="E4" s="36">
        <v>45955</v>
      </c>
      <c r="F4" t="s">
        <v>14</v>
      </c>
      <c r="G4">
        <v>6</v>
      </c>
      <c r="H4">
        <v>18500</v>
      </c>
      <c r="I4">
        <v>120992</v>
      </c>
      <c r="J4">
        <v>14519</v>
      </c>
    </row>
    <row r="5" spans="1:10" x14ac:dyDescent="0.3">
      <c r="A5" t="s">
        <v>37</v>
      </c>
      <c r="B5" t="s">
        <v>16</v>
      </c>
      <c r="C5" t="s">
        <v>12</v>
      </c>
      <c r="D5" t="s">
        <v>79</v>
      </c>
      <c r="E5" s="36">
        <v>45772</v>
      </c>
      <c r="F5" t="s">
        <v>33</v>
      </c>
      <c r="G5">
        <v>2</v>
      </c>
      <c r="H5">
        <v>45000</v>
      </c>
      <c r="I5">
        <v>88262</v>
      </c>
      <c r="J5">
        <v>15887</v>
      </c>
    </row>
    <row r="6" spans="1:10" x14ac:dyDescent="0.3">
      <c r="A6" t="s">
        <v>37</v>
      </c>
      <c r="B6" t="s">
        <v>84</v>
      </c>
      <c r="C6" t="s">
        <v>12</v>
      </c>
      <c r="D6" t="s">
        <v>86</v>
      </c>
      <c r="E6" s="36">
        <v>45789</v>
      </c>
      <c r="F6" t="s">
        <v>14</v>
      </c>
      <c r="G6">
        <v>5</v>
      </c>
      <c r="H6">
        <v>18500</v>
      </c>
      <c r="I6">
        <v>99434</v>
      </c>
      <c r="J6">
        <v>11932</v>
      </c>
    </row>
    <row r="7" spans="1:10" x14ac:dyDescent="0.3">
      <c r="A7" t="s">
        <v>37</v>
      </c>
      <c r="B7" t="s">
        <v>88</v>
      </c>
      <c r="C7" t="s">
        <v>12</v>
      </c>
      <c r="D7" t="s">
        <v>89</v>
      </c>
      <c r="E7" s="36">
        <v>45698</v>
      </c>
      <c r="F7" t="s">
        <v>40</v>
      </c>
      <c r="G7">
        <v>7</v>
      </c>
      <c r="H7">
        <v>15000</v>
      </c>
      <c r="I7">
        <v>99067</v>
      </c>
      <c r="J7">
        <v>9907</v>
      </c>
    </row>
    <row r="8" spans="1:10" x14ac:dyDescent="0.3">
      <c r="A8" t="s">
        <v>37</v>
      </c>
      <c r="B8" t="s">
        <v>88</v>
      </c>
      <c r="C8" t="s">
        <v>12</v>
      </c>
      <c r="D8" t="s">
        <v>98</v>
      </c>
      <c r="E8" s="36">
        <v>45869</v>
      </c>
      <c r="F8" t="s">
        <v>14</v>
      </c>
      <c r="G8">
        <v>4</v>
      </c>
      <c r="H8">
        <v>18500</v>
      </c>
      <c r="I8">
        <v>66652</v>
      </c>
      <c r="J8">
        <v>7998</v>
      </c>
    </row>
    <row r="9" spans="1:10" x14ac:dyDescent="0.3">
      <c r="A9" t="s">
        <v>37</v>
      </c>
      <c r="B9" t="s">
        <v>31</v>
      </c>
      <c r="C9" t="s">
        <v>12</v>
      </c>
      <c r="D9" t="s">
        <v>103</v>
      </c>
      <c r="E9" s="36">
        <v>45764</v>
      </c>
      <c r="F9" t="s">
        <v>14</v>
      </c>
      <c r="G9">
        <v>8</v>
      </c>
      <c r="H9">
        <v>18500</v>
      </c>
      <c r="I9">
        <v>135185</v>
      </c>
      <c r="J9">
        <v>16222</v>
      </c>
    </row>
    <row r="10" spans="1:10" x14ac:dyDescent="0.3">
      <c r="A10" t="s">
        <v>37</v>
      </c>
      <c r="B10" t="s">
        <v>31</v>
      </c>
      <c r="C10" t="s">
        <v>12</v>
      </c>
      <c r="D10" t="s">
        <v>104</v>
      </c>
      <c r="E10" s="36">
        <v>45945</v>
      </c>
      <c r="F10" t="s">
        <v>14</v>
      </c>
      <c r="G10">
        <v>7</v>
      </c>
      <c r="H10">
        <v>18500</v>
      </c>
      <c r="I10">
        <v>134223</v>
      </c>
      <c r="J10">
        <v>16107</v>
      </c>
    </row>
    <row r="11" spans="1:10" x14ac:dyDescent="0.3">
      <c r="A11" t="s">
        <v>37</v>
      </c>
      <c r="B11" t="s">
        <v>16</v>
      </c>
      <c r="C11" t="s">
        <v>12</v>
      </c>
      <c r="D11" t="s">
        <v>108</v>
      </c>
      <c r="E11" s="36">
        <v>45668</v>
      </c>
      <c r="F11" t="s">
        <v>33</v>
      </c>
      <c r="G11">
        <v>3</v>
      </c>
      <c r="H11">
        <v>45000</v>
      </c>
      <c r="I11">
        <v>141160</v>
      </c>
      <c r="J11">
        <v>25409</v>
      </c>
    </row>
    <row r="12" spans="1:10" x14ac:dyDescent="0.3">
      <c r="A12" t="s">
        <v>37</v>
      </c>
      <c r="B12" t="s">
        <v>51</v>
      </c>
      <c r="C12" t="s">
        <v>12</v>
      </c>
      <c r="D12" t="s">
        <v>53</v>
      </c>
      <c r="E12" s="36">
        <v>45686</v>
      </c>
      <c r="F12" t="s">
        <v>36</v>
      </c>
      <c r="G12">
        <v>10</v>
      </c>
      <c r="H12">
        <v>55000</v>
      </c>
      <c r="I12">
        <v>538180</v>
      </c>
      <c r="J12">
        <v>118400</v>
      </c>
    </row>
    <row r="13" spans="1:10" x14ac:dyDescent="0.3">
      <c r="A13" t="s">
        <v>37</v>
      </c>
      <c r="B13" t="s">
        <v>19</v>
      </c>
      <c r="C13" t="s">
        <v>12</v>
      </c>
      <c r="D13" t="s">
        <v>122</v>
      </c>
      <c r="E13" s="36">
        <v>45962</v>
      </c>
      <c r="F13" t="s">
        <v>40</v>
      </c>
      <c r="G13">
        <v>8</v>
      </c>
      <c r="H13">
        <v>15000</v>
      </c>
      <c r="I13">
        <v>122792</v>
      </c>
      <c r="J13">
        <v>12279</v>
      </c>
    </row>
    <row r="14" spans="1:10" x14ac:dyDescent="0.3">
      <c r="A14" t="s">
        <v>37</v>
      </c>
      <c r="B14" t="s">
        <v>77</v>
      </c>
      <c r="C14" t="s">
        <v>12</v>
      </c>
      <c r="D14" t="s">
        <v>103</v>
      </c>
      <c r="E14" s="36">
        <v>46017</v>
      </c>
      <c r="F14" t="s">
        <v>40</v>
      </c>
      <c r="G14">
        <v>6</v>
      </c>
      <c r="H14">
        <v>15000</v>
      </c>
      <c r="I14">
        <v>98363</v>
      </c>
      <c r="J14">
        <v>9836</v>
      </c>
    </row>
    <row r="15" spans="1:10" x14ac:dyDescent="0.3">
      <c r="A15" t="s">
        <v>37</v>
      </c>
      <c r="B15" t="s">
        <v>19</v>
      </c>
      <c r="C15" t="s">
        <v>12</v>
      </c>
      <c r="D15" t="s">
        <v>133</v>
      </c>
      <c r="E15" s="36">
        <v>45952</v>
      </c>
      <c r="F15" t="s">
        <v>14</v>
      </c>
      <c r="G15">
        <v>10</v>
      </c>
      <c r="H15">
        <v>18500</v>
      </c>
      <c r="I15">
        <v>200860</v>
      </c>
      <c r="J15">
        <v>24103</v>
      </c>
    </row>
    <row r="16" spans="1:10" x14ac:dyDescent="0.3">
      <c r="A16" t="s">
        <v>37</v>
      </c>
      <c r="B16" t="s">
        <v>84</v>
      </c>
      <c r="C16" t="s">
        <v>12</v>
      </c>
      <c r="D16" t="s">
        <v>135</v>
      </c>
      <c r="E16" s="36">
        <v>45802</v>
      </c>
      <c r="F16" t="s">
        <v>14</v>
      </c>
      <c r="G16">
        <v>5</v>
      </c>
      <c r="H16">
        <v>18500</v>
      </c>
      <c r="I16">
        <v>98369</v>
      </c>
      <c r="J16">
        <v>11804</v>
      </c>
    </row>
    <row r="17" spans="1:10" x14ac:dyDescent="0.3">
      <c r="A17" t="s">
        <v>37</v>
      </c>
      <c r="B17" t="s">
        <v>51</v>
      </c>
      <c r="C17" t="s">
        <v>12</v>
      </c>
      <c r="D17" t="s">
        <v>136</v>
      </c>
      <c r="E17" s="36">
        <v>45877</v>
      </c>
      <c r="F17" t="s">
        <v>36</v>
      </c>
      <c r="G17">
        <v>3</v>
      </c>
      <c r="H17">
        <v>55000</v>
      </c>
      <c r="I17">
        <v>177973</v>
      </c>
      <c r="J17">
        <v>39154</v>
      </c>
    </row>
    <row r="18" spans="1:10" x14ac:dyDescent="0.3">
      <c r="A18" t="s">
        <v>37</v>
      </c>
      <c r="B18" t="s">
        <v>11</v>
      </c>
      <c r="C18" t="s">
        <v>12</v>
      </c>
      <c r="D18" t="s">
        <v>141</v>
      </c>
      <c r="E18" s="36">
        <v>45914</v>
      </c>
      <c r="F18" t="s">
        <v>36</v>
      </c>
      <c r="G18">
        <v>6</v>
      </c>
      <c r="H18">
        <v>55000</v>
      </c>
      <c r="I18">
        <v>358315</v>
      </c>
      <c r="J18">
        <v>78829</v>
      </c>
    </row>
    <row r="19" spans="1:10" x14ac:dyDescent="0.3">
      <c r="A19" t="s">
        <v>37</v>
      </c>
      <c r="B19" t="s">
        <v>31</v>
      </c>
      <c r="C19" t="s">
        <v>12</v>
      </c>
      <c r="D19" t="s">
        <v>147</v>
      </c>
      <c r="E19" s="36">
        <v>45941</v>
      </c>
      <c r="F19" t="s">
        <v>36</v>
      </c>
      <c r="G19">
        <v>9</v>
      </c>
      <c r="H19">
        <v>55000</v>
      </c>
      <c r="I19">
        <v>467066</v>
      </c>
      <c r="J19">
        <v>102755</v>
      </c>
    </row>
    <row r="20" spans="1:10" x14ac:dyDescent="0.3">
      <c r="A20" t="s">
        <v>37</v>
      </c>
      <c r="B20" t="s">
        <v>16</v>
      </c>
      <c r="C20" t="s">
        <v>12</v>
      </c>
      <c r="D20" t="s">
        <v>152</v>
      </c>
      <c r="E20" s="36">
        <v>46001</v>
      </c>
      <c r="F20" t="s">
        <v>33</v>
      </c>
      <c r="G20">
        <v>8</v>
      </c>
      <c r="H20">
        <v>45000</v>
      </c>
      <c r="I20">
        <v>337069</v>
      </c>
      <c r="J20">
        <v>60672</v>
      </c>
    </row>
    <row r="21" spans="1:10" x14ac:dyDescent="0.3">
      <c r="A21" t="s">
        <v>37</v>
      </c>
      <c r="B21" t="s">
        <v>31</v>
      </c>
      <c r="C21" t="s">
        <v>12</v>
      </c>
      <c r="D21" t="s">
        <v>99</v>
      </c>
      <c r="E21" s="36">
        <v>45672</v>
      </c>
      <c r="F21" t="s">
        <v>14</v>
      </c>
      <c r="G21">
        <v>6</v>
      </c>
      <c r="H21">
        <v>18500</v>
      </c>
      <c r="I21">
        <v>109475</v>
      </c>
      <c r="J21">
        <v>13137</v>
      </c>
    </row>
    <row r="22" spans="1:10" x14ac:dyDescent="0.3">
      <c r="A22" t="s">
        <v>37</v>
      </c>
      <c r="B22" t="s">
        <v>11</v>
      </c>
      <c r="C22" t="s">
        <v>12</v>
      </c>
      <c r="D22" t="s">
        <v>13</v>
      </c>
      <c r="E22" s="36">
        <v>45665</v>
      </c>
      <c r="F22" t="s">
        <v>36</v>
      </c>
      <c r="G22">
        <v>9</v>
      </c>
      <c r="H22">
        <v>55000</v>
      </c>
      <c r="I22">
        <v>491062</v>
      </c>
      <c r="J22">
        <v>108034</v>
      </c>
    </row>
    <row r="23" spans="1:10" x14ac:dyDescent="0.3">
      <c r="A23" t="s">
        <v>37</v>
      </c>
      <c r="B23" t="s">
        <v>51</v>
      </c>
      <c r="C23" t="s">
        <v>12</v>
      </c>
      <c r="D23" t="s">
        <v>116</v>
      </c>
      <c r="E23" s="36">
        <v>45832</v>
      </c>
      <c r="F23" t="s">
        <v>36</v>
      </c>
      <c r="G23">
        <v>9</v>
      </c>
      <c r="H23">
        <v>55000</v>
      </c>
      <c r="I23">
        <v>512653</v>
      </c>
      <c r="J23">
        <v>112784</v>
      </c>
    </row>
    <row r="24" spans="1:10" x14ac:dyDescent="0.3">
      <c r="A24" t="s">
        <v>37</v>
      </c>
      <c r="B24" t="s">
        <v>88</v>
      </c>
      <c r="C24" t="s">
        <v>12</v>
      </c>
      <c r="D24" t="s">
        <v>156</v>
      </c>
      <c r="E24" s="36">
        <v>45826</v>
      </c>
      <c r="F24" t="s">
        <v>40</v>
      </c>
      <c r="G24">
        <v>10</v>
      </c>
      <c r="H24">
        <v>15000</v>
      </c>
      <c r="I24">
        <v>146915</v>
      </c>
      <c r="J24">
        <v>14692</v>
      </c>
    </row>
    <row r="25" spans="1:10" x14ac:dyDescent="0.3">
      <c r="A25" t="s">
        <v>37</v>
      </c>
      <c r="B25" t="s">
        <v>51</v>
      </c>
      <c r="C25" t="s">
        <v>12</v>
      </c>
      <c r="D25" t="s">
        <v>159</v>
      </c>
      <c r="E25" s="36">
        <v>45942</v>
      </c>
      <c r="F25" t="s">
        <v>40</v>
      </c>
      <c r="G25">
        <v>10</v>
      </c>
      <c r="H25">
        <v>15000</v>
      </c>
      <c r="I25">
        <v>154145</v>
      </c>
      <c r="J25">
        <v>15414</v>
      </c>
    </row>
    <row r="26" spans="1:10" x14ac:dyDescent="0.3">
      <c r="A26" t="s">
        <v>37</v>
      </c>
      <c r="B26" t="s">
        <v>77</v>
      </c>
      <c r="C26" t="s">
        <v>12</v>
      </c>
      <c r="D26" t="s">
        <v>125</v>
      </c>
      <c r="E26" s="36">
        <v>45737</v>
      </c>
      <c r="F26" t="s">
        <v>33</v>
      </c>
      <c r="G26">
        <v>2</v>
      </c>
      <c r="H26">
        <v>45000</v>
      </c>
      <c r="I26">
        <v>89150</v>
      </c>
      <c r="J26">
        <v>16047</v>
      </c>
    </row>
    <row r="27" spans="1:10" x14ac:dyDescent="0.3">
      <c r="A27" t="s">
        <v>37</v>
      </c>
      <c r="B27" t="s">
        <v>31</v>
      </c>
      <c r="C27" t="s">
        <v>12</v>
      </c>
      <c r="D27" t="s">
        <v>187</v>
      </c>
      <c r="E27" s="36">
        <v>45991</v>
      </c>
      <c r="F27" t="s">
        <v>36</v>
      </c>
      <c r="G27">
        <v>6</v>
      </c>
      <c r="H27">
        <v>55000</v>
      </c>
      <c r="I27">
        <v>341407</v>
      </c>
      <c r="J27">
        <v>75110</v>
      </c>
    </row>
    <row r="28" spans="1:10" x14ac:dyDescent="0.3">
      <c r="A28" t="s">
        <v>37</v>
      </c>
      <c r="B28" t="s">
        <v>51</v>
      </c>
      <c r="C28" t="s">
        <v>12</v>
      </c>
      <c r="D28" t="s">
        <v>13</v>
      </c>
      <c r="E28" s="36">
        <v>45752</v>
      </c>
      <c r="F28" t="s">
        <v>33</v>
      </c>
      <c r="G28">
        <v>4</v>
      </c>
      <c r="H28">
        <v>45000</v>
      </c>
      <c r="I28">
        <v>175409</v>
      </c>
      <c r="J28">
        <v>31574</v>
      </c>
    </row>
    <row r="29" spans="1:10" x14ac:dyDescent="0.3">
      <c r="A29" t="s">
        <v>37</v>
      </c>
      <c r="B29" t="s">
        <v>88</v>
      </c>
      <c r="C29" t="s">
        <v>12</v>
      </c>
      <c r="D29" t="s">
        <v>198</v>
      </c>
      <c r="E29" s="36">
        <v>45892</v>
      </c>
      <c r="F29" t="s">
        <v>33</v>
      </c>
      <c r="G29">
        <v>9</v>
      </c>
      <c r="H29">
        <v>45000</v>
      </c>
      <c r="I29">
        <v>434723</v>
      </c>
      <c r="J29">
        <v>78250</v>
      </c>
    </row>
    <row r="30" spans="1:10" x14ac:dyDescent="0.3">
      <c r="A30" t="s">
        <v>37</v>
      </c>
      <c r="B30" t="s">
        <v>88</v>
      </c>
      <c r="C30" t="s">
        <v>12</v>
      </c>
      <c r="D30" t="s">
        <v>52</v>
      </c>
      <c r="E30" s="36">
        <v>45706</v>
      </c>
      <c r="F30" t="s">
        <v>33</v>
      </c>
      <c r="G30">
        <v>7</v>
      </c>
      <c r="H30">
        <v>45000</v>
      </c>
      <c r="I30">
        <v>334593</v>
      </c>
      <c r="J30">
        <v>60227</v>
      </c>
    </row>
    <row r="31" spans="1:10" x14ac:dyDescent="0.3">
      <c r="A31" t="s">
        <v>37</v>
      </c>
      <c r="B31" t="s">
        <v>19</v>
      </c>
      <c r="C31" t="s">
        <v>12</v>
      </c>
      <c r="D31" t="s">
        <v>115</v>
      </c>
      <c r="E31" s="36">
        <v>45890</v>
      </c>
      <c r="F31" t="s">
        <v>40</v>
      </c>
      <c r="G31">
        <v>5</v>
      </c>
      <c r="H31">
        <v>15000</v>
      </c>
      <c r="I31">
        <v>79738</v>
      </c>
      <c r="J31">
        <v>7974</v>
      </c>
    </row>
    <row r="32" spans="1:10" x14ac:dyDescent="0.3">
      <c r="A32" t="s">
        <v>37</v>
      </c>
      <c r="B32" t="s">
        <v>51</v>
      </c>
      <c r="C32" t="s">
        <v>12</v>
      </c>
      <c r="D32" t="s">
        <v>35</v>
      </c>
      <c r="E32" s="36">
        <v>45981</v>
      </c>
      <c r="F32" t="s">
        <v>14</v>
      </c>
      <c r="G32">
        <v>6</v>
      </c>
      <c r="H32">
        <v>18500</v>
      </c>
      <c r="I32">
        <v>112312</v>
      </c>
      <c r="J32">
        <v>13477</v>
      </c>
    </row>
    <row r="33" spans="1:10" x14ac:dyDescent="0.3">
      <c r="A33" t="s">
        <v>37</v>
      </c>
      <c r="B33" t="s">
        <v>16</v>
      </c>
      <c r="C33" t="s">
        <v>12</v>
      </c>
      <c r="D33" t="s">
        <v>164</v>
      </c>
      <c r="E33" s="36">
        <v>45783</v>
      </c>
      <c r="F33" t="s">
        <v>36</v>
      </c>
      <c r="G33">
        <v>8</v>
      </c>
      <c r="H33">
        <v>55000</v>
      </c>
      <c r="I33">
        <v>441004</v>
      </c>
      <c r="J33">
        <v>97021</v>
      </c>
    </row>
    <row r="34" spans="1:10" x14ac:dyDescent="0.3">
      <c r="A34" t="s">
        <v>37</v>
      </c>
      <c r="B34" t="s">
        <v>88</v>
      </c>
      <c r="C34" t="s">
        <v>12</v>
      </c>
      <c r="D34" t="s">
        <v>49</v>
      </c>
      <c r="E34" s="36">
        <v>45886</v>
      </c>
      <c r="F34" t="s">
        <v>40</v>
      </c>
      <c r="G34">
        <v>2</v>
      </c>
      <c r="H34">
        <v>15000</v>
      </c>
      <c r="I34">
        <v>30788</v>
      </c>
      <c r="J34">
        <v>3079</v>
      </c>
    </row>
    <row r="35" spans="1:10" x14ac:dyDescent="0.3">
      <c r="A35" t="s">
        <v>37</v>
      </c>
      <c r="B35" t="s">
        <v>19</v>
      </c>
      <c r="C35" t="s">
        <v>12</v>
      </c>
      <c r="D35" t="s">
        <v>206</v>
      </c>
      <c r="E35" s="36">
        <v>45791</v>
      </c>
      <c r="F35" t="s">
        <v>33</v>
      </c>
      <c r="G35">
        <v>8</v>
      </c>
      <c r="H35">
        <v>45000</v>
      </c>
      <c r="I35">
        <v>335255</v>
      </c>
      <c r="J35">
        <v>60346</v>
      </c>
    </row>
    <row r="36" spans="1:10" x14ac:dyDescent="0.3">
      <c r="A36" t="s">
        <v>37</v>
      </c>
      <c r="B36" t="s">
        <v>51</v>
      </c>
      <c r="C36" t="s">
        <v>12</v>
      </c>
      <c r="D36" t="s">
        <v>187</v>
      </c>
      <c r="E36" s="36">
        <v>45961</v>
      </c>
      <c r="F36" t="s">
        <v>33</v>
      </c>
      <c r="G36">
        <v>9</v>
      </c>
      <c r="H36">
        <v>45000</v>
      </c>
      <c r="I36">
        <v>425321</v>
      </c>
      <c r="J36">
        <v>76558</v>
      </c>
    </row>
    <row r="37" spans="1:10" x14ac:dyDescent="0.3">
      <c r="A37" t="s">
        <v>37</v>
      </c>
      <c r="B37" t="s">
        <v>19</v>
      </c>
      <c r="C37" t="s">
        <v>12</v>
      </c>
      <c r="D37" t="s">
        <v>90</v>
      </c>
      <c r="E37" s="36">
        <v>45810</v>
      </c>
      <c r="F37" t="s">
        <v>36</v>
      </c>
      <c r="G37">
        <v>10</v>
      </c>
      <c r="H37">
        <v>55000</v>
      </c>
      <c r="I37">
        <v>495817</v>
      </c>
      <c r="J37">
        <v>109080</v>
      </c>
    </row>
    <row r="38" spans="1:10" x14ac:dyDescent="0.3">
      <c r="A38" t="s">
        <v>37</v>
      </c>
      <c r="B38" t="s">
        <v>16</v>
      </c>
      <c r="C38" t="s">
        <v>12</v>
      </c>
      <c r="D38" t="s">
        <v>141</v>
      </c>
      <c r="E38" s="36">
        <v>45726</v>
      </c>
      <c r="F38" t="s">
        <v>14</v>
      </c>
      <c r="G38">
        <v>9</v>
      </c>
      <c r="H38">
        <v>18500</v>
      </c>
      <c r="I38">
        <v>163893</v>
      </c>
      <c r="J38">
        <v>19667</v>
      </c>
    </row>
    <row r="39" spans="1:10" x14ac:dyDescent="0.3">
      <c r="A39" t="s">
        <v>37</v>
      </c>
      <c r="B39" t="s">
        <v>51</v>
      </c>
      <c r="C39" t="s">
        <v>12</v>
      </c>
      <c r="D39" t="s">
        <v>112</v>
      </c>
      <c r="E39" s="36">
        <v>45660</v>
      </c>
      <c r="F39" t="s">
        <v>33</v>
      </c>
      <c r="G39">
        <v>9</v>
      </c>
      <c r="H39">
        <v>45000</v>
      </c>
      <c r="I39">
        <v>426303</v>
      </c>
      <c r="J39">
        <v>76735</v>
      </c>
    </row>
    <row r="40" spans="1:10" x14ac:dyDescent="0.3">
      <c r="A40" t="s">
        <v>37</v>
      </c>
      <c r="B40" t="s">
        <v>51</v>
      </c>
      <c r="C40" t="s">
        <v>12</v>
      </c>
      <c r="D40" t="s">
        <v>166</v>
      </c>
      <c r="E40" s="36">
        <v>45845</v>
      </c>
      <c r="F40" t="s">
        <v>33</v>
      </c>
      <c r="G40">
        <v>5</v>
      </c>
      <c r="H40">
        <v>45000</v>
      </c>
      <c r="I40">
        <v>228000</v>
      </c>
      <c r="J40">
        <v>41040</v>
      </c>
    </row>
    <row r="41" spans="1:10" x14ac:dyDescent="0.3">
      <c r="A41" t="s">
        <v>37</v>
      </c>
      <c r="B41" t="s">
        <v>88</v>
      </c>
      <c r="C41" t="s">
        <v>12</v>
      </c>
      <c r="D41" t="s">
        <v>164</v>
      </c>
      <c r="E41" s="36">
        <v>45737</v>
      </c>
      <c r="F41" t="s">
        <v>14</v>
      </c>
      <c r="G41">
        <v>6</v>
      </c>
      <c r="H41">
        <v>18500</v>
      </c>
      <c r="I41">
        <v>107787</v>
      </c>
      <c r="J41">
        <v>12934</v>
      </c>
    </row>
    <row r="42" spans="1:10" x14ac:dyDescent="0.3">
      <c r="A42" t="s">
        <v>37</v>
      </c>
      <c r="B42" t="s">
        <v>77</v>
      </c>
      <c r="C42" t="s">
        <v>12</v>
      </c>
      <c r="D42" t="s">
        <v>42</v>
      </c>
      <c r="E42" s="36">
        <v>45843</v>
      </c>
      <c r="F42" t="s">
        <v>33</v>
      </c>
      <c r="G42">
        <v>7</v>
      </c>
      <c r="H42">
        <v>45000</v>
      </c>
      <c r="I42">
        <v>299108</v>
      </c>
      <c r="J42">
        <v>53839</v>
      </c>
    </row>
    <row r="43" spans="1:10" x14ac:dyDescent="0.3">
      <c r="A43" t="s">
        <v>37</v>
      </c>
      <c r="B43" t="s">
        <v>88</v>
      </c>
      <c r="C43" t="s">
        <v>12</v>
      </c>
      <c r="D43" t="s">
        <v>13</v>
      </c>
      <c r="E43" s="36">
        <v>45761</v>
      </c>
      <c r="F43" t="s">
        <v>40</v>
      </c>
      <c r="G43">
        <v>10</v>
      </c>
      <c r="H43">
        <v>15000</v>
      </c>
      <c r="I43">
        <v>149191</v>
      </c>
      <c r="J43">
        <v>14919</v>
      </c>
    </row>
    <row r="44" spans="1:10" x14ac:dyDescent="0.3">
      <c r="A44" t="s">
        <v>37</v>
      </c>
      <c r="B44" t="s">
        <v>77</v>
      </c>
      <c r="C44" t="s">
        <v>12</v>
      </c>
      <c r="D44" t="s">
        <v>215</v>
      </c>
      <c r="E44" s="36">
        <v>45886</v>
      </c>
      <c r="F44" t="s">
        <v>40</v>
      </c>
      <c r="G44">
        <v>10</v>
      </c>
      <c r="H44">
        <v>15000</v>
      </c>
      <c r="I44">
        <v>154561</v>
      </c>
      <c r="J44">
        <v>15456</v>
      </c>
    </row>
    <row r="45" spans="1:10" x14ac:dyDescent="0.3">
      <c r="A45" t="s">
        <v>37</v>
      </c>
      <c r="B45" t="s">
        <v>16</v>
      </c>
      <c r="C45" t="s">
        <v>12</v>
      </c>
      <c r="D45" t="s">
        <v>177</v>
      </c>
      <c r="E45" s="36">
        <v>45678</v>
      </c>
      <c r="F45" t="s">
        <v>36</v>
      </c>
      <c r="G45">
        <v>8</v>
      </c>
      <c r="H45">
        <v>55000</v>
      </c>
      <c r="I45">
        <v>478091</v>
      </c>
      <c r="J45">
        <v>105180</v>
      </c>
    </row>
    <row r="46" spans="1:10" x14ac:dyDescent="0.3">
      <c r="A46" t="s">
        <v>37</v>
      </c>
      <c r="B46" t="s">
        <v>11</v>
      </c>
      <c r="C46" t="s">
        <v>12</v>
      </c>
      <c r="D46" t="s">
        <v>116</v>
      </c>
      <c r="E46" s="36">
        <v>45778</v>
      </c>
      <c r="F46" t="s">
        <v>36</v>
      </c>
      <c r="G46">
        <v>6</v>
      </c>
      <c r="H46">
        <v>55000</v>
      </c>
      <c r="I46">
        <v>309142</v>
      </c>
      <c r="J46">
        <v>68011</v>
      </c>
    </row>
    <row r="47" spans="1:10" x14ac:dyDescent="0.3">
      <c r="A47" t="s">
        <v>37</v>
      </c>
      <c r="B47" t="s">
        <v>31</v>
      </c>
      <c r="C47" t="s">
        <v>12</v>
      </c>
      <c r="D47" t="s">
        <v>193</v>
      </c>
      <c r="E47" s="36">
        <v>45734</v>
      </c>
      <c r="F47" t="s">
        <v>33</v>
      </c>
      <c r="G47">
        <v>3</v>
      </c>
      <c r="H47">
        <v>45000</v>
      </c>
      <c r="I47">
        <v>128205</v>
      </c>
      <c r="J47">
        <v>23077</v>
      </c>
    </row>
    <row r="48" spans="1:10" x14ac:dyDescent="0.3">
      <c r="A48" t="s">
        <v>37</v>
      </c>
      <c r="B48" t="s">
        <v>16</v>
      </c>
      <c r="C48" t="s">
        <v>12</v>
      </c>
      <c r="D48" t="s">
        <v>57</v>
      </c>
      <c r="E48" s="36">
        <v>45870</v>
      </c>
      <c r="F48" t="s">
        <v>33</v>
      </c>
      <c r="G48">
        <v>2</v>
      </c>
      <c r="H48">
        <v>45000</v>
      </c>
      <c r="I48">
        <v>96034</v>
      </c>
      <c r="J48">
        <v>17286</v>
      </c>
    </row>
    <row r="49" spans="1:10" x14ac:dyDescent="0.3">
      <c r="A49" t="s">
        <v>37</v>
      </c>
      <c r="B49" t="s">
        <v>31</v>
      </c>
      <c r="C49" t="s">
        <v>12</v>
      </c>
      <c r="D49" t="s">
        <v>57</v>
      </c>
      <c r="E49" s="36">
        <v>45920</v>
      </c>
      <c r="F49" t="s">
        <v>40</v>
      </c>
      <c r="G49">
        <v>10</v>
      </c>
      <c r="H49">
        <v>15000</v>
      </c>
      <c r="I49">
        <v>139834</v>
      </c>
      <c r="J49">
        <v>13983</v>
      </c>
    </row>
    <row r="50" spans="1:10" x14ac:dyDescent="0.3">
      <c r="A50" t="s">
        <v>37</v>
      </c>
      <c r="B50" t="s">
        <v>51</v>
      </c>
      <c r="C50" t="s">
        <v>12</v>
      </c>
      <c r="D50" t="s">
        <v>13</v>
      </c>
      <c r="E50" s="36">
        <v>45758</v>
      </c>
      <c r="F50" t="s">
        <v>33</v>
      </c>
      <c r="G50">
        <v>6</v>
      </c>
      <c r="H50">
        <v>45000</v>
      </c>
      <c r="I50">
        <v>243898</v>
      </c>
      <c r="J50">
        <v>43902</v>
      </c>
    </row>
    <row r="51" spans="1:10" x14ac:dyDescent="0.3">
      <c r="A51" t="s">
        <v>37</v>
      </c>
      <c r="B51" t="s">
        <v>51</v>
      </c>
      <c r="C51" t="s">
        <v>12</v>
      </c>
      <c r="D51" t="s">
        <v>207</v>
      </c>
      <c r="E51" s="36">
        <v>45943</v>
      </c>
      <c r="F51" t="s">
        <v>36</v>
      </c>
      <c r="G51">
        <v>1</v>
      </c>
      <c r="H51">
        <v>55000</v>
      </c>
      <c r="I51">
        <v>50491</v>
      </c>
      <c r="J51">
        <v>11108</v>
      </c>
    </row>
    <row r="52" spans="1:10" x14ac:dyDescent="0.3">
      <c r="A52" t="s">
        <v>37</v>
      </c>
      <c r="B52" t="s">
        <v>77</v>
      </c>
      <c r="C52" t="s">
        <v>12</v>
      </c>
      <c r="D52" t="s">
        <v>148</v>
      </c>
      <c r="E52" s="36">
        <v>45822</v>
      </c>
      <c r="F52" t="s">
        <v>14</v>
      </c>
      <c r="G52">
        <v>6</v>
      </c>
      <c r="H52">
        <v>18500</v>
      </c>
      <c r="I52">
        <v>119025</v>
      </c>
      <c r="J52">
        <v>14283</v>
      </c>
    </row>
    <row r="53" spans="1:10" x14ac:dyDescent="0.3">
      <c r="A53" t="s">
        <v>37</v>
      </c>
      <c r="B53" t="s">
        <v>19</v>
      </c>
      <c r="C53" t="s">
        <v>12</v>
      </c>
      <c r="D53" t="s">
        <v>72</v>
      </c>
      <c r="E53" s="36">
        <v>45852</v>
      </c>
      <c r="F53" t="s">
        <v>40</v>
      </c>
      <c r="G53">
        <v>7</v>
      </c>
      <c r="H53">
        <v>15000</v>
      </c>
      <c r="I53">
        <v>104543</v>
      </c>
      <c r="J53">
        <v>10454</v>
      </c>
    </row>
    <row r="54" spans="1:10" x14ac:dyDescent="0.3">
      <c r="A54" t="s">
        <v>37</v>
      </c>
      <c r="B54" t="s">
        <v>11</v>
      </c>
      <c r="C54" t="s">
        <v>12</v>
      </c>
      <c r="D54" t="s">
        <v>52</v>
      </c>
      <c r="E54" s="36">
        <v>45969</v>
      </c>
      <c r="F54" t="s">
        <v>40</v>
      </c>
      <c r="G54">
        <v>4</v>
      </c>
      <c r="H54">
        <v>15000</v>
      </c>
      <c r="I54">
        <v>60030</v>
      </c>
      <c r="J54">
        <v>6003</v>
      </c>
    </row>
    <row r="55" spans="1:10" x14ac:dyDescent="0.3">
      <c r="A55" t="s">
        <v>37</v>
      </c>
      <c r="B55" t="s">
        <v>77</v>
      </c>
      <c r="C55" t="s">
        <v>12</v>
      </c>
      <c r="D55" t="s">
        <v>228</v>
      </c>
      <c r="E55" s="36">
        <v>45974</v>
      </c>
      <c r="F55" t="s">
        <v>36</v>
      </c>
      <c r="G55">
        <v>3</v>
      </c>
      <c r="H55">
        <v>55000</v>
      </c>
      <c r="I55">
        <v>153263</v>
      </c>
      <c r="J55">
        <v>33718</v>
      </c>
    </row>
    <row r="56" spans="1:10" x14ac:dyDescent="0.3">
      <c r="A56" t="s">
        <v>37</v>
      </c>
      <c r="B56" t="s">
        <v>16</v>
      </c>
      <c r="C56" t="s">
        <v>12</v>
      </c>
      <c r="D56" t="s">
        <v>229</v>
      </c>
      <c r="E56" s="36">
        <v>45926</v>
      </c>
      <c r="F56" t="s">
        <v>33</v>
      </c>
      <c r="G56">
        <v>4</v>
      </c>
      <c r="H56">
        <v>45000</v>
      </c>
      <c r="I56">
        <v>174095</v>
      </c>
      <c r="J56">
        <v>31337</v>
      </c>
    </row>
    <row r="57" spans="1:10" x14ac:dyDescent="0.3">
      <c r="A57" t="s">
        <v>37</v>
      </c>
      <c r="B57" t="s">
        <v>88</v>
      </c>
      <c r="C57" t="s">
        <v>12</v>
      </c>
      <c r="D57" t="s">
        <v>69</v>
      </c>
      <c r="E57" s="36">
        <v>45998</v>
      </c>
      <c r="F57" t="s">
        <v>36</v>
      </c>
      <c r="G57">
        <v>4</v>
      </c>
      <c r="H57">
        <v>55000</v>
      </c>
      <c r="I57">
        <v>228281</v>
      </c>
      <c r="J57">
        <v>50222</v>
      </c>
    </row>
    <row r="58" spans="1:10" x14ac:dyDescent="0.3">
      <c r="A58" t="s">
        <v>37</v>
      </c>
      <c r="B58" t="s">
        <v>19</v>
      </c>
      <c r="C58" t="s">
        <v>12</v>
      </c>
      <c r="D58" t="s">
        <v>238</v>
      </c>
      <c r="E58" s="36">
        <v>45710</v>
      </c>
      <c r="F58" t="s">
        <v>36</v>
      </c>
      <c r="G58">
        <v>6</v>
      </c>
      <c r="H58">
        <v>55000</v>
      </c>
      <c r="I58">
        <v>323014</v>
      </c>
      <c r="J58">
        <v>71063</v>
      </c>
    </row>
    <row r="59" spans="1:10" x14ac:dyDescent="0.3">
      <c r="A59" t="s">
        <v>37</v>
      </c>
      <c r="B59" t="s">
        <v>84</v>
      </c>
      <c r="C59" t="s">
        <v>12</v>
      </c>
      <c r="D59" t="s">
        <v>174</v>
      </c>
      <c r="E59" s="36">
        <v>45755</v>
      </c>
      <c r="F59" t="s">
        <v>33</v>
      </c>
      <c r="G59">
        <v>5</v>
      </c>
      <c r="H59">
        <v>45000</v>
      </c>
      <c r="I59">
        <v>232474</v>
      </c>
      <c r="J59">
        <v>41845</v>
      </c>
    </row>
    <row r="60" spans="1:10" x14ac:dyDescent="0.3">
      <c r="A60" t="s">
        <v>37</v>
      </c>
      <c r="B60" t="s">
        <v>84</v>
      </c>
      <c r="C60" t="s">
        <v>12</v>
      </c>
      <c r="D60" t="s">
        <v>144</v>
      </c>
      <c r="E60" s="36">
        <v>45806</v>
      </c>
      <c r="F60" t="s">
        <v>40</v>
      </c>
      <c r="G60">
        <v>5</v>
      </c>
      <c r="H60">
        <v>15000</v>
      </c>
      <c r="I60">
        <v>80030</v>
      </c>
      <c r="J60">
        <v>8003</v>
      </c>
    </row>
    <row r="61" spans="1:10" x14ac:dyDescent="0.3">
      <c r="A61" t="s">
        <v>37</v>
      </c>
      <c r="B61" t="s">
        <v>31</v>
      </c>
      <c r="C61" t="s">
        <v>12</v>
      </c>
      <c r="D61" t="s">
        <v>243</v>
      </c>
      <c r="E61" s="36">
        <v>45907</v>
      </c>
      <c r="F61" t="s">
        <v>14</v>
      </c>
      <c r="G61">
        <v>1</v>
      </c>
      <c r="H61">
        <v>18500</v>
      </c>
      <c r="I61">
        <v>18832</v>
      </c>
      <c r="J61">
        <v>2260</v>
      </c>
    </row>
    <row r="62" spans="1:10" x14ac:dyDescent="0.3">
      <c r="A62" t="s">
        <v>37</v>
      </c>
      <c r="B62" t="s">
        <v>11</v>
      </c>
      <c r="C62" t="s">
        <v>12</v>
      </c>
      <c r="D62" t="s">
        <v>195</v>
      </c>
      <c r="E62" s="36">
        <v>45933</v>
      </c>
      <c r="F62" t="s">
        <v>14</v>
      </c>
      <c r="G62">
        <v>1</v>
      </c>
      <c r="H62">
        <v>18500</v>
      </c>
      <c r="I62">
        <v>18216</v>
      </c>
      <c r="J62">
        <v>2186</v>
      </c>
    </row>
    <row r="63" spans="1:10" x14ac:dyDescent="0.3">
      <c r="A63" t="s">
        <v>37</v>
      </c>
      <c r="B63" t="s">
        <v>16</v>
      </c>
      <c r="C63" t="s">
        <v>12</v>
      </c>
      <c r="D63" t="s">
        <v>244</v>
      </c>
      <c r="E63" s="36">
        <v>45841</v>
      </c>
      <c r="F63" t="s">
        <v>33</v>
      </c>
      <c r="G63">
        <v>8</v>
      </c>
      <c r="H63">
        <v>45000</v>
      </c>
      <c r="I63">
        <v>374877</v>
      </c>
      <c r="J63">
        <v>67478</v>
      </c>
    </row>
    <row r="64" spans="1:10" x14ac:dyDescent="0.3">
      <c r="A64" t="s">
        <v>37</v>
      </c>
      <c r="B64" t="s">
        <v>88</v>
      </c>
      <c r="C64" t="s">
        <v>12</v>
      </c>
      <c r="D64" t="s">
        <v>120</v>
      </c>
      <c r="E64" s="36">
        <v>46012</v>
      </c>
      <c r="F64" t="s">
        <v>33</v>
      </c>
      <c r="G64">
        <v>8</v>
      </c>
      <c r="H64">
        <v>45000</v>
      </c>
      <c r="I64">
        <v>330340</v>
      </c>
      <c r="J64">
        <v>59461</v>
      </c>
    </row>
    <row r="65" spans="1:10" x14ac:dyDescent="0.3">
      <c r="A65" t="s">
        <v>37</v>
      </c>
      <c r="B65" t="s">
        <v>77</v>
      </c>
      <c r="C65" t="s">
        <v>12</v>
      </c>
      <c r="D65" t="s">
        <v>73</v>
      </c>
      <c r="E65" s="36">
        <v>45710</v>
      </c>
      <c r="F65" t="s">
        <v>14</v>
      </c>
      <c r="G65">
        <v>6</v>
      </c>
      <c r="H65">
        <v>18500</v>
      </c>
      <c r="I65">
        <v>108177</v>
      </c>
      <c r="J65">
        <v>12981</v>
      </c>
    </row>
    <row r="66" spans="1:10" x14ac:dyDescent="0.3">
      <c r="A66" t="s">
        <v>37</v>
      </c>
      <c r="B66" t="s">
        <v>19</v>
      </c>
      <c r="C66" t="s">
        <v>12</v>
      </c>
      <c r="D66" t="s">
        <v>80</v>
      </c>
      <c r="E66" s="36">
        <v>45988</v>
      </c>
      <c r="F66" t="s">
        <v>33</v>
      </c>
      <c r="G66">
        <v>2</v>
      </c>
      <c r="H66">
        <v>45000</v>
      </c>
      <c r="I66">
        <v>84473</v>
      </c>
      <c r="J66">
        <v>15205</v>
      </c>
    </row>
    <row r="67" spans="1:10" x14ac:dyDescent="0.3">
      <c r="A67" t="s">
        <v>37</v>
      </c>
      <c r="B67" t="s">
        <v>31</v>
      </c>
      <c r="C67" t="s">
        <v>12</v>
      </c>
      <c r="D67" t="s">
        <v>172</v>
      </c>
      <c r="E67" s="36">
        <v>46018</v>
      </c>
      <c r="F67" t="s">
        <v>36</v>
      </c>
      <c r="G67">
        <v>3</v>
      </c>
      <c r="H67">
        <v>55000</v>
      </c>
      <c r="I67">
        <v>176237</v>
      </c>
      <c r="J67">
        <v>38772</v>
      </c>
    </row>
    <row r="68" spans="1:10" x14ac:dyDescent="0.3">
      <c r="A68" t="s">
        <v>37</v>
      </c>
      <c r="B68" t="s">
        <v>16</v>
      </c>
      <c r="C68" t="s">
        <v>12</v>
      </c>
      <c r="D68" t="s">
        <v>253</v>
      </c>
      <c r="E68" s="36">
        <v>45801</v>
      </c>
      <c r="F68" t="s">
        <v>14</v>
      </c>
      <c r="G68">
        <v>7</v>
      </c>
      <c r="H68">
        <v>18500</v>
      </c>
      <c r="I68">
        <v>136496</v>
      </c>
      <c r="J68">
        <v>16380</v>
      </c>
    </row>
    <row r="69" spans="1:10" x14ac:dyDescent="0.3">
      <c r="A69" t="s">
        <v>37</v>
      </c>
      <c r="B69" t="s">
        <v>19</v>
      </c>
      <c r="C69" t="s">
        <v>12</v>
      </c>
      <c r="D69" t="s">
        <v>254</v>
      </c>
      <c r="E69" s="36">
        <v>45859</v>
      </c>
      <c r="F69" t="s">
        <v>40</v>
      </c>
      <c r="G69">
        <v>1</v>
      </c>
      <c r="H69">
        <v>15000</v>
      </c>
      <c r="I69">
        <v>13539</v>
      </c>
      <c r="J69">
        <v>1354</v>
      </c>
    </row>
    <row r="70" spans="1:10" x14ac:dyDescent="0.3">
      <c r="A70" t="s">
        <v>37</v>
      </c>
      <c r="B70" t="s">
        <v>16</v>
      </c>
      <c r="C70" t="s">
        <v>12</v>
      </c>
      <c r="D70" t="s">
        <v>125</v>
      </c>
      <c r="E70" s="36">
        <v>45837</v>
      </c>
      <c r="F70" t="s">
        <v>40</v>
      </c>
      <c r="G70">
        <v>4</v>
      </c>
      <c r="H70">
        <v>15000</v>
      </c>
      <c r="I70">
        <v>54086</v>
      </c>
      <c r="J70">
        <v>5409</v>
      </c>
    </row>
    <row r="71" spans="1:10" x14ac:dyDescent="0.3">
      <c r="A71" t="s">
        <v>37</v>
      </c>
      <c r="B71" t="s">
        <v>77</v>
      </c>
      <c r="C71" t="s">
        <v>12</v>
      </c>
      <c r="D71" t="s">
        <v>156</v>
      </c>
      <c r="E71" s="36">
        <v>45740</v>
      </c>
      <c r="F71" t="s">
        <v>14</v>
      </c>
      <c r="G71">
        <v>7</v>
      </c>
      <c r="H71">
        <v>18500</v>
      </c>
      <c r="I71">
        <v>121487</v>
      </c>
      <c r="J71">
        <v>14578</v>
      </c>
    </row>
    <row r="72" spans="1:10" x14ac:dyDescent="0.3">
      <c r="A72" t="s">
        <v>37</v>
      </c>
      <c r="B72" t="s">
        <v>16</v>
      </c>
      <c r="C72" t="s">
        <v>12</v>
      </c>
      <c r="D72" t="s">
        <v>239</v>
      </c>
      <c r="E72" s="36">
        <v>45658</v>
      </c>
      <c r="F72" t="s">
        <v>36</v>
      </c>
      <c r="G72">
        <v>5</v>
      </c>
      <c r="H72">
        <v>55000</v>
      </c>
      <c r="I72">
        <v>283025</v>
      </c>
      <c r="J72">
        <v>62266</v>
      </c>
    </row>
    <row r="73" spans="1:10" x14ac:dyDescent="0.3">
      <c r="A73" t="s">
        <v>37</v>
      </c>
      <c r="B73" t="s">
        <v>51</v>
      </c>
      <c r="C73" t="s">
        <v>12</v>
      </c>
      <c r="D73" t="s">
        <v>192</v>
      </c>
      <c r="E73" s="36">
        <v>45845</v>
      </c>
      <c r="F73" t="s">
        <v>36</v>
      </c>
      <c r="G73">
        <v>8</v>
      </c>
      <c r="H73">
        <v>55000</v>
      </c>
      <c r="I73">
        <v>432575</v>
      </c>
      <c r="J73">
        <v>95166</v>
      </c>
    </row>
    <row r="74" spans="1:10" x14ac:dyDescent="0.3">
      <c r="A74" t="s">
        <v>37</v>
      </c>
      <c r="B74" t="s">
        <v>19</v>
      </c>
      <c r="C74" t="s">
        <v>12</v>
      </c>
      <c r="D74" t="s">
        <v>257</v>
      </c>
      <c r="E74" s="36">
        <v>45755</v>
      </c>
      <c r="F74" t="s">
        <v>14</v>
      </c>
      <c r="G74">
        <v>8</v>
      </c>
      <c r="H74">
        <v>18500</v>
      </c>
      <c r="I74">
        <v>150729</v>
      </c>
      <c r="J74">
        <v>18087</v>
      </c>
    </row>
    <row r="75" spans="1:10" x14ac:dyDescent="0.3">
      <c r="A75" t="s">
        <v>37</v>
      </c>
      <c r="B75" t="s">
        <v>11</v>
      </c>
      <c r="C75" t="s">
        <v>12</v>
      </c>
      <c r="D75" t="s">
        <v>91</v>
      </c>
      <c r="E75" s="36">
        <v>45832</v>
      </c>
      <c r="F75" t="s">
        <v>33</v>
      </c>
      <c r="G75">
        <v>3</v>
      </c>
      <c r="H75">
        <v>45000</v>
      </c>
      <c r="I75">
        <v>145865</v>
      </c>
      <c r="J75">
        <v>26256</v>
      </c>
    </row>
    <row r="76" spans="1:10" x14ac:dyDescent="0.3">
      <c r="A76" t="s">
        <v>37</v>
      </c>
      <c r="B76" t="s">
        <v>84</v>
      </c>
      <c r="C76" t="s">
        <v>12</v>
      </c>
      <c r="D76" t="s">
        <v>24</v>
      </c>
      <c r="E76" s="36">
        <v>45800</v>
      </c>
      <c r="F76" t="s">
        <v>33</v>
      </c>
      <c r="G76">
        <v>10</v>
      </c>
      <c r="H76">
        <v>45000</v>
      </c>
      <c r="I76">
        <v>413976</v>
      </c>
      <c r="J76">
        <v>74516</v>
      </c>
    </row>
    <row r="77" spans="1:10" x14ac:dyDescent="0.3">
      <c r="A77" t="s">
        <v>37</v>
      </c>
      <c r="B77" t="s">
        <v>88</v>
      </c>
      <c r="C77" t="s">
        <v>12</v>
      </c>
      <c r="D77" t="s">
        <v>122</v>
      </c>
      <c r="E77" s="36">
        <v>45776</v>
      </c>
      <c r="F77" t="s">
        <v>14</v>
      </c>
      <c r="G77">
        <v>7</v>
      </c>
      <c r="H77">
        <v>18500</v>
      </c>
      <c r="I77">
        <v>121120</v>
      </c>
      <c r="J77">
        <v>14534</v>
      </c>
    </row>
    <row r="78" spans="1:10" x14ac:dyDescent="0.3">
      <c r="A78" t="s">
        <v>37</v>
      </c>
      <c r="B78" t="s">
        <v>84</v>
      </c>
      <c r="C78" t="s">
        <v>12</v>
      </c>
      <c r="D78" t="s">
        <v>61</v>
      </c>
      <c r="E78" s="36">
        <v>45885</v>
      </c>
      <c r="F78" t="s">
        <v>36</v>
      </c>
      <c r="G78">
        <v>9</v>
      </c>
      <c r="H78">
        <v>55000</v>
      </c>
      <c r="I78">
        <v>485801</v>
      </c>
      <c r="J78">
        <v>106876</v>
      </c>
    </row>
    <row r="79" spans="1:10" x14ac:dyDescent="0.3">
      <c r="A79" t="s">
        <v>37</v>
      </c>
      <c r="B79" t="s">
        <v>51</v>
      </c>
      <c r="C79" t="s">
        <v>12</v>
      </c>
      <c r="D79" t="s">
        <v>39</v>
      </c>
      <c r="E79" s="36">
        <v>45710</v>
      </c>
      <c r="F79" t="s">
        <v>33</v>
      </c>
      <c r="G79">
        <v>3</v>
      </c>
      <c r="H79">
        <v>45000</v>
      </c>
      <c r="I79">
        <v>135717</v>
      </c>
      <c r="J79">
        <v>24429</v>
      </c>
    </row>
    <row r="80" spans="1:10" x14ac:dyDescent="0.3">
      <c r="A80" t="s">
        <v>37</v>
      </c>
      <c r="B80" t="s">
        <v>31</v>
      </c>
      <c r="C80" t="s">
        <v>12</v>
      </c>
      <c r="D80" t="s">
        <v>199</v>
      </c>
      <c r="E80" s="36">
        <v>45941</v>
      </c>
      <c r="F80" t="s">
        <v>36</v>
      </c>
      <c r="G80">
        <v>6</v>
      </c>
      <c r="H80">
        <v>55000</v>
      </c>
      <c r="I80">
        <v>316691</v>
      </c>
      <c r="J80">
        <v>69672</v>
      </c>
    </row>
    <row r="81" spans="1:10" x14ac:dyDescent="0.3">
      <c r="A81" t="s">
        <v>37</v>
      </c>
      <c r="B81" t="s">
        <v>51</v>
      </c>
      <c r="C81" t="s">
        <v>12</v>
      </c>
      <c r="D81" t="s">
        <v>127</v>
      </c>
      <c r="E81" s="36">
        <v>45757</v>
      </c>
      <c r="F81" t="s">
        <v>33</v>
      </c>
      <c r="G81">
        <v>3</v>
      </c>
      <c r="H81">
        <v>45000</v>
      </c>
      <c r="I81">
        <v>121688</v>
      </c>
      <c r="J81">
        <v>21904</v>
      </c>
    </row>
    <row r="82" spans="1:10" x14ac:dyDescent="0.3">
      <c r="A82" t="s">
        <v>37</v>
      </c>
      <c r="B82" t="s">
        <v>11</v>
      </c>
      <c r="C82" t="s">
        <v>12</v>
      </c>
      <c r="D82" t="s">
        <v>236</v>
      </c>
      <c r="E82" s="36">
        <v>45823</v>
      </c>
      <c r="F82" t="s">
        <v>14</v>
      </c>
      <c r="G82">
        <v>5</v>
      </c>
      <c r="H82">
        <v>18500</v>
      </c>
      <c r="I82">
        <v>94872</v>
      </c>
      <c r="J82">
        <v>11385</v>
      </c>
    </row>
    <row r="83" spans="1:10" x14ac:dyDescent="0.3">
      <c r="A83" t="s">
        <v>37</v>
      </c>
      <c r="B83" t="s">
        <v>84</v>
      </c>
      <c r="C83" t="s">
        <v>12</v>
      </c>
      <c r="D83" t="s">
        <v>113</v>
      </c>
      <c r="E83" s="36">
        <v>45773</v>
      </c>
      <c r="F83" t="s">
        <v>40</v>
      </c>
      <c r="G83">
        <v>4</v>
      </c>
      <c r="H83">
        <v>15000</v>
      </c>
      <c r="I83">
        <v>62909</v>
      </c>
      <c r="J83">
        <v>6291</v>
      </c>
    </row>
    <row r="84" spans="1:10" x14ac:dyDescent="0.3">
      <c r="A84" t="s">
        <v>37</v>
      </c>
      <c r="B84" t="s">
        <v>16</v>
      </c>
      <c r="C84" t="s">
        <v>12</v>
      </c>
      <c r="D84" t="s">
        <v>104</v>
      </c>
      <c r="E84" s="36">
        <v>45929</v>
      </c>
      <c r="F84" t="s">
        <v>14</v>
      </c>
      <c r="G84">
        <v>8</v>
      </c>
      <c r="H84">
        <v>18500</v>
      </c>
      <c r="I84">
        <v>140120</v>
      </c>
      <c r="J84">
        <v>16814</v>
      </c>
    </row>
    <row r="85" spans="1:10" x14ac:dyDescent="0.3">
      <c r="A85" t="s">
        <v>37</v>
      </c>
      <c r="B85" t="s">
        <v>84</v>
      </c>
      <c r="C85" t="s">
        <v>12</v>
      </c>
      <c r="D85" t="s">
        <v>193</v>
      </c>
      <c r="E85" s="36">
        <v>45909</v>
      </c>
      <c r="F85" t="s">
        <v>33</v>
      </c>
      <c r="G85">
        <v>7</v>
      </c>
      <c r="H85">
        <v>45000</v>
      </c>
      <c r="I85">
        <v>289584</v>
      </c>
      <c r="J85">
        <v>52125</v>
      </c>
    </row>
    <row r="86" spans="1:10" x14ac:dyDescent="0.3">
      <c r="A86" t="s">
        <v>37</v>
      </c>
      <c r="B86" t="s">
        <v>84</v>
      </c>
      <c r="C86" t="s">
        <v>12</v>
      </c>
      <c r="D86" t="s">
        <v>145</v>
      </c>
      <c r="E86" s="36">
        <v>45755</v>
      </c>
      <c r="F86" t="s">
        <v>14</v>
      </c>
      <c r="G86">
        <v>9</v>
      </c>
      <c r="H86">
        <v>18500</v>
      </c>
      <c r="I86">
        <v>174720</v>
      </c>
      <c r="J86">
        <v>20966</v>
      </c>
    </row>
    <row r="87" spans="1:10" x14ac:dyDescent="0.3">
      <c r="A87" t="s">
        <v>37</v>
      </c>
      <c r="B87" t="s">
        <v>77</v>
      </c>
      <c r="C87" t="s">
        <v>12</v>
      </c>
      <c r="D87" t="s">
        <v>224</v>
      </c>
      <c r="E87" s="36">
        <v>45994</v>
      </c>
      <c r="F87" t="s">
        <v>33</v>
      </c>
      <c r="G87">
        <v>9</v>
      </c>
      <c r="H87">
        <v>45000</v>
      </c>
      <c r="I87">
        <v>422271</v>
      </c>
      <c r="J87">
        <v>76009</v>
      </c>
    </row>
    <row r="88" spans="1:10" x14ac:dyDescent="0.3">
      <c r="A88" t="s">
        <v>37</v>
      </c>
      <c r="B88" t="s">
        <v>88</v>
      </c>
      <c r="C88" t="s">
        <v>12</v>
      </c>
      <c r="D88" t="s">
        <v>103</v>
      </c>
      <c r="E88" s="36">
        <v>45753</v>
      </c>
      <c r="F88" t="s">
        <v>14</v>
      </c>
      <c r="G88">
        <v>3</v>
      </c>
      <c r="H88">
        <v>18500</v>
      </c>
      <c r="I88">
        <v>50415</v>
      </c>
      <c r="J88">
        <v>6050</v>
      </c>
    </row>
    <row r="89" spans="1:10" x14ac:dyDescent="0.3">
      <c r="A89" t="s">
        <v>37</v>
      </c>
      <c r="B89" t="s">
        <v>88</v>
      </c>
      <c r="C89" t="s">
        <v>12</v>
      </c>
      <c r="D89" t="s">
        <v>69</v>
      </c>
      <c r="E89" s="36">
        <v>45673</v>
      </c>
      <c r="F89" t="s">
        <v>40</v>
      </c>
      <c r="G89">
        <v>4</v>
      </c>
      <c r="H89">
        <v>15000</v>
      </c>
      <c r="I89">
        <v>54352</v>
      </c>
      <c r="J89">
        <v>5435</v>
      </c>
    </row>
    <row r="90" spans="1:10" x14ac:dyDescent="0.3">
      <c r="A90" t="s">
        <v>37</v>
      </c>
      <c r="B90" t="s">
        <v>84</v>
      </c>
      <c r="C90" t="s">
        <v>12</v>
      </c>
      <c r="D90" t="s">
        <v>103</v>
      </c>
      <c r="E90" s="36">
        <v>45744</v>
      </c>
      <c r="F90" t="s">
        <v>14</v>
      </c>
      <c r="G90">
        <v>8</v>
      </c>
      <c r="H90">
        <v>18500</v>
      </c>
      <c r="I90">
        <v>146265</v>
      </c>
      <c r="J90">
        <v>17552</v>
      </c>
    </row>
    <row r="91" spans="1:10" x14ac:dyDescent="0.3">
      <c r="A91" t="s">
        <v>37</v>
      </c>
      <c r="B91" t="s">
        <v>11</v>
      </c>
      <c r="C91" t="s">
        <v>12</v>
      </c>
      <c r="D91" t="s">
        <v>246</v>
      </c>
      <c r="E91" s="36">
        <v>45888</v>
      </c>
      <c r="F91" t="s">
        <v>14</v>
      </c>
      <c r="G91">
        <v>9</v>
      </c>
      <c r="H91">
        <v>18500</v>
      </c>
      <c r="I91">
        <v>173084</v>
      </c>
      <c r="J91">
        <v>20770</v>
      </c>
    </row>
    <row r="92" spans="1:10" x14ac:dyDescent="0.3">
      <c r="A92" t="s">
        <v>37</v>
      </c>
      <c r="B92" t="s">
        <v>31</v>
      </c>
      <c r="C92" t="s">
        <v>12</v>
      </c>
      <c r="D92" t="s">
        <v>107</v>
      </c>
      <c r="E92" s="36">
        <v>45797</v>
      </c>
      <c r="F92" t="s">
        <v>40</v>
      </c>
      <c r="G92">
        <v>7</v>
      </c>
      <c r="H92">
        <v>15000</v>
      </c>
      <c r="I92">
        <v>95522</v>
      </c>
      <c r="J92">
        <v>9552</v>
      </c>
    </row>
    <row r="93" spans="1:10" x14ac:dyDescent="0.3">
      <c r="A93" t="s">
        <v>37</v>
      </c>
      <c r="B93" t="s">
        <v>84</v>
      </c>
      <c r="C93" t="s">
        <v>12</v>
      </c>
      <c r="D93" t="s">
        <v>127</v>
      </c>
      <c r="E93" s="36">
        <v>45800</v>
      </c>
      <c r="F93" t="s">
        <v>40</v>
      </c>
      <c r="G93">
        <v>2</v>
      </c>
      <c r="H93">
        <v>15000</v>
      </c>
      <c r="I93">
        <v>31295</v>
      </c>
      <c r="J93">
        <v>3130</v>
      </c>
    </row>
    <row r="94" spans="1:10" x14ac:dyDescent="0.3">
      <c r="A94" t="s">
        <v>37</v>
      </c>
      <c r="B94" t="s">
        <v>88</v>
      </c>
      <c r="C94" t="s">
        <v>12</v>
      </c>
      <c r="D94" t="s">
        <v>103</v>
      </c>
      <c r="E94" s="36">
        <v>45918</v>
      </c>
      <c r="F94" t="s">
        <v>14</v>
      </c>
      <c r="G94">
        <v>5</v>
      </c>
      <c r="H94">
        <v>18500</v>
      </c>
      <c r="I94">
        <v>83445</v>
      </c>
      <c r="J94">
        <v>10013</v>
      </c>
    </row>
    <row r="95" spans="1:10" x14ac:dyDescent="0.3">
      <c r="A95" t="s">
        <v>37</v>
      </c>
      <c r="B95" t="s">
        <v>84</v>
      </c>
      <c r="C95" t="s">
        <v>12</v>
      </c>
      <c r="D95" t="s">
        <v>75</v>
      </c>
      <c r="E95" s="36">
        <v>45989</v>
      </c>
      <c r="F95" t="s">
        <v>40</v>
      </c>
      <c r="G95">
        <v>3</v>
      </c>
      <c r="H95">
        <v>15000</v>
      </c>
      <c r="I95">
        <v>41091</v>
      </c>
      <c r="J95">
        <v>4109</v>
      </c>
    </row>
    <row r="96" spans="1:10" x14ac:dyDescent="0.3">
      <c r="A96" t="s">
        <v>37</v>
      </c>
      <c r="B96" t="s">
        <v>84</v>
      </c>
      <c r="C96" t="s">
        <v>12</v>
      </c>
      <c r="D96" t="s">
        <v>80</v>
      </c>
      <c r="E96" s="36">
        <v>45845</v>
      </c>
      <c r="F96" t="s">
        <v>14</v>
      </c>
      <c r="G96">
        <v>3</v>
      </c>
      <c r="H96">
        <v>18500</v>
      </c>
      <c r="I96">
        <v>54094</v>
      </c>
      <c r="J96">
        <v>6491</v>
      </c>
    </row>
    <row r="97" spans="1:10" x14ac:dyDescent="0.3">
      <c r="A97" t="s">
        <v>37</v>
      </c>
      <c r="B97" t="s">
        <v>51</v>
      </c>
      <c r="C97" t="s">
        <v>12</v>
      </c>
      <c r="D97" t="s">
        <v>256</v>
      </c>
      <c r="E97" s="36">
        <v>45669</v>
      </c>
      <c r="F97" t="s">
        <v>40</v>
      </c>
      <c r="G97">
        <v>6</v>
      </c>
      <c r="H97">
        <v>15000</v>
      </c>
      <c r="I97">
        <v>82297</v>
      </c>
      <c r="J97">
        <v>8230</v>
      </c>
    </row>
    <row r="98" spans="1:10" x14ac:dyDescent="0.3">
      <c r="A98" t="s">
        <v>37</v>
      </c>
      <c r="B98" t="s">
        <v>19</v>
      </c>
      <c r="C98" t="s">
        <v>12</v>
      </c>
      <c r="D98" t="s">
        <v>253</v>
      </c>
      <c r="E98" s="36">
        <v>45919</v>
      </c>
      <c r="F98" t="s">
        <v>14</v>
      </c>
      <c r="G98">
        <v>10</v>
      </c>
      <c r="H98">
        <v>18500</v>
      </c>
      <c r="I98">
        <v>185781</v>
      </c>
      <c r="J98">
        <v>22294</v>
      </c>
    </row>
    <row r="99" spans="1:10" x14ac:dyDescent="0.3">
      <c r="A99" t="s">
        <v>37</v>
      </c>
      <c r="B99" t="s">
        <v>84</v>
      </c>
      <c r="C99" t="s">
        <v>12</v>
      </c>
      <c r="D99" t="s">
        <v>70</v>
      </c>
      <c r="E99" s="36">
        <v>45688</v>
      </c>
      <c r="F99" t="s">
        <v>40</v>
      </c>
      <c r="G99">
        <v>4</v>
      </c>
      <c r="H99">
        <v>15000</v>
      </c>
      <c r="I99">
        <v>60922</v>
      </c>
      <c r="J99">
        <v>6092</v>
      </c>
    </row>
    <row r="100" spans="1:10" x14ac:dyDescent="0.3">
      <c r="A100" t="s">
        <v>37</v>
      </c>
      <c r="B100" t="s">
        <v>19</v>
      </c>
      <c r="C100" t="s">
        <v>12</v>
      </c>
      <c r="D100" t="s">
        <v>149</v>
      </c>
      <c r="E100" s="36">
        <v>45792</v>
      </c>
      <c r="F100" t="s">
        <v>40</v>
      </c>
      <c r="G100">
        <v>1</v>
      </c>
      <c r="H100">
        <v>15000</v>
      </c>
      <c r="I100">
        <v>16372</v>
      </c>
      <c r="J100">
        <v>1637</v>
      </c>
    </row>
    <row r="101" spans="1:10" x14ac:dyDescent="0.3">
      <c r="A101" t="s">
        <v>37</v>
      </c>
      <c r="B101" t="s">
        <v>88</v>
      </c>
      <c r="C101" t="s">
        <v>12</v>
      </c>
      <c r="D101" t="s">
        <v>57</v>
      </c>
      <c r="E101" s="36">
        <v>45818</v>
      </c>
      <c r="F101" t="s">
        <v>36</v>
      </c>
      <c r="G101">
        <v>2</v>
      </c>
      <c r="H101">
        <v>55000</v>
      </c>
      <c r="I101">
        <v>117141</v>
      </c>
      <c r="J101">
        <v>25771</v>
      </c>
    </row>
    <row r="102" spans="1:10" x14ac:dyDescent="0.3">
      <c r="A102" t="s">
        <v>37</v>
      </c>
      <c r="B102" t="s">
        <v>77</v>
      </c>
      <c r="C102" t="s">
        <v>12</v>
      </c>
      <c r="D102" t="s">
        <v>243</v>
      </c>
      <c r="E102" s="36">
        <v>45841</v>
      </c>
      <c r="F102" t="s">
        <v>40</v>
      </c>
      <c r="G102">
        <v>5</v>
      </c>
      <c r="H102">
        <v>15000</v>
      </c>
      <c r="I102">
        <v>81193</v>
      </c>
      <c r="J102">
        <v>8119</v>
      </c>
    </row>
    <row r="103" spans="1:10" x14ac:dyDescent="0.3">
      <c r="A103" t="s">
        <v>37</v>
      </c>
      <c r="B103" t="s">
        <v>88</v>
      </c>
      <c r="C103" t="s">
        <v>12</v>
      </c>
      <c r="D103" t="s">
        <v>95</v>
      </c>
      <c r="E103" s="36">
        <v>45696</v>
      </c>
      <c r="F103" t="s">
        <v>40</v>
      </c>
      <c r="G103">
        <v>5</v>
      </c>
      <c r="H103">
        <v>15000</v>
      </c>
      <c r="I103">
        <v>75255</v>
      </c>
      <c r="J103">
        <v>7526</v>
      </c>
    </row>
    <row r="104" spans="1:10" x14ac:dyDescent="0.3">
      <c r="A104" t="s">
        <v>37</v>
      </c>
      <c r="B104" t="s">
        <v>88</v>
      </c>
      <c r="C104" t="s">
        <v>12</v>
      </c>
      <c r="D104" t="s">
        <v>83</v>
      </c>
      <c r="E104" s="36">
        <v>45779</v>
      </c>
      <c r="F104" t="s">
        <v>36</v>
      </c>
      <c r="G104">
        <v>6</v>
      </c>
      <c r="H104">
        <v>55000</v>
      </c>
      <c r="I104">
        <v>352601</v>
      </c>
      <c r="J104">
        <v>77572</v>
      </c>
    </row>
    <row r="105" spans="1:10" x14ac:dyDescent="0.3">
      <c r="A105" t="s">
        <v>37</v>
      </c>
      <c r="B105" t="s">
        <v>84</v>
      </c>
      <c r="C105" t="s">
        <v>12</v>
      </c>
      <c r="D105" t="s">
        <v>259</v>
      </c>
      <c r="E105" s="36">
        <v>45922</v>
      </c>
      <c r="F105" t="s">
        <v>14</v>
      </c>
      <c r="G105">
        <v>2</v>
      </c>
      <c r="H105">
        <v>18500</v>
      </c>
      <c r="I105">
        <v>34674</v>
      </c>
      <c r="J105">
        <v>4161</v>
      </c>
    </row>
    <row r="106" spans="1:10" x14ac:dyDescent="0.3">
      <c r="A106" t="s">
        <v>37</v>
      </c>
      <c r="B106" t="s">
        <v>31</v>
      </c>
      <c r="C106" t="s">
        <v>12</v>
      </c>
      <c r="D106" t="s">
        <v>89</v>
      </c>
      <c r="E106" s="36">
        <v>45759</v>
      </c>
      <c r="F106" t="s">
        <v>36</v>
      </c>
      <c r="G106">
        <v>1</v>
      </c>
      <c r="H106">
        <v>55000</v>
      </c>
      <c r="I106">
        <v>56281</v>
      </c>
      <c r="J106">
        <v>12382</v>
      </c>
    </row>
    <row r="107" spans="1:10" x14ac:dyDescent="0.3">
      <c r="A107" t="s">
        <v>37</v>
      </c>
      <c r="B107" t="s">
        <v>16</v>
      </c>
      <c r="C107" t="s">
        <v>12</v>
      </c>
      <c r="D107" t="s">
        <v>155</v>
      </c>
      <c r="E107" s="36">
        <v>45982</v>
      </c>
      <c r="F107" t="s">
        <v>33</v>
      </c>
      <c r="G107">
        <v>3</v>
      </c>
      <c r="H107">
        <v>45000</v>
      </c>
      <c r="I107">
        <v>139838</v>
      </c>
      <c r="J107">
        <v>25171</v>
      </c>
    </row>
    <row r="108" spans="1:10" x14ac:dyDescent="0.3">
      <c r="A108" t="s">
        <v>37</v>
      </c>
      <c r="B108" t="s">
        <v>19</v>
      </c>
      <c r="C108" t="s">
        <v>12</v>
      </c>
      <c r="D108" t="s">
        <v>181</v>
      </c>
      <c r="E108" s="36">
        <v>45770</v>
      </c>
      <c r="F108" t="s">
        <v>36</v>
      </c>
      <c r="G108">
        <v>5</v>
      </c>
      <c r="H108">
        <v>55000</v>
      </c>
      <c r="I108">
        <v>282758</v>
      </c>
      <c r="J108">
        <v>62207</v>
      </c>
    </row>
    <row r="109" spans="1:10" x14ac:dyDescent="0.3">
      <c r="A109" t="s">
        <v>37</v>
      </c>
      <c r="B109" t="s">
        <v>16</v>
      </c>
      <c r="C109" t="s">
        <v>12</v>
      </c>
      <c r="D109" t="s">
        <v>50</v>
      </c>
      <c r="E109" s="36">
        <v>45704</v>
      </c>
      <c r="F109" t="s">
        <v>14</v>
      </c>
      <c r="G109">
        <v>5</v>
      </c>
      <c r="H109">
        <v>18500</v>
      </c>
      <c r="I109">
        <v>100934</v>
      </c>
      <c r="J109">
        <v>12112</v>
      </c>
    </row>
    <row r="110" spans="1:10" x14ac:dyDescent="0.3">
      <c r="A110" t="s">
        <v>37</v>
      </c>
      <c r="B110" t="s">
        <v>31</v>
      </c>
      <c r="C110" t="s">
        <v>12</v>
      </c>
      <c r="D110" t="s">
        <v>182</v>
      </c>
      <c r="E110" s="36">
        <v>45694</v>
      </c>
      <c r="F110" t="s">
        <v>36</v>
      </c>
      <c r="G110">
        <v>1</v>
      </c>
      <c r="H110">
        <v>55000</v>
      </c>
      <c r="I110">
        <v>59686</v>
      </c>
      <c r="J110">
        <v>13131</v>
      </c>
    </row>
    <row r="111" spans="1:10" x14ac:dyDescent="0.3">
      <c r="A111" t="s">
        <v>37</v>
      </c>
      <c r="B111" t="s">
        <v>77</v>
      </c>
      <c r="C111" t="s">
        <v>12</v>
      </c>
      <c r="D111" t="s">
        <v>43</v>
      </c>
      <c r="E111" s="36">
        <v>45945</v>
      </c>
      <c r="F111" t="s">
        <v>14</v>
      </c>
      <c r="G111">
        <v>8</v>
      </c>
      <c r="H111">
        <v>18500</v>
      </c>
      <c r="I111">
        <v>133328</v>
      </c>
      <c r="J111">
        <v>15999</v>
      </c>
    </row>
    <row r="112" spans="1:10" x14ac:dyDescent="0.3">
      <c r="A112" t="s">
        <v>37</v>
      </c>
      <c r="B112" t="s">
        <v>51</v>
      </c>
      <c r="C112" t="s">
        <v>12</v>
      </c>
      <c r="D112" t="s">
        <v>260</v>
      </c>
      <c r="E112" s="36">
        <v>45969</v>
      </c>
      <c r="F112" t="s">
        <v>33</v>
      </c>
      <c r="G112">
        <v>10</v>
      </c>
      <c r="H112">
        <v>45000</v>
      </c>
      <c r="I112">
        <v>492969</v>
      </c>
      <c r="J112">
        <v>88734</v>
      </c>
    </row>
    <row r="113" spans="1:10" x14ac:dyDescent="0.3">
      <c r="A113" t="s">
        <v>37</v>
      </c>
      <c r="B113" t="s">
        <v>31</v>
      </c>
      <c r="C113" t="s">
        <v>12</v>
      </c>
      <c r="D113" t="s">
        <v>139</v>
      </c>
      <c r="E113" s="36">
        <v>45840</v>
      </c>
      <c r="F113" t="s">
        <v>36</v>
      </c>
      <c r="G113">
        <v>4</v>
      </c>
      <c r="H113">
        <v>55000</v>
      </c>
      <c r="I113">
        <v>207188</v>
      </c>
      <c r="J113">
        <v>45581</v>
      </c>
    </row>
    <row r="114" spans="1:10" x14ac:dyDescent="0.3">
      <c r="A114" t="s">
        <v>37</v>
      </c>
      <c r="B114" t="s">
        <v>77</v>
      </c>
      <c r="C114" t="s">
        <v>12</v>
      </c>
      <c r="D114" t="s">
        <v>147</v>
      </c>
      <c r="E114" s="36">
        <v>46011</v>
      </c>
      <c r="F114" t="s">
        <v>14</v>
      </c>
      <c r="G114">
        <v>9</v>
      </c>
      <c r="H114">
        <v>18500</v>
      </c>
      <c r="I114">
        <v>171808</v>
      </c>
      <c r="J114">
        <v>20617</v>
      </c>
    </row>
    <row r="115" spans="1:10" x14ac:dyDescent="0.3">
      <c r="A115" t="s">
        <v>37</v>
      </c>
      <c r="B115" t="s">
        <v>31</v>
      </c>
      <c r="C115" t="s">
        <v>12</v>
      </c>
      <c r="D115" t="s">
        <v>240</v>
      </c>
      <c r="E115" s="36">
        <v>45879</v>
      </c>
      <c r="F115" t="s">
        <v>40</v>
      </c>
      <c r="G115">
        <v>10</v>
      </c>
      <c r="H115">
        <v>15000</v>
      </c>
      <c r="I115">
        <v>136778</v>
      </c>
      <c r="J115">
        <v>13678</v>
      </c>
    </row>
    <row r="116" spans="1:10" x14ac:dyDescent="0.3">
      <c r="A116" t="s">
        <v>37</v>
      </c>
      <c r="B116" t="s">
        <v>84</v>
      </c>
      <c r="C116" t="s">
        <v>12</v>
      </c>
      <c r="D116" t="s">
        <v>171</v>
      </c>
      <c r="E116" s="36">
        <v>45871</v>
      </c>
      <c r="F116" t="s">
        <v>14</v>
      </c>
      <c r="G116">
        <v>4</v>
      </c>
      <c r="H116">
        <v>18500</v>
      </c>
      <c r="I116">
        <v>78551</v>
      </c>
      <c r="J116">
        <v>9426</v>
      </c>
    </row>
    <row r="117" spans="1:10" x14ac:dyDescent="0.3">
      <c r="A117" t="s">
        <v>37</v>
      </c>
      <c r="B117" t="s">
        <v>84</v>
      </c>
      <c r="C117" t="s">
        <v>12</v>
      </c>
      <c r="D117" t="s">
        <v>59</v>
      </c>
      <c r="E117" s="36">
        <v>45975</v>
      </c>
      <c r="F117" t="s">
        <v>40</v>
      </c>
      <c r="G117">
        <v>10</v>
      </c>
      <c r="H117">
        <v>15000</v>
      </c>
      <c r="I117">
        <v>152480</v>
      </c>
      <c r="J117">
        <v>15248</v>
      </c>
    </row>
    <row r="118" spans="1:10" x14ac:dyDescent="0.3">
      <c r="A118" t="s">
        <v>37</v>
      </c>
      <c r="B118" t="s">
        <v>84</v>
      </c>
      <c r="C118" t="s">
        <v>12</v>
      </c>
      <c r="D118" t="s">
        <v>144</v>
      </c>
      <c r="E118" s="36">
        <v>45915</v>
      </c>
      <c r="F118" t="s">
        <v>14</v>
      </c>
      <c r="G118">
        <v>7</v>
      </c>
      <c r="H118">
        <v>18500</v>
      </c>
      <c r="I118">
        <v>136739</v>
      </c>
      <c r="J118">
        <v>16409</v>
      </c>
    </row>
    <row r="119" spans="1:10" x14ac:dyDescent="0.3">
      <c r="A119" t="s">
        <v>37</v>
      </c>
      <c r="B119" t="s">
        <v>11</v>
      </c>
      <c r="C119" t="s">
        <v>12</v>
      </c>
      <c r="D119" t="s">
        <v>158</v>
      </c>
      <c r="E119" s="36">
        <v>46020</v>
      </c>
      <c r="F119" t="s">
        <v>40</v>
      </c>
      <c r="G119">
        <v>5</v>
      </c>
      <c r="H119">
        <v>15000</v>
      </c>
      <c r="I119">
        <v>68870</v>
      </c>
      <c r="J119">
        <v>6887</v>
      </c>
    </row>
    <row r="120" spans="1:10" x14ac:dyDescent="0.3">
      <c r="A120" t="s">
        <v>37</v>
      </c>
      <c r="B120" t="s">
        <v>77</v>
      </c>
      <c r="C120" t="s">
        <v>12</v>
      </c>
      <c r="D120" t="s">
        <v>72</v>
      </c>
      <c r="E120" s="36">
        <v>45713</v>
      </c>
      <c r="F120" t="s">
        <v>33</v>
      </c>
      <c r="G120">
        <v>4</v>
      </c>
      <c r="H120">
        <v>45000</v>
      </c>
      <c r="I120">
        <v>172515</v>
      </c>
      <c r="J120">
        <v>31053</v>
      </c>
    </row>
    <row r="121" spans="1:10" x14ac:dyDescent="0.3">
      <c r="A121" t="s">
        <v>37</v>
      </c>
      <c r="B121" t="s">
        <v>31</v>
      </c>
      <c r="C121" t="s">
        <v>12</v>
      </c>
      <c r="D121" t="s">
        <v>186</v>
      </c>
      <c r="E121" s="36">
        <v>45723</v>
      </c>
      <c r="F121" t="s">
        <v>36</v>
      </c>
      <c r="G121">
        <v>2</v>
      </c>
      <c r="H121">
        <v>55000</v>
      </c>
      <c r="I121">
        <v>101240</v>
      </c>
      <c r="J121">
        <v>22273</v>
      </c>
    </row>
    <row r="122" spans="1:10" x14ac:dyDescent="0.3">
      <c r="A122" t="s">
        <v>37</v>
      </c>
      <c r="B122" t="s">
        <v>51</v>
      </c>
      <c r="C122" t="s">
        <v>12</v>
      </c>
      <c r="D122" t="s">
        <v>232</v>
      </c>
      <c r="E122" s="36">
        <v>45852</v>
      </c>
      <c r="F122" t="s">
        <v>14</v>
      </c>
      <c r="G122">
        <v>5</v>
      </c>
      <c r="H122">
        <v>18500</v>
      </c>
      <c r="I122">
        <v>87012</v>
      </c>
      <c r="J122">
        <v>10441</v>
      </c>
    </row>
    <row r="123" spans="1:10" x14ac:dyDescent="0.3">
      <c r="A123" t="s">
        <v>37</v>
      </c>
      <c r="B123" t="s">
        <v>16</v>
      </c>
      <c r="C123" t="s">
        <v>12</v>
      </c>
      <c r="D123" t="s">
        <v>191</v>
      </c>
      <c r="E123" s="36">
        <v>45965</v>
      </c>
      <c r="F123" t="s">
        <v>36</v>
      </c>
      <c r="G123">
        <v>7</v>
      </c>
      <c r="H123">
        <v>55000</v>
      </c>
      <c r="I123">
        <v>352679</v>
      </c>
      <c r="J123">
        <v>77589</v>
      </c>
    </row>
    <row r="124" spans="1:10" x14ac:dyDescent="0.3">
      <c r="A124" t="s">
        <v>37</v>
      </c>
      <c r="B124" t="s">
        <v>88</v>
      </c>
      <c r="C124" t="s">
        <v>12</v>
      </c>
      <c r="D124" t="s">
        <v>187</v>
      </c>
      <c r="E124" s="36">
        <v>45687</v>
      </c>
      <c r="F124" t="s">
        <v>33</v>
      </c>
      <c r="G124">
        <v>7</v>
      </c>
      <c r="H124">
        <v>45000</v>
      </c>
      <c r="I124">
        <v>289735</v>
      </c>
      <c r="J124">
        <v>52152</v>
      </c>
    </row>
    <row r="125" spans="1:10" x14ac:dyDescent="0.3">
      <c r="A125" t="s">
        <v>37</v>
      </c>
      <c r="B125" t="s">
        <v>84</v>
      </c>
      <c r="C125" t="s">
        <v>12</v>
      </c>
      <c r="D125" t="s">
        <v>82</v>
      </c>
      <c r="E125" s="36">
        <v>45873</v>
      </c>
      <c r="F125" t="s">
        <v>40</v>
      </c>
      <c r="G125">
        <v>6</v>
      </c>
      <c r="H125">
        <v>15000</v>
      </c>
      <c r="I125">
        <v>91392</v>
      </c>
      <c r="J125">
        <v>9139</v>
      </c>
    </row>
    <row r="126" spans="1:10" x14ac:dyDescent="0.3">
      <c r="A126" t="s">
        <v>37</v>
      </c>
      <c r="B126" t="s">
        <v>19</v>
      </c>
      <c r="C126" t="s">
        <v>12</v>
      </c>
      <c r="D126" t="s">
        <v>223</v>
      </c>
      <c r="E126" s="36">
        <v>45738</v>
      </c>
      <c r="F126" t="s">
        <v>14</v>
      </c>
      <c r="G126">
        <v>3</v>
      </c>
      <c r="H126">
        <v>18500</v>
      </c>
      <c r="I126">
        <v>52977</v>
      </c>
      <c r="J126">
        <v>6357</v>
      </c>
    </row>
    <row r="127" spans="1:10" x14ac:dyDescent="0.3">
      <c r="A127" t="s">
        <v>37</v>
      </c>
      <c r="B127" t="s">
        <v>77</v>
      </c>
      <c r="C127" t="s">
        <v>12</v>
      </c>
      <c r="D127" t="s">
        <v>236</v>
      </c>
      <c r="E127" s="36">
        <v>45696</v>
      </c>
      <c r="F127" t="s">
        <v>14</v>
      </c>
      <c r="G127">
        <v>3</v>
      </c>
      <c r="H127">
        <v>18500</v>
      </c>
      <c r="I127">
        <v>55771</v>
      </c>
      <c r="J127">
        <v>6693</v>
      </c>
    </row>
    <row r="128" spans="1:10" x14ac:dyDescent="0.3">
      <c r="A128" t="s">
        <v>37</v>
      </c>
      <c r="B128" t="s">
        <v>19</v>
      </c>
      <c r="C128" t="s">
        <v>12</v>
      </c>
      <c r="D128" t="s">
        <v>199</v>
      </c>
      <c r="E128" s="36">
        <v>45810</v>
      </c>
      <c r="F128" t="s">
        <v>33</v>
      </c>
      <c r="G128">
        <v>9</v>
      </c>
      <c r="H128">
        <v>45000</v>
      </c>
      <c r="I128">
        <v>364978</v>
      </c>
      <c r="J128">
        <v>65696</v>
      </c>
    </row>
    <row r="129" spans="1:10" x14ac:dyDescent="0.3">
      <c r="A129" t="s">
        <v>37</v>
      </c>
      <c r="B129" t="s">
        <v>88</v>
      </c>
      <c r="C129" t="s">
        <v>12</v>
      </c>
      <c r="D129" t="s">
        <v>94</v>
      </c>
      <c r="E129" s="36">
        <v>46019</v>
      </c>
      <c r="F129" t="s">
        <v>14</v>
      </c>
      <c r="G129">
        <v>3</v>
      </c>
      <c r="H129">
        <v>18500</v>
      </c>
      <c r="I129">
        <v>54391</v>
      </c>
      <c r="J129">
        <v>6527</v>
      </c>
    </row>
    <row r="130" spans="1:10" x14ac:dyDescent="0.3">
      <c r="A130" t="s">
        <v>37</v>
      </c>
      <c r="B130" t="s">
        <v>77</v>
      </c>
      <c r="C130" t="s">
        <v>12</v>
      </c>
      <c r="D130" t="s">
        <v>147</v>
      </c>
      <c r="E130" s="36">
        <v>45762</v>
      </c>
      <c r="F130" t="s">
        <v>40</v>
      </c>
      <c r="G130">
        <v>4</v>
      </c>
      <c r="H130">
        <v>15000</v>
      </c>
      <c r="I130">
        <v>56416</v>
      </c>
      <c r="J130">
        <v>5642</v>
      </c>
    </row>
    <row r="131" spans="1:10" x14ac:dyDescent="0.3">
      <c r="A131" t="s">
        <v>37</v>
      </c>
      <c r="B131" t="s">
        <v>11</v>
      </c>
      <c r="C131" t="s">
        <v>12</v>
      </c>
      <c r="D131" t="s">
        <v>143</v>
      </c>
      <c r="E131" s="36">
        <v>45980</v>
      </c>
      <c r="F131" t="s">
        <v>33</v>
      </c>
      <c r="G131">
        <v>2</v>
      </c>
      <c r="H131">
        <v>45000</v>
      </c>
      <c r="I131">
        <v>97286</v>
      </c>
      <c r="J131">
        <v>17511</v>
      </c>
    </row>
    <row r="132" spans="1:10" x14ac:dyDescent="0.3">
      <c r="A132" t="s">
        <v>37</v>
      </c>
      <c r="B132" t="s">
        <v>77</v>
      </c>
      <c r="C132" t="s">
        <v>12</v>
      </c>
      <c r="D132" t="s">
        <v>253</v>
      </c>
      <c r="E132" s="36">
        <v>45694</v>
      </c>
      <c r="F132" t="s">
        <v>36</v>
      </c>
      <c r="G132">
        <v>9</v>
      </c>
      <c r="H132">
        <v>55000</v>
      </c>
      <c r="I132">
        <v>513352</v>
      </c>
      <c r="J132">
        <v>112937</v>
      </c>
    </row>
    <row r="133" spans="1:10" x14ac:dyDescent="0.3">
      <c r="A133" t="s">
        <v>37</v>
      </c>
      <c r="B133" t="s">
        <v>84</v>
      </c>
      <c r="C133" t="s">
        <v>12</v>
      </c>
      <c r="D133" t="s">
        <v>175</v>
      </c>
      <c r="E133" s="36">
        <v>45987</v>
      </c>
      <c r="F133" t="s">
        <v>40</v>
      </c>
      <c r="G133">
        <v>8</v>
      </c>
      <c r="H133">
        <v>15000</v>
      </c>
      <c r="I133">
        <v>112091</v>
      </c>
      <c r="J133">
        <v>11209</v>
      </c>
    </row>
    <row r="134" spans="1:10" x14ac:dyDescent="0.3">
      <c r="A134" t="s">
        <v>37</v>
      </c>
      <c r="B134" t="s">
        <v>11</v>
      </c>
      <c r="C134" t="s">
        <v>12</v>
      </c>
      <c r="D134" t="s">
        <v>133</v>
      </c>
      <c r="E134" s="36">
        <v>46012</v>
      </c>
      <c r="F134" t="s">
        <v>40</v>
      </c>
      <c r="G134">
        <v>9</v>
      </c>
      <c r="H134">
        <v>15000</v>
      </c>
      <c r="I134">
        <v>140955</v>
      </c>
      <c r="J134">
        <v>14096</v>
      </c>
    </row>
    <row r="135" spans="1:10" x14ac:dyDescent="0.3">
      <c r="A135" t="s">
        <v>37</v>
      </c>
      <c r="B135" t="s">
        <v>88</v>
      </c>
      <c r="C135" t="s">
        <v>12</v>
      </c>
      <c r="D135" t="s">
        <v>131</v>
      </c>
      <c r="E135" s="36">
        <v>45724</v>
      </c>
      <c r="F135" t="s">
        <v>33</v>
      </c>
      <c r="G135">
        <v>3</v>
      </c>
      <c r="H135">
        <v>45000</v>
      </c>
      <c r="I135">
        <v>133369</v>
      </c>
      <c r="J135">
        <v>24006</v>
      </c>
    </row>
    <row r="136" spans="1:10" x14ac:dyDescent="0.3">
      <c r="A136" t="s">
        <v>37</v>
      </c>
      <c r="B136" t="s">
        <v>84</v>
      </c>
      <c r="C136" t="s">
        <v>12</v>
      </c>
      <c r="D136" t="s">
        <v>32</v>
      </c>
      <c r="E136" s="36">
        <v>45745</v>
      </c>
      <c r="F136" t="s">
        <v>40</v>
      </c>
      <c r="G136">
        <v>3</v>
      </c>
      <c r="H136">
        <v>15000</v>
      </c>
      <c r="I136">
        <v>49037</v>
      </c>
      <c r="J136">
        <v>4904</v>
      </c>
    </row>
    <row r="137" spans="1:10" x14ac:dyDescent="0.3">
      <c r="A137" t="s">
        <v>37</v>
      </c>
      <c r="B137" t="s">
        <v>16</v>
      </c>
      <c r="C137" t="s">
        <v>12</v>
      </c>
      <c r="D137" t="s">
        <v>34</v>
      </c>
      <c r="E137" s="36">
        <v>45885</v>
      </c>
      <c r="F137" t="s">
        <v>36</v>
      </c>
      <c r="G137">
        <v>2</v>
      </c>
      <c r="H137">
        <v>55000</v>
      </c>
      <c r="I137">
        <v>109207</v>
      </c>
      <c r="J137">
        <v>24026</v>
      </c>
    </row>
    <row r="138" spans="1:10" x14ac:dyDescent="0.3">
      <c r="A138" t="s">
        <v>37</v>
      </c>
      <c r="B138" t="s">
        <v>19</v>
      </c>
      <c r="C138" t="s">
        <v>12</v>
      </c>
      <c r="D138" t="s">
        <v>89</v>
      </c>
      <c r="E138" s="36">
        <v>45678</v>
      </c>
      <c r="F138" t="s">
        <v>33</v>
      </c>
      <c r="G138">
        <v>6</v>
      </c>
      <c r="H138">
        <v>45000</v>
      </c>
      <c r="I138">
        <v>266215</v>
      </c>
      <c r="J138">
        <v>47919</v>
      </c>
    </row>
    <row r="139" spans="1:10" x14ac:dyDescent="0.3">
      <c r="A139" t="s">
        <v>37</v>
      </c>
      <c r="B139" t="s">
        <v>77</v>
      </c>
      <c r="C139" t="s">
        <v>12</v>
      </c>
      <c r="D139" t="s">
        <v>73</v>
      </c>
      <c r="E139" s="36">
        <v>45838</v>
      </c>
      <c r="F139" t="s">
        <v>36</v>
      </c>
      <c r="G139">
        <v>2</v>
      </c>
      <c r="H139">
        <v>55000</v>
      </c>
      <c r="I139">
        <v>99578</v>
      </c>
      <c r="J139">
        <v>21907</v>
      </c>
    </row>
    <row r="140" spans="1:10" x14ac:dyDescent="0.3">
      <c r="A140" t="s">
        <v>37</v>
      </c>
      <c r="B140" t="s">
        <v>88</v>
      </c>
      <c r="C140" t="s">
        <v>12</v>
      </c>
      <c r="D140" t="s">
        <v>235</v>
      </c>
      <c r="E140" s="36">
        <v>45903</v>
      </c>
      <c r="F140" t="s">
        <v>36</v>
      </c>
      <c r="G140">
        <v>7</v>
      </c>
      <c r="H140">
        <v>55000</v>
      </c>
      <c r="I140">
        <v>396461</v>
      </c>
      <c r="J140">
        <v>87221</v>
      </c>
    </row>
    <row r="141" spans="1:10" x14ac:dyDescent="0.3">
      <c r="A141" t="s">
        <v>37</v>
      </c>
      <c r="B141" t="s">
        <v>51</v>
      </c>
      <c r="C141" t="s">
        <v>12</v>
      </c>
      <c r="D141" t="s">
        <v>108</v>
      </c>
      <c r="E141" s="36">
        <v>45758</v>
      </c>
      <c r="F141" t="s">
        <v>36</v>
      </c>
      <c r="G141">
        <v>8</v>
      </c>
      <c r="H141">
        <v>55000</v>
      </c>
      <c r="I141">
        <v>435439</v>
      </c>
      <c r="J141">
        <v>95797</v>
      </c>
    </row>
    <row r="142" spans="1:10" x14ac:dyDescent="0.3">
      <c r="A142" t="s">
        <v>37</v>
      </c>
      <c r="B142" t="s">
        <v>16</v>
      </c>
      <c r="C142" t="s">
        <v>12</v>
      </c>
      <c r="D142" t="s">
        <v>63</v>
      </c>
      <c r="E142" s="36">
        <v>45818</v>
      </c>
      <c r="F142" t="s">
        <v>36</v>
      </c>
      <c r="G142">
        <v>10</v>
      </c>
      <c r="H142">
        <v>55000</v>
      </c>
      <c r="I142">
        <v>566607</v>
      </c>
      <c r="J142">
        <v>124654</v>
      </c>
    </row>
    <row r="143" spans="1:10" x14ac:dyDescent="0.3">
      <c r="A143" t="s">
        <v>37</v>
      </c>
      <c r="B143" t="s">
        <v>51</v>
      </c>
      <c r="C143" t="s">
        <v>12</v>
      </c>
      <c r="D143" t="s">
        <v>179</v>
      </c>
      <c r="E143" s="36">
        <v>45847</v>
      </c>
      <c r="F143" t="s">
        <v>40</v>
      </c>
      <c r="G143">
        <v>6</v>
      </c>
      <c r="H143">
        <v>15000</v>
      </c>
      <c r="I143">
        <v>81876</v>
      </c>
      <c r="J143">
        <v>8188</v>
      </c>
    </row>
    <row r="144" spans="1:10" x14ac:dyDescent="0.3">
      <c r="A144" t="s">
        <v>37</v>
      </c>
      <c r="B144" t="s">
        <v>31</v>
      </c>
      <c r="C144" t="s">
        <v>12</v>
      </c>
      <c r="D144" t="s">
        <v>107</v>
      </c>
      <c r="E144" s="36">
        <v>45833</v>
      </c>
      <c r="F144" t="s">
        <v>40</v>
      </c>
      <c r="G144">
        <v>3</v>
      </c>
      <c r="H144">
        <v>15000</v>
      </c>
      <c r="I144">
        <v>41959</v>
      </c>
      <c r="J144">
        <v>4196</v>
      </c>
    </row>
    <row r="145" spans="1:10" x14ac:dyDescent="0.3">
      <c r="A145" t="s">
        <v>37</v>
      </c>
      <c r="B145" t="s">
        <v>16</v>
      </c>
      <c r="C145" t="s">
        <v>12</v>
      </c>
      <c r="D145" t="s">
        <v>72</v>
      </c>
      <c r="E145" s="36">
        <v>45909</v>
      </c>
      <c r="F145" t="s">
        <v>33</v>
      </c>
      <c r="G145">
        <v>8</v>
      </c>
      <c r="H145">
        <v>45000</v>
      </c>
      <c r="I145">
        <v>339797</v>
      </c>
      <c r="J145">
        <v>61163</v>
      </c>
    </row>
    <row r="146" spans="1:10" x14ac:dyDescent="0.3">
      <c r="A146" t="s">
        <v>37</v>
      </c>
      <c r="B146" t="s">
        <v>51</v>
      </c>
      <c r="C146" t="s">
        <v>12</v>
      </c>
      <c r="D146" t="s">
        <v>50</v>
      </c>
      <c r="E146" s="36">
        <v>45795</v>
      </c>
      <c r="F146" t="s">
        <v>33</v>
      </c>
      <c r="G146">
        <v>5</v>
      </c>
      <c r="H146">
        <v>45000</v>
      </c>
      <c r="I146">
        <v>237380</v>
      </c>
      <c r="J146">
        <v>42728</v>
      </c>
    </row>
    <row r="147" spans="1:10" x14ac:dyDescent="0.3">
      <c r="A147" t="s">
        <v>37</v>
      </c>
      <c r="B147" t="s">
        <v>84</v>
      </c>
      <c r="C147" t="s">
        <v>12</v>
      </c>
      <c r="D147" t="s">
        <v>122</v>
      </c>
      <c r="E147" s="36">
        <v>45798</v>
      </c>
      <c r="F147" t="s">
        <v>33</v>
      </c>
      <c r="G147">
        <v>2</v>
      </c>
      <c r="H147">
        <v>45000</v>
      </c>
      <c r="I147">
        <v>94430</v>
      </c>
      <c r="J147">
        <v>16997</v>
      </c>
    </row>
    <row r="148" spans="1:10" x14ac:dyDescent="0.3">
      <c r="A148" t="s">
        <v>37</v>
      </c>
      <c r="B148" t="s">
        <v>88</v>
      </c>
      <c r="C148" t="s">
        <v>12</v>
      </c>
      <c r="D148" t="s">
        <v>89</v>
      </c>
      <c r="E148" s="36">
        <v>45915</v>
      </c>
      <c r="F148" t="s">
        <v>40</v>
      </c>
      <c r="G148">
        <v>9</v>
      </c>
      <c r="H148">
        <v>15000</v>
      </c>
      <c r="I148">
        <v>140450</v>
      </c>
      <c r="J148">
        <v>14045</v>
      </c>
    </row>
    <row r="149" spans="1:10" x14ac:dyDescent="0.3">
      <c r="A149" t="s">
        <v>37</v>
      </c>
      <c r="B149" t="s">
        <v>84</v>
      </c>
      <c r="C149" t="s">
        <v>12</v>
      </c>
      <c r="D149" t="s">
        <v>167</v>
      </c>
      <c r="E149" s="36">
        <v>45932</v>
      </c>
      <c r="F149" t="s">
        <v>33</v>
      </c>
      <c r="G149">
        <v>6</v>
      </c>
      <c r="H149">
        <v>45000</v>
      </c>
      <c r="I149">
        <v>262848</v>
      </c>
      <c r="J149">
        <v>47313</v>
      </c>
    </row>
    <row r="150" spans="1:10" x14ac:dyDescent="0.3">
      <c r="A150" t="s">
        <v>37</v>
      </c>
      <c r="B150" t="s">
        <v>19</v>
      </c>
      <c r="C150" t="s">
        <v>12</v>
      </c>
      <c r="D150" t="s">
        <v>96</v>
      </c>
      <c r="E150" s="36">
        <v>45928</v>
      </c>
      <c r="F150" t="s">
        <v>14</v>
      </c>
      <c r="G150">
        <v>2</v>
      </c>
      <c r="H150">
        <v>18500</v>
      </c>
      <c r="I150">
        <v>35991</v>
      </c>
      <c r="J150">
        <v>4319</v>
      </c>
    </row>
    <row r="151" spans="1:10" x14ac:dyDescent="0.3">
      <c r="A151" t="s">
        <v>37</v>
      </c>
      <c r="B151" t="s">
        <v>77</v>
      </c>
      <c r="C151" t="s">
        <v>12</v>
      </c>
      <c r="D151" t="s">
        <v>201</v>
      </c>
      <c r="E151" s="36">
        <v>45980</v>
      </c>
      <c r="F151" t="s">
        <v>33</v>
      </c>
      <c r="G151">
        <v>3</v>
      </c>
      <c r="H151">
        <v>45000</v>
      </c>
      <c r="I151">
        <v>135105</v>
      </c>
      <c r="J151">
        <v>24319</v>
      </c>
    </row>
    <row r="152" spans="1:10" x14ac:dyDescent="0.3">
      <c r="A152" t="s">
        <v>37</v>
      </c>
      <c r="B152" t="s">
        <v>11</v>
      </c>
      <c r="C152" t="s">
        <v>12</v>
      </c>
      <c r="D152" t="s">
        <v>63</v>
      </c>
      <c r="E152" s="36">
        <v>45711</v>
      </c>
      <c r="F152" t="s">
        <v>40</v>
      </c>
      <c r="G152">
        <v>1</v>
      </c>
      <c r="H152">
        <v>15000</v>
      </c>
      <c r="I152">
        <v>15176</v>
      </c>
      <c r="J152">
        <v>1518</v>
      </c>
    </row>
    <row r="153" spans="1:10" x14ac:dyDescent="0.3">
      <c r="A153" t="s">
        <v>37</v>
      </c>
      <c r="B153" t="s">
        <v>16</v>
      </c>
      <c r="C153" t="s">
        <v>12</v>
      </c>
      <c r="D153" t="s">
        <v>123</v>
      </c>
      <c r="E153" s="36">
        <v>45862</v>
      </c>
      <c r="F153" t="s">
        <v>40</v>
      </c>
      <c r="G153">
        <v>3</v>
      </c>
      <c r="H153">
        <v>15000</v>
      </c>
      <c r="I153">
        <v>43394</v>
      </c>
      <c r="J153">
        <v>4339</v>
      </c>
    </row>
    <row r="154" spans="1:10" x14ac:dyDescent="0.3">
      <c r="A154" t="s">
        <v>37</v>
      </c>
      <c r="B154" t="s">
        <v>19</v>
      </c>
      <c r="C154" t="s">
        <v>12</v>
      </c>
      <c r="D154" t="s">
        <v>67</v>
      </c>
      <c r="E154" s="36">
        <v>45752</v>
      </c>
      <c r="F154" t="s">
        <v>33</v>
      </c>
      <c r="G154">
        <v>10</v>
      </c>
      <c r="H154">
        <v>45000</v>
      </c>
      <c r="I154">
        <v>425177</v>
      </c>
      <c r="J154">
        <v>76532</v>
      </c>
    </row>
    <row r="155" spans="1:10" x14ac:dyDescent="0.3">
      <c r="A155" t="s">
        <v>37</v>
      </c>
      <c r="B155" t="s">
        <v>84</v>
      </c>
      <c r="C155" t="s">
        <v>12</v>
      </c>
      <c r="D155" t="s">
        <v>90</v>
      </c>
      <c r="E155" s="36">
        <v>45695</v>
      </c>
      <c r="F155" t="s">
        <v>40</v>
      </c>
      <c r="G155">
        <v>7</v>
      </c>
      <c r="H155">
        <v>15000</v>
      </c>
      <c r="I155">
        <v>110971</v>
      </c>
      <c r="J155">
        <v>11097</v>
      </c>
    </row>
    <row r="156" spans="1:10" x14ac:dyDescent="0.3">
      <c r="A156" t="s">
        <v>37</v>
      </c>
      <c r="B156" t="s">
        <v>31</v>
      </c>
      <c r="C156" t="s">
        <v>12</v>
      </c>
      <c r="D156" t="s">
        <v>89</v>
      </c>
      <c r="E156" s="36">
        <v>45659</v>
      </c>
      <c r="F156" t="s">
        <v>14</v>
      </c>
      <c r="G156">
        <v>1</v>
      </c>
      <c r="H156">
        <v>18500</v>
      </c>
      <c r="I156">
        <v>17818</v>
      </c>
      <c r="J156">
        <v>2138</v>
      </c>
    </row>
    <row r="157" spans="1:10" x14ac:dyDescent="0.3">
      <c r="A157" t="s">
        <v>37</v>
      </c>
      <c r="B157" t="s">
        <v>16</v>
      </c>
      <c r="C157" t="s">
        <v>12</v>
      </c>
      <c r="D157" t="s">
        <v>111</v>
      </c>
      <c r="E157" s="36">
        <v>45892</v>
      </c>
      <c r="F157" t="s">
        <v>33</v>
      </c>
      <c r="G157">
        <v>1</v>
      </c>
      <c r="H157">
        <v>45000</v>
      </c>
      <c r="I157">
        <v>48143</v>
      </c>
      <c r="J157">
        <v>8666</v>
      </c>
    </row>
    <row r="158" spans="1:10" x14ac:dyDescent="0.3">
      <c r="A158" t="s">
        <v>37</v>
      </c>
      <c r="B158" t="s">
        <v>16</v>
      </c>
      <c r="C158" t="s">
        <v>12</v>
      </c>
      <c r="D158" t="s">
        <v>188</v>
      </c>
      <c r="E158" s="36">
        <v>45852</v>
      </c>
      <c r="F158" t="s">
        <v>14</v>
      </c>
      <c r="G158">
        <v>6</v>
      </c>
      <c r="H158">
        <v>18500</v>
      </c>
      <c r="I158">
        <v>109039</v>
      </c>
      <c r="J158">
        <v>13085</v>
      </c>
    </row>
    <row r="159" spans="1:10" x14ac:dyDescent="0.3">
      <c r="A159" t="s">
        <v>37</v>
      </c>
      <c r="B159" t="s">
        <v>88</v>
      </c>
      <c r="C159" t="s">
        <v>12</v>
      </c>
      <c r="D159" t="s">
        <v>80</v>
      </c>
      <c r="E159" s="36">
        <v>45682</v>
      </c>
      <c r="F159" t="s">
        <v>33</v>
      </c>
      <c r="G159">
        <v>9</v>
      </c>
      <c r="H159">
        <v>45000</v>
      </c>
      <c r="I159">
        <v>396275</v>
      </c>
      <c r="J159">
        <v>71330</v>
      </c>
    </row>
    <row r="160" spans="1:10" x14ac:dyDescent="0.3">
      <c r="A160" t="s">
        <v>37</v>
      </c>
      <c r="B160" t="s">
        <v>11</v>
      </c>
      <c r="C160" t="s">
        <v>12</v>
      </c>
      <c r="D160" t="s">
        <v>125</v>
      </c>
      <c r="E160" s="36">
        <v>45857</v>
      </c>
      <c r="F160" t="s">
        <v>33</v>
      </c>
      <c r="G160">
        <v>10</v>
      </c>
      <c r="H160">
        <v>45000</v>
      </c>
      <c r="I160">
        <v>440049</v>
      </c>
      <c r="J160">
        <v>79209</v>
      </c>
    </row>
    <row r="161" spans="1:10" x14ac:dyDescent="0.3">
      <c r="A161" t="s">
        <v>37</v>
      </c>
      <c r="B161" t="s">
        <v>88</v>
      </c>
      <c r="C161" t="s">
        <v>12</v>
      </c>
      <c r="D161" t="s">
        <v>123</v>
      </c>
      <c r="E161" s="36">
        <v>45803</v>
      </c>
      <c r="F161" t="s">
        <v>36</v>
      </c>
      <c r="G161">
        <v>8</v>
      </c>
      <c r="H161">
        <v>55000</v>
      </c>
      <c r="I161">
        <v>427810</v>
      </c>
      <c r="J161">
        <v>94118</v>
      </c>
    </row>
    <row r="162" spans="1:10" x14ac:dyDescent="0.3">
      <c r="A162" t="s">
        <v>37</v>
      </c>
      <c r="B162" t="s">
        <v>16</v>
      </c>
      <c r="C162" t="s">
        <v>12</v>
      </c>
      <c r="D162" t="s">
        <v>257</v>
      </c>
      <c r="E162" s="36">
        <v>45696</v>
      </c>
      <c r="F162" t="s">
        <v>40</v>
      </c>
      <c r="G162">
        <v>2</v>
      </c>
      <c r="H162">
        <v>15000</v>
      </c>
      <c r="I162">
        <v>29861</v>
      </c>
      <c r="J162">
        <v>2986</v>
      </c>
    </row>
    <row r="163" spans="1:10" x14ac:dyDescent="0.3">
      <c r="A163" t="s">
        <v>37</v>
      </c>
      <c r="B163" t="s">
        <v>19</v>
      </c>
      <c r="C163" t="s">
        <v>12</v>
      </c>
      <c r="D163" t="s">
        <v>93</v>
      </c>
      <c r="E163" s="36">
        <v>45670</v>
      </c>
      <c r="F163" t="s">
        <v>14</v>
      </c>
      <c r="G163">
        <v>7</v>
      </c>
      <c r="H163">
        <v>18500</v>
      </c>
      <c r="I163">
        <v>117528</v>
      </c>
      <c r="J163">
        <v>14103</v>
      </c>
    </row>
    <row r="164" spans="1:10" x14ac:dyDescent="0.3">
      <c r="A164" t="s">
        <v>37</v>
      </c>
      <c r="B164" t="s">
        <v>19</v>
      </c>
      <c r="C164" t="s">
        <v>12</v>
      </c>
      <c r="D164" t="s">
        <v>118</v>
      </c>
      <c r="E164" s="36">
        <v>46021</v>
      </c>
      <c r="F164" t="s">
        <v>40</v>
      </c>
      <c r="G164">
        <v>9</v>
      </c>
      <c r="H164">
        <v>15000</v>
      </c>
      <c r="I164">
        <v>148474</v>
      </c>
      <c r="J164">
        <v>14847</v>
      </c>
    </row>
    <row r="165" spans="1:10" x14ac:dyDescent="0.3">
      <c r="A165" t="s">
        <v>37</v>
      </c>
      <c r="B165" t="s">
        <v>77</v>
      </c>
      <c r="C165" t="s">
        <v>12</v>
      </c>
      <c r="D165" t="s">
        <v>134</v>
      </c>
      <c r="E165" s="36">
        <v>45987</v>
      </c>
      <c r="F165" t="s">
        <v>36</v>
      </c>
      <c r="G165">
        <v>10</v>
      </c>
      <c r="H165">
        <v>55000</v>
      </c>
      <c r="I165">
        <v>565729</v>
      </c>
      <c r="J165">
        <v>124460</v>
      </c>
    </row>
    <row r="166" spans="1:10" x14ac:dyDescent="0.3">
      <c r="A166" t="s">
        <v>37</v>
      </c>
      <c r="B166" t="s">
        <v>31</v>
      </c>
      <c r="C166" t="s">
        <v>12</v>
      </c>
      <c r="D166" t="s">
        <v>157</v>
      </c>
      <c r="E166" s="36">
        <v>45776</v>
      </c>
      <c r="F166" t="s">
        <v>36</v>
      </c>
      <c r="G166">
        <v>4</v>
      </c>
      <c r="H166">
        <v>55000</v>
      </c>
      <c r="I166">
        <v>238868</v>
      </c>
      <c r="J166">
        <v>52551</v>
      </c>
    </row>
    <row r="167" spans="1:10" x14ac:dyDescent="0.3">
      <c r="A167" t="s">
        <v>37</v>
      </c>
      <c r="B167" t="s">
        <v>84</v>
      </c>
      <c r="C167" t="s">
        <v>12</v>
      </c>
      <c r="D167" t="s">
        <v>138</v>
      </c>
      <c r="E167" s="36">
        <v>46003</v>
      </c>
      <c r="F167" t="s">
        <v>36</v>
      </c>
      <c r="G167">
        <v>7</v>
      </c>
      <c r="H167">
        <v>55000</v>
      </c>
      <c r="I167">
        <v>361859</v>
      </c>
      <c r="J167">
        <v>79609</v>
      </c>
    </row>
    <row r="168" spans="1:10" x14ac:dyDescent="0.3">
      <c r="A168" t="s">
        <v>37</v>
      </c>
      <c r="B168" t="s">
        <v>77</v>
      </c>
      <c r="C168" t="s">
        <v>12</v>
      </c>
      <c r="D168" t="s">
        <v>44</v>
      </c>
      <c r="E168" s="36">
        <v>46004</v>
      </c>
      <c r="F168" t="s">
        <v>14</v>
      </c>
      <c r="G168">
        <v>4</v>
      </c>
      <c r="H168">
        <v>18500</v>
      </c>
      <c r="I168">
        <v>67077</v>
      </c>
      <c r="J168">
        <v>8049</v>
      </c>
    </row>
    <row r="169" spans="1:10" x14ac:dyDescent="0.3">
      <c r="A169" t="s">
        <v>37</v>
      </c>
      <c r="B169" t="s">
        <v>51</v>
      </c>
      <c r="C169" t="s">
        <v>12</v>
      </c>
      <c r="D169" t="s">
        <v>122</v>
      </c>
      <c r="E169" s="36">
        <v>45895</v>
      </c>
      <c r="F169" t="s">
        <v>33</v>
      </c>
      <c r="G169">
        <v>1</v>
      </c>
      <c r="H169">
        <v>45000</v>
      </c>
      <c r="I169">
        <v>49306</v>
      </c>
      <c r="J169">
        <v>8875</v>
      </c>
    </row>
    <row r="170" spans="1:10" x14ac:dyDescent="0.3">
      <c r="A170" t="s">
        <v>37</v>
      </c>
      <c r="B170" t="s">
        <v>19</v>
      </c>
      <c r="C170" t="s">
        <v>12</v>
      </c>
      <c r="D170" t="s">
        <v>147</v>
      </c>
      <c r="E170" s="36">
        <v>45692</v>
      </c>
      <c r="F170" t="s">
        <v>14</v>
      </c>
      <c r="G170">
        <v>7</v>
      </c>
      <c r="H170">
        <v>18500</v>
      </c>
      <c r="I170">
        <v>121327</v>
      </c>
      <c r="J170">
        <v>14559</v>
      </c>
    </row>
    <row r="171" spans="1:10" x14ac:dyDescent="0.3">
      <c r="A171" t="s">
        <v>37</v>
      </c>
      <c r="B171" t="s">
        <v>84</v>
      </c>
      <c r="C171" t="s">
        <v>12</v>
      </c>
      <c r="D171" t="s">
        <v>120</v>
      </c>
      <c r="E171" s="36">
        <v>45919</v>
      </c>
      <c r="F171" t="s">
        <v>14</v>
      </c>
      <c r="G171">
        <v>1</v>
      </c>
      <c r="H171">
        <v>18500</v>
      </c>
      <c r="I171">
        <v>17858</v>
      </c>
      <c r="J171">
        <v>2143</v>
      </c>
    </row>
    <row r="172" spans="1:10" x14ac:dyDescent="0.3">
      <c r="A172" t="s">
        <v>37</v>
      </c>
      <c r="B172" t="s">
        <v>77</v>
      </c>
      <c r="C172" t="s">
        <v>12</v>
      </c>
      <c r="D172" t="s">
        <v>59</v>
      </c>
      <c r="E172" s="36">
        <v>45940</v>
      </c>
      <c r="F172" t="s">
        <v>14</v>
      </c>
      <c r="G172">
        <v>5</v>
      </c>
      <c r="H172">
        <v>18500</v>
      </c>
      <c r="I172">
        <v>94417</v>
      </c>
      <c r="J172">
        <v>11330</v>
      </c>
    </row>
    <row r="173" spans="1:10" x14ac:dyDescent="0.3">
      <c r="A173" t="s">
        <v>37</v>
      </c>
      <c r="B173" t="s">
        <v>31</v>
      </c>
      <c r="C173" t="s">
        <v>12</v>
      </c>
      <c r="D173" t="s">
        <v>219</v>
      </c>
      <c r="E173" s="36">
        <v>45904</v>
      </c>
      <c r="F173" t="s">
        <v>14</v>
      </c>
      <c r="G173">
        <v>5</v>
      </c>
      <c r="H173">
        <v>18500</v>
      </c>
      <c r="I173">
        <v>87069</v>
      </c>
      <c r="J173">
        <v>10448</v>
      </c>
    </row>
    <row r="174" spans="1:10" x14ac:dyDescent="0.3">
      <c r="A174" t="s">
        <v>37</v>
      </c>
      <c r="B174" t="s">
        <v>88</v>
      </c>
      <c r="C174" t="s">
        <v>12</v>
      </c>
      <c r="D174" t="s">
        <v>212</v>
      </c>
      <c r="E174" s="36">
        <v>45817</v>
      </c>
      <c r="F174" t="s">
        <v>40</v>
      </c>
      <c r="G174">
        <v>5</v>
      </c>
      <c r="H174">
        <v>15000</v>
      </c>
      <c r="I174">
        <v>78845</v>
      </c>
      <c r="J174">
        <v>7884</v>
      </c>
    </row>
    <row r="175" spans="1:10" x14ac:dyDescent="0.3">
      <c r="A175" t="s">
        <v>37</v>
      </c>
      <c r="B175" t="s">
        <v>31</v>
      </c>
      <c r="C175" t="s">
        <v>12</v>
      </c>
      <c r="D175" t="s">
        <v>119</v>
      </c>
      <c r="E175" s="36">
        <v>45913</v>
      </c>
      <c r="F175" t="s">
        <v>40</v>
      </c>
      <c r="G175">
        <v>1</v>
      </c>
      <c r="H175">
        <v>15000</v>
      </c>
      <c r="I175">
        <v>15053</v>
      </c>
      <c r="J175">
        <v>1505</v>
      </c>
    </row>
    <row r="176" spans="1:10" x14ac:dyDescent="0.3">
      <c r="A176" t="s">
        <v>37</v>
      </c>
      <c r="B176" t="s">
        <v>88</v>
      </c>
      <c r="C176" t="s">
        <v>12</v>
      </c>
      <c r="D176" t="s">
        <v>243</v>
      </c>
      <c r="E176" s="36">
        <v>45831</v>
      </c>
      <c r="F176" t="s">
        <v>36</v>
      </c>
      <c r="G176">
        <v>3</v>
      </c>
      <c r="H176">
        <v>55000</v>
      </c>
      <c r="I176">
        <v>152832</v>
      </c>
      <c r="J176">
        <v>33623</v>
      </c>
    </row>
    <row r="177" spans="1:10" x14ac:dyDescent="0.3">
      <c r="A177" t="s">
        <v>37</v>
      </c>
      <c r="B177" t="s">
        <v>88</v>
      </c>
      <c r="C177" t="s">
        <v>12</v>
      </c>
      <c r="D177" t="s">
        <v>186</v>
      </c>
      <c r="E177" s="36">
        <v>45892</v>
      </c>
      <c r="F177" t="s">
        <v>36</v>
      </c>
      <c r="G177">
        <v>3</v>
      </c>
      <c r="H177">
        <v>55000</v>
      </c>
      <c r="I177">
        <v>176715</v>
      </c>
      <c r="J177">
        <v>38877</v>
      </c>
    </row>
    <row r="178" spans="1:10" x14ac:dyDescent="0.3">
      <c r="A178" t="s">
        <v>37</v>
      </c>
      <c r="B178" t="s">
        <v>84</v>
      </c>
      <c r="C178" t="s">
        <v>12</v>
      </c>
      <c r="D178" t="s">
        <v>248</v>
      </c>
      <c r="E178" s="36">
        <v>45853</v>
      </c>
      <c r="F178" t="s">
        <v>36</v>
      </c>
      <c r="G178">
        <v>7</v>
      </c>
      <c r="H178">
        <v>55000</v>
      </c>
      <c r="I178">
        <v>347086</v>
      </c>
      <c r="J178">
        <v>76359</v>
      </c>
    </row>
    <row r="179" spans="1:10" x14ac:dyDescent="0.3">
      <c r="A179" t="s">
        <v>37</v>
      </c>
      <c r="B179" t="s">
        <v>84</v>
      </c>
      <c r="C179" t="s">
        <v>12</v>
      </c>
      <c r="D179" t="s">
        <v>24</v>
      </c>
      <c r="E179" s="36">
        <v>45768</v>
      </c>
      <c r="F179" t="s">
        <v>14</v>
      </c>
      <c r="G179">
        <v>10</v>
      </c>
      <c r="H179">
        <v>18500</v>
      </c>
      <c r="I179">
        <v>201200</v>
      </c>
      <c r="J179">
        <v>24144</v>
      </c>
    </row>
    <row r="180" spans="1:10" x14ac:dyDescent="0.3">
      <c r="A180" t="s">
        <v>37</v>
      </c>
      <c r="B180" t="s">
        <v>31</v>
      </c>
      <c r="C180" t="s">
        <v>12</v>
      </c>
      <c r="D180" t="s">
        <v>70</v>
      </c>
      <c r="E180" s="36">
        <v>45979</v>
      </c>
      <c r="F180" t="s">
        <v>36</v>
      </c>
      <c r="G180">
        <v>7</v>
      </c>
      <c r="H180">
        <v>55000</v>
      </c>
      <c r="I180">
        <v>412489</v>
      </c>
      <c r="J180">
        <v>90748</v>
      </c>
    </row>
    <row r="181" spans="1:10" x14ac:dyDescent="0.3">
      <c r="A181" t="s">
        <v>37</v>
      </c>
      <c r="B181" t="s">
        <v>16</v>
      </c>
      <c r="C181" t="s">
        <v>12</v>
      </c>
      <c r="D181" t="s">
        <v>120</v>
      </c>
      <c r="E181" s="36">
        <v>45710</v>
      </c>
      <c r="F181" t="s">
        <v>40</v>
      </c>
      <c r="G181">
        <v>4</v>
      </c>
      <c r="H181">
        <v>15000</v>
      </c>
      <c r="I181">
        <v>60213</v>
      </c>
      <c r="J181">
        <v>6021</v>
      </c>
    </row>
    <row r="182" spans="1:10" x14ac:dyDescent="0.3">
      <c r="A182" t="s">
        <v>37</v>
      </c>
      <c r="B182" t="s">
        <v>19</v>
      </c>
      <c r="C182" t="s">
        <v>12</v>
      </c>
      <c r="D182" t="s">
        <v>234</v>
      </c>
      <c r="E182" s="36">
        <v>45678</v>
      </c>
      <c r="F182" t="s">
        <v>33</v>
      </c>
      <c r="G182">
        <v>10</v>
      </c>
      <c r="H182">
        <v>45000</v>
      </c>
      <c r="I182">
        <v>439234</v>
      </c>
      <c r="J182">
        <v>79062</v>
      </c>
    </row>
    <row r="183" spans="1:10" x14ac:dyDescent="0.3">
      <c r="A183" t="s">
        <v>37</v>
      </c>
      <c r="B183" t="s">
        <v>31</v>
      </c>
      <c r="C183" t="s">
        <v>12</v>
      </c>
      <c r="D183" t="s">
        <v>204</v>
      </c>
      <c r="E183" s="36">
        <v>45859</v>
      </c>
      <c r="F183" t="s">
        <v>14</v>
      </c>
      <c r="G183">
        <v>3</v>
      </c>
      <c r="H183">
        <v>18500</v>
      </c>
      <c r="I183">
        <v>50348</v>
      </c>
      <c r="J183">
        <v>6042</v>
      </c>
    </row>
    <row r="184" spans="1:10" x14ac:dyDescent="0.3">
      <c r="A184" t="s">
        <v>37</v>
      </c>
      <c r="B184" t="s">
        <v>51</v>
      </c>
      <c r="C184" t="s">
        <v>12</v>
      </c>
      <c r="D184" t="s">
        <v>104</v>
      </c>
      <c r="E184" s="36">
        <v>45758</v>
      </c>
      <c r="F184" t="s">
        <v>14</v>
      </c>
      <c r="G184">
        <v>3</v>
      </c>
      <c r="H184">
        <v>18500</v>
      </c>
      <c r="I184">
        <v>60965</v>
      </c>
      <c r="J184">
        <v>7316</v>
      </c>
    </row>
    <row r="185" spans="1:10" x14ac:dyDescent="0.3">
      <c r="A185" t="s">
        <v>37</v>
      </c>
      <c r="B185" t="s">
        <v>84</v>
      </c>
      <c r="C185" t="s">
        <v>12</v>
      </c>
      <c r="D185" t="s">
        <v>225</v>
      </c>
      <c r="E185" s="36">
        <v>45824</v>
      </c>
      <c r="F185" t="s">
        <v>36</v>
      </c>
      <c r="G185">
        <v>2</v>
      </c>
      <c r="H185">
        <v>55000</v>
      </c>
      <c r="I185">
        <v>113250</v>
      </c>
      <c r="J185">
        <v>24915</v>
      </c>
    </row>
    <row r="186" spans="1:10" x14ac:dyDescent="0.3">
      <c r="A186" t="s">
        <v>37</v>
      </c>
      <c r="B186" t="s">
        <v>84</v>
      </c>
      <c r="C186" t="s">
        <v>12</v>
      </c>
      <c r="D186" t="s">
        <v>141</v>
      </c>
      <c r="E186" s="36">
        <v>45713</v>
      </c>
      <c r="F186" t="s">
        <v>36</v>
      </c>
      <c r="G186">
        <v>3</v>
      </c>
      <c r="H186">
        <v>55000</v>
      </c>
      <c r="I186">
        <v>164732</v>
      </c>
      <c r="J186">
        <v>36241</v>
      </c>
    </row>
    <row r="187" spans="1:10" x14ac:dyDescent="0.3">
      <c r="A187" t="s">
        <v>37</v>
      </c>
      <c r="B187" t="s">
        <v>51</v>
      </c>
      <c r="C187" t="s">
        <v>12</v>
      </c>
      <c r="D187" t="s">
        <v>13</v>
      </c>
      <c r="E187" s="36">
        <v>45899</v>
      </c>
      <c r="F187" t="s">
        <v>36</v>
      </c>
      <c r="G187">
        <v>3</v>
      </c>
      <c r="H187">
        <v>55000</v>
      </c>
      <c r="I187">
        <v>154321</v>
      </c>
      <c r="J187">
        <v>33951</v>
      </c>
    </row>
    <row r="188" spans="1:10" x14ac:dyDescent="0.3">
      <c r="A188" t="s">
        <v>37</v>
      </c>
      <c r="B188" t="s">
        <v>16</v>
      </c>
      <c r="C188" t="s">
        <v>12</v>
      </c>
      <c r="D188" t="s">
        <v>194</v>
      </c>
      <c r="E188" s="36">
        <v>45751</v>
      </c>
      <c r="F188" t="s">
        <v>33</v>
      </c>
      <c r="G188">
        <v>2</v>
      </c>
      <c r="H188">
        <v>45000</v>
      </c>
      <c r="I188">
        <v>82091</v>
      </c>
      <c r="J188">
        <v>14776</v>
      </c>
    </row>
    <row r="189" spans="1:10" x14ac:dyDescent="0.3">
      <c r="A189" t="s">
        <v>37</v>
      </c>
      <c r="B189" t="s">
        <v>77</v>
      </c>
      <c r="C189" t="s">
        <v>12</v>
      </c>
      <c r="D189" t="s">
        <v>240</v>
      </c>
      <c r="E189" s="36">
        <v>45769</v>
      </c>
      <c r="F189" t="s">
        <v>40</v>
      </c>
      <c r="G189">
        <v>3</v>
      </c>
      <c r="H189">
        <v>15000</v>
      </c>
      <c r="I189">
        <v>44196</v>
      </c>
      <c r="J189">
        <v>4420</v>
      </c>
    </row>
    <row r="190" spans="1:10" x14ac:dyDescent="0.3">
      <c r="A190" t="s">
        <v>37</v>
      </c>
      <c r="B190" t="s">
        <v>77</v>
      </c>
      <c r="C190" t="s">
        <v>12</v>
      </c>
      <c r="D190" t="s">
        <v>173</v>
      </c>
      <c r="E190" s="36">
        <v>45885</v>
      </c>
      <c r="F190" t="s">
        <v>40</v>
      </c>
      <c r="G190">
        <v>2</v>
      </c>
      <c r="H190">
        <v>15000</v>
      </c>
      <c r="I190">
        <v>27229</v>
      </c>
      <c r="J190">
        <v>2723</v>
      </c>
    </row>
    <row r="191" spans="1:10" x14ac:dyDescent="0.3">
      <c r="A191" t="s">
        <v>37</v>
      </c>
      <c r="B191" t="s">
        <v>19</v>
      </c>
      <c r="C191" t="s">
        <v>12</v>
      </c>
      <c r="D191" t="s">
        <v>127</v>
      </c>
      <c r="E191" s="36">
        <v>45753</v>
      </c>
      <c r="F191" t="s">
        <v>36</v>
      </c>
      <c r="G191">
        <v>6</v>
      </c>
      <c r="H191">
        <v>55000</v>
      </c>
      <c r="I191">
        <v>317576</v>
      </c>
      <c r="J191">
        <v>69867</v>
      </c>
    </row>
    <row r="192" spans="1:10" x14ac:dyDescent="0.3">
      <c r="A192" t="s">
        <v>37</v>
      </c>
      <c r="B192" t="s">
        <v>88</v>
      </c>
      <c r="C192" t="s">
        <v>12</v>
      </c>
      <c r="D192" t="s">
        <v>75</v>
      </c>
      <c r="E192" s="36">
        <v>45937</v>
      </c>
      <c r="F192" t="s">
        <v>33</v>
      </c>
      <c r="G192">
        <v>8</v>
      </c>
      <c r="H192">
        <v>45000</v>
      </c>
      <c r="I192">
        <v>387999</v>
      </c>
      <c r="J192">
        <v>69840</v>
      </c>
    </row>
    <row r="193" spans="1:10" x14ac:dyDescent="0.3">
      <c r="A193" t="s">
        <v>37</v>
      </c>
      <c r="B193" t="s">
        <v>19</v>
      </c>
      <c r="C193" t="s">
        <v>12</v>
      </c>
      <c r="D193" t="s">
        <v>135</v>
      </c>
      <c r="E193" s="36">
        <v>45915</v>
      </c>
      <c r="F193" t="s">
        <v>33</v>
      </c>
      <c r="G193">
        <v>3</v>
      </c>
      <c r="H193">
        <v>45000</v>
      </c>
      <c r="I193">
        <v>123733</v>
      </c>
      <c r="J193">
        <v>22272</v>
      </c>
    </row>
    <row r="194" spans="1:10" x14ac:dyDescent="0.3">
      <c r="A194" t="s">
        <v>37</v>
      </c>
      <c r="B194" t="s">
        <v>16</v>
      </c>
      <c r="C194" t="s">
        <v>12</v>
      </c>
      <c r="D194" t="s">
        <v>187</v>
      </c>
      <c r="E194" s="36">
        <v>45931</v>
      </c>
      <c r="F194" t="s">
        <v>33</v>
      </c>
      <c r="G194">
        <v>5</v>
      </c>
      <c r="H194">
        <v>45000</v>
      </c>
      <c r="I194">
        <v>219260</v>
      </c>
      <c r="J194">
        <v>39467</v>
      </c>
    </row>
    <row r="195" spans="1:10" x14ac:dyDescent="0.3">
      <c r="A195" t="s">
        <v>37</v>
      </c>
      <c r="B195" t="s">
        <v>11</v>
      </c>
      <c r="C195" t="s">
        <v>12</v>
      </c>
      <c r="D195" t="s">
        <v>80</v>
      </c>
      <c r="E195" s="36">
        <v>45850</v>
      </c>
      <c r="F195" t="s">
        <v>33</v>
      </c>
      <c r="G195">
        <v>3</v>
      </c>
      <c r="H195">
        <v>45000</v>
      </c>
      <c r="I195">
        <v>121747</v>
      </c>
      <c r="J195">
        <v>21914</v>
      </c>
    </row>
    <row r="196" spans="1:10" x14ac:dyDescent="0.3">
      <c r="A196" t="s">
        <v>37</v>
      </c>
      <c r="B196" t="s">
        <v>88</v>
      </c>
      <c r="C196" t="s">
        <v>12</v>
      </c>
      <c r="D196" t="s">
        <v>42</v>
      </c>
      <c r="E196" s="36">
        <v>45888</v>
      </c>
      <c r="F196" t="s">
        <v>33</v>
      </c>
      <c r="G196">
        <v>4</v>
      </c>
      <c r="H196">
        <v>45000</v>
      </c>
      <c r="I196">
        <v>173360</v>
      </c>
      <c r="J196">
        <v>31205</v>
      </c>
    </row>
    <row r="197" spans="1:10" x14ac:dyDescent="0.3">
      <c r="A197" t="s">
        <v>37</v>
      </c>
      <c r="B197" t="s">
        <v>31</v>
      </c>
      <c r="C197" t="s">
        <v>12</v>
      </c>
      <c r="D197" t="s">
        <v>244</v>
      </c>
      <c r="E197" s="36">
        <v>45677</v>
      </c>
      <c r="F197" t="s">
        <v>14</v>
      </c>
      <c r="G197">
        <v>2</v>
      </c>
      <c r="H197">
        <v>18500</v>
      </c>
      <c r="I197">
        <v>36774</v>
      </c>
      <c r="J197">
        <v>4413</v>
      </c>
    </row>
    <row r="198" spans="1:10" x14ac:dyDescent="0.3">
      <c r="A198" t="s">
        <v>37</v>
      </c>
      <c r="B198" t="s">
        <v>88</v>
      </c>
      <c r="C198" t="s">
        <v>12</v>
      </c>
      <c r="D198" t="s">
        <v>62</v>
      </c>
      <c r="E198" s="36">
        <v>45709</v>
      </c>
      <c r="F198" t="s">
        <v>33</v>
      </c>
      <c r="G198">
        <v>9</v>
      </c>
      <c r="H198">
        <v>45000</v>
      </c>
      <c r="I198">
        <v>368719</v>
      </c>
      <c r="J198">
        <v>66369</v>
      </c>
    </row>
    <row r="199" spans="1:10" x14ac:dyDescent="0.3">
      <c r="A199" t="s">
        <v>37</v>
      </c>
      <c r="B199" t="s">
        <v>51</v>
      </c>
      <c r="C199" t="s">
        <v>12</v>
      </c>
      <c r="D199" t="s">
        <v>133</v>
      </c>
      <c r="E199" s="36">
        <v>45945</v>
      </c>
      <c r="F199" t="s">
        <v>14</v>
      </c>
      <c r="G199">
        <v>1</v>
      </c>
      <c r="H199">
        <v>18500</v>
      </c>
      <c r="I199">
        <v>20205</v>
      </c>
      <c r="J199">
        <v>2425</v>
      </c>
    </row>
    <row r="200" spans="1:10" x14ac:dyDescent="0.3">
      <c r="A200" t="s">
        <v>37</v>
      </c>
      <c r="B200" t="s">
        <v>19</v>
      </c>
      <c r="C200" t="s">
        <v>12</v>
      </c>
      <c r="D200" t="s">
        <v>53</v>
      </c>
      <c r="E200" s="36">
        <v>45752</v>
      </c>
      <c r="F200" t="s">
        <v>33</v>
      </c>
      <c r="G200">
        <v>2</v>
      </c>
      <c r="H200">
        <v>45000</v>
      </c>
      <c r="I200">
        <v>97519</v>
      </c>
      <c r="J200">
        <v>17553</v>
      </c>
    </row>
    <row r="201" spans="1:10" x14ac:dyDescent="0.3">
      <c r="A201" t="s">
        <v>37</v>
      </c>
      <c r="B201" t="s">
        <v>77</v>
      </c>
      <c r="C201" t="s">
        <v>12</v>
      </c>
      <c r="D201" t="s">
        <v>129</v>
      </c>
      <c r="E201" s="36">
        <v>45900</v>
      </c>
      <c r="F201" t="s">
        <v>36</v>
      </c>
      <c r="G201">
        <v>1</v>
      </c>
      <c r="H201">
        <v>55000</v>
      </c>
      <c r="I201">
        <v>52677</v>
      </c>
      <c r="J201">
        <v>11589</v>
      </c>
    </row>
    <row r="202" spans="1:10" x14ac:dyDescent="0.3">
      <c r="A202" t="s">
        <v>37</v>
      </c>
      <c r="B202" t="s">
        <v>88</v>
      </c>
      <c r="C202" t="s">
        <v>12</v>
      </c>
      <c r="D202" t="s">
        <v>214</v>
      </c>
      <c r="E202" s="36">
        <v>45847</v>
      </c>
      <c r="F202" t="s">
        <v>33</v>
      </c>
      <c r="G202">
        <v>7</v>
      </c>
      <c r="H202">
        <v>45000</v>
      </c>
      <c r="I202">
        <v>306389</v>
      </c>
      <c r="J202">
        <v>55150</v>
      </c>
    </row>
    <row r="203" spans="1:10" x14ac:dyDescent="0.3">
      <c r="A203" t="s">
        <v>37</v>
      </c>
      <c r="B203" t="s">
        <v>51</v>
      </c>
      <c r="C203" t="s">
        <v>12</v>
      </c>
      <c r="D203" t="s">
        <v>17</v>
      </c>
      <c r="E203" s="36">
        <v>45715</v>
      </c>
      <c r="F203" t="s">
        <v>36</v>
      </c>
      <c r="G203">
        <v>3</v>
      </c>
      <c r="H203">
        <v>55000</v>
      </c>
      <c r="I203">
        <v>154711</v>
      </c>
      <c r="J203">
        <v>34036</v>
      </c>
    </row>
    <row r="204" spans="1:10" x14ac:dyDescent="0.3">
      <c r="A204" t="s">
        <v>37</v>
      </c>
      <c r="B204" t="s">
        <v>88</v>
      </c>
      <c r="C204" t="s">
        <v>12</v>
      </c>
      <c r="D204" t="s">
        <v>96</v>
      </c>
      <c r="E204" s="36">
        <v>45804</v>
      </c>
      <c r="F204" t="s">
        <v>36</v>
      </c>
      <c r="G204">
        <v>2</v>
      </c>
      <c r="H204">
        <v>55000</v>
      </c>
      <c r="I204">
        <v>116110</v>
      </c>
      <c r="J204">
        <v>25544</v>
      </c>
    </row>
    <row r="205" spans="1:10" x14ac:dyDescent="0.3">
      <c r="A205" t="s">
        <v>37</v>
      </c>
      <c r="B205" t="s">
        <v>31</v>
      </c>
      <c r="C205" t="s">
        <v>12</v>
      </c>
      <c r="D205" t="s">
        <v>13</v>
      </c>
      <c r="E205" s="36">
        <v>45796</v>
      </c>
      <c r="F205" t="s">
        <v>33</v>
      </c>
      <c r="G205">
        <v>5</v>
      </c>
      <c r="H205">
        <v>45000</v>
      </c>
      <c r="I205">
        <v>227433</v>
      </c>
      <c r="J205">
        <v>40938</v>
      </c>
    </row>
    <row r="206" spans="1:10" x14ac:dyDescent="0.3">
      <c r="A206" t="s">
        <v>37</v>
      </c>
      <c r="B206" t="s">
        <v>31</v>
      </c>
      <c r="C206" t="s">
        <v>12</v>
      </c>
      <c r="D206" t="s">
        <v>90</v>
      </c>
      <c r="E206" s="36">
        <v>45742</v>
      </c>
      <c r="F206" t="s">
        <v>40</v>
      </c>
      <c r="G206">
        <v>5</v>
      </c>
      <c r="H206">
        <v>15000</v>
      </c>
      <c r="I206">
        <v>78594</v>
      </c>
      <c r="J206">
        <v>7859</v>
      </c>
    </row>
    <row r="207" spans="1:10" x14ac:dyDescent="0.3">
      <c r="A207" t="s">
        <v>37</v>
      </c>
      <c r="B207" t="s">
        <v>88</v>
      </c>
      <c r="C207" t="s">
        <v>12</v>
      </c>
      <c r="D207" t="s">
        <v>255</v>
      </c>
      <c r="E207" s="36">
        <v>45928</v>
      </c>
      <c r="F207" t="s">
        <v>33</v>
      </c>
      <c r="G207">
        <v>1</v>
      </c>
      <c r="H207">
        <v>45000</v>
      </c>
      <c r="I207">
        <v>42763</v>
      </c>
      <c r="J207">
        <v>7697</v>
      </c>
    </row>
    <row r="208" spans="1:10" x14ac:dyDescent="0.3">
      <c r="A208" t="s">
        <v>37</v>
      </c>
      <c r="B208" t="s">
        <v>19</v>
      </c>
      <c r="C208" t="s">
        <v>12</v>
      </c>
      <c r="D208" t="s">
        <v>172</v>
      </c>
      <c r="E208" s="36">
        <v>45661</v>
      </c>
      <c r="F208" t="s">
        <v>40</v>
      </c>
      <c r="G208">
        <v>7</v>
      </c>
      <c r="H208">
        <v>15000</v>
      </c>
      <c r="I208">
        <v>105487</v>
      </c>
      <c r="J208">
        <v>10549</v>
      </c>
    </row>
    <row r="209" spans="1:10" x14ac:dyDescent="0.3">
      <c r="A209" t="s">
        <v>37</v>
      </c>
      <c r="B209" t="s">
        <v>88</v>
      </c>
      <c r="C209" t="s">
        <v>12</v>
      </c>
      <c r="D209" t="s">
        <v>71</v>
      </c>
      <c r="E209" s="36">
        <v>45923</v>
      </c>
      <c r="F209" t="s">
        <v>14</v>
      </c>
      <c r="G209">
        <v>7</v>
      </c>
      <c r="H209">
        <v>18500</v>
      </c>
      <c r="I209">
        <v>134253</v>
      </c>
      <c r="J209">
        <v>16110</v>
      </c>
    </row>
    <row r="210" spans="1:10" x14ac:dyDescent="0.3">
      <c r="A210" t="s">
        <v>37</v>
      </c>
      <c r="B210" t="s">
        <v>77</v>
      </c>
      <c r="C210" t="s">
        <v>12</v>
      </c>
      <c r="D210" t="s">
        <v>125</v>
      </c>
      <c r="E210" s="36">
        <v>45923</v>
      </c>
      <c r="F210" t="s">
        <v>14</v>
      </c>
      <c r="G210">
        <v>6</v>
      </c>
      <c r="H210">
        <v>18500</v>
      </c>
      <c r="I210">
        <v>111308</v>
      </c>
      <c r="J210">
        <v>13357</v>
      </c>
    </row>
    <row r="211" spans="1:10" x14ac:dyDescent="0.3">
      <c r="A211" t="s">
        <v>15</v>
      </c>
      <c r="B211" t="s">
        <v>16</v>
      </c>
      <c r="C211" t="s">
        <v>12</v>
      </c>
      <c r="D211" t="s">
        <v>17</v>
      </c>
      <c r="E211" s="36">
        <v>46019</v>
      </c>
      <c r="F211" t="s">
        <v>14</v>
      </c>
      <c r="G211">
        <v>2</v>
      </c>
      <c r="H211">
        <v>18500</v>
      </c>
      <c r="I211">
        <v>40676</v>
      </c>
      <c r="J211">
        <v>4881</v>
      </c>
    </row>
    <row r="212" spans="1:10" x14ac:dyDescent="0.3">
      <c r="A212" t="s">
        <v>15</v>
      </c>
      <c r="B212" t="s">
        <v>31</v>
      </c>
      <c r="C212" t="s">
        <v>12</v>
      </c>
      <c r="D212" t="s">
        <v>32</v>
      </c>
      <c r="E212" s="36">
        <v>45681</v>
      </c>
      <c r="F212" t="s">
        <v>33</v>
      </c>
      <c r="G212">
        <v>4</v>
      </c>
      <c r="H212">
        <v>45000</v>
      </c>
      <c r="I212">
        <v>193941</v>
      </c>
      <c r="J212">
        <v>34909</v>
      </c>
    </row>
    <row r="213" spans="1:10" x14ac:dyDescent="0.3">
      <c r="A213" t="s">
        <v>15</v>
      </c>
      <c r="B213" t="s">
        <v>16</v>
      </c>
      <c r="C213" t="s">
        <v>12</v>
      </c>
      <c r="D213" t="s">
        <v>59</v>
      </c>
      <c r="E213" s="36">
        <v>45834</v>
      </c>
      <c r="F213" t="s">
        <v>33</v>
      </c>
      <c r="G213">
        <v>9</v>
      </c>
      <c r="H213">
        <v>45000</v>
      </c>
      <c r="I213">
        <v>390208</v>
      </c>
      <c r="J213">
        <v>70237</v>
      </c>
    </row>
    <row r="214" spans="1:10" x14ac:dyDescent="0.3">
      <c r="A214" t="s">
        <v>15</v>
      </c>
      <c r="B214" t="s">
        <v>16</v>
      </c>
      <c r="C214" t="s">
        <v>12</v>
      </c>
      <c r="D214" t="s">
        <v>63</v>
      </c>
      <c r="E214" s="36">
        <v>45797</v>
      </c>
      <c r="F214" t="s">
        <v>14</v>
      </c>
      <c r="G214">
        <v>5</v>
      </c>
      <c r="H214">
        <v>18500</v>
      </c>
      <c r="I214">
        <v>99520</v>
      </c>
      <c r="J214">
        <v>11942</v>
      </c>
    </row>
    <row r="215" spans="1:10" x14ac:dyDescent="0.3">
      <c r="A215" t="s">
        <v>15</v>
      </c>
      <c r="B215" t="s">
        <v>19</v>
      </c>
      <c r="C215" t="s">
        <v>12</v>
      </c>
      <c r="D215" t="s">
        <v>66</v>
      </c>
      <c r="E215" s="36">
        <v>45883</v>
      </c>
      <c r="F215" t="s">
        <v>14</v>
      </c>
      <c r="G215">
        <v>8</v>
      </c>
      <c r="H215">
        <v>18500</v>
      </c>
      <c r="I215">
        <v>135511</v>
      </c>
      <c r="J215">
        <v>16261</v>
      </c>
    </row>
    <row r="216" spans="1:10" x14ac:dyDescent="0.3">
      <c r="A216" t="s">
        <v>15</v>
      </c>
      <c r="B216" t="s">
        <v>51</v>
      </c>
      <c r="C216" t="s">
        <v>12</v>
      </c>
      <c r="D216" t="s">
        <v>67</v>
      </c>
      <c r="E216" s="36">
        <v>45743</v>
      </c>
      <c r="F216" t="s">
        <v>33</v>
      </c>
      <c r="G216">
        <v>6</v>
      </c>
      <c r="H216">
        <v>45000</v>
      </c>
      <c r="I216">
        <v>273754</v>
      </c>
      <c r="J216">
        <v>49276</v>
      </c>
    </row>
    <row r="217" spans="1:10" x14ac:dyDescent="0.3">
      <c r="A217" t="s">
        <v>15</v>
      </c>
      <c r="B217" t="s">
        <v>11</v>
      </c>
      <c r="C217" t="s">
        <v>12</v>
      </c>
      <c r="D217" t="s">
        <v>35</v>
      </c>
      <c r="E217" s="36">
        <v>45807</v>
      </c>
      <c r="F217" t="s">
        <v>33</v>
      </c>
      <c r="G217">
        <v>2</v>
      </c>
      <c r="H217">
        <v>45000</v>
      </c>
      <c r="I217">
        <v>84794</v>
      </c>
      <c r="J217">
        <v>15263</v>
      </c>
    </row>
    <row r="218" spans="1:10" x14ac:dyDescent="0.3">
      <c r="A218" t="s">
        <v>15</v>
      </c>
      <c r="B218" t="s">
        <v>16</v>
      </c>
      <c r="C218" t="s">
        <v>12</v>
      </c>
      <c r="D218" t="s">
        <v>13</v>
      </c>
      <c r="E218" s="36">
        <v>46021</v>
      </c>
      <c r="F218" t="s">
        <v>14</v>
      </c>
      <c r="G218">
        <v>10</v>
      </c>
      <c r="H218">
        <v>18500</v>
      </c>
      <c r="I218">
        <v>188910</v>
      </c>
      <c r="J218">
        <v>22669</v>
      </c>
    </row>
    <row r="219" spans="1:10" x14ac:dyDescent="0.3">
      <c r="A219" t="s">
        <v>15</v>
      </c>
      <c r="B219" t="s">
        <v>31</v>
      </c>
      <c r="C219" t="s">
        <v>12</v>
      </c>
      <c r="D219" t="s">
        <v>76</v>
      </c>
      <c r="E219" s="36">
        <v>45971</v>
      </c>
      <c r="F219" t="s">
        <v>14</v>
      </c>
      <c r="G219">
        <v>2</v>
      </c>
      <c r="H219">
        <v>18500</v>
      </c>
      <c r="I219">
        <v>35893</v>
      </c>
      <c r="J219">
        <v>4307</v>
      </c>
    </row>
    <row r="220" spans="1:10" x14ac:dyDescent="0.3">
      <c r="A220" t="s">
        <v>15</v>
      </c>
      <c r="B220" t="s">
        <v>19</v>
      </c>
      <c r="C220" t="s">
        <v>12</v>
      </c>
      <c r="D220" t="s">
        <v>93</v>
      </c>
      <c r="E220" s="36">
        <v>46008</v>
      </c>
      <c r="F220" t="s">
        <v>40</v>
      </c>
      <c r="G220">
        <v>1</v>
      </c>
      <c r="H220">
        <v>15000</v>
      </c>
      <c r="I220">
        <v>16304</v>
      </c>
      <c r="J220">
        <v>1630</v>
      </c>
    </row>
    <row r="221" spans="1:10" x14ac:dyDescent="0.3">
      <c r="A221" t="s">
        <v>15</v>
      </c>
      <c r="B221" t="s">
        <v>31</v>
      </c>
      <c r="C221" t="s">
        <v>12</v>
      </c>
      <c r="D221" t="s">
        <v>100</v>
      </c>
      <c r="E221" s="36">
        <v>46015</v>
      </c>
      <c r="F221" t="s">
        <v>14</v>
      </c>
      <c r="G221">
        <v>5</v>
      </c>
      <c r="H221">
        <v>18500</v>
      </c>
      <c r="I221">
        <v>94555</v>
      </c>
      <c r="J221">
        <v>11347</v>
      </c>
    </row>
    <row r="222" spans="1:10" x14ac:dyDescent="0.3">
      <c r="A222" t="s">
        <v>15</v>
      </c>
      <c r="B222" t="s">
        <v>31</v>
      </c>
      <c r="C222" t="s">
        <v>12</v>
      </c>
      <c r="D222" t="s">
        <v>113</v>
      </c>
      <c r="E222" s="36">
        <v>45784</v>
      </c>
      <c r="F222" t="s">
        <v>14</v>
      </c>
      <c r="G222">
        <v>3</v>
      </c>
      <c r="H222">
        <v>18500</v>
      </c>
      <c r="I222">
        <v>55164</v>
      </c>
      <c r="J222">
        <v>6620</v>
      </c>
    </row>
    <row r="223" spans="1:10" x14ac:dyDescent="0.3">
      <c r="A223" t="s">
        <v>15</v>
      </c>
      <c r="B223" t="s">
        <v>19</v>
      </c>
      <c r="C223" t="s">
        <v>12</v>
      </c>
      <c r="D223" t="s">
        <v>116</v>
      </c>
      <c r="E223" s="36">
        <v>45956</v>
      </c>
      <c r="F223" t="s">
        <v>40</v>
      </c>
      <c r="G223">
        <v>8</v>
      </c>
      <c r="H223">
        <v>15000</v>
      </c>
      <c r="I223">
        <v>109534</v>
      </c>
      <c r="J223">
        <v>10953</v>
      </c>
    </row>
    <row r="224" spans="1:10" x14ac:dyDescent="0.3">
      <c r="A224" t="s">
        <v>15</v>
      </c>
      <c r="B224" t="s">
        <v>19</v>
      </c>
      <c r="C224" t="s">
        <v>12</v>
      </c>
      <c r="D224" t="s">
        <v>113</v>
      </c>
      <c r="E224" s="36">
        <v>45674</v>
      </c>
      <c r="F224" t="s">
        <v>40</v>
      </c>
      <c r="G224">
        <v>5</v>
      </c>
      <c r="H224">
        <v>15000</v>
      </c>
      <c r="I224">
        <v>72318</v>
      </c>
      <c r="J224">
        <v>7232</v>
      </c>
    </row>
    <row r="225" spans="1:10" x14ac:dyDescent="0.3">
      <c r="A225" t="s">
        <v>15</v>
      </c>
      <c r="B225" t="s">
        <v>88</v>
      </c>
      <c r="C225" t="s">
        <v>12</v>
      </c>
      <c r="D225" t="s">
        <v>48</v>
      </c>
      <c r="E225" s="36">
        <v>46006</v>
      </c>
      <c r="F225" t="s">
        <v>33</v>
      </c>
      <c r="G225">
        <v>4</v>
      </c>
      <c r="H225">
        <v>45000</v>
      </c>
      <c r="I225">
        <v>165104</v>
      </c>
      <c r="J225">
        <v>29719</v>
      </c>
    </row>
    <row r="226" spans="1:10" x14ac:dyDescent="0.3">
      <c r="A226" t="s">
        <v>15</v>
      </c>
      <c r="B226" t="s">
        <v>16</v>
      </c>
      <c r="C226" t="s">
        <v>12</v>
      </c>
      <c r="D226" t="s">
        <v>145</v>
      </c>
      <c r="E226" s="36">
        <v>45670</v>
      </c>
      <c r="F226" t="s">
        <v>33</v>
      </c>
      <c r="G226">
        <v>9</v>
      </c>
      <c r="H226">
        <v>45000</v>
      </c>
      <c r="I226">
        <v>373830</v>
      </c>
      <c r="J226">
        <v>67289</v>
      </c>
    </row>
    <row r="227" spans="1:10" x14ac:dyDescent="0.3">
      <c r="A227" t="s">
        <v>15</v>
      </c>
      <c r="B227" t="s">
        <v>31</v>
      </c>
      <c r="C227" t="s">
        <v>12</v>
      </c>
      <c r="D227" t="s">
        <v>24</v>
      </c>
      <c r="E227" s="36">
        <v>45932</v>
      </c>
      <c r="F227" t="s">
        <v>33</v>
      </c>
      <c r="G227">
        <v>5</v>
      </c>
      <c r="H227">
        <v>45000</v>
      </c>
      <c r="I227">
        <v>241456</v>
      </c>
      <c r="J227">
        <v>43462</v>
      </c>
    </row>
    <row r="228" spans="1:10" x14ac:dyDescent="0.3">
      <c r="A228" t="s">
        <v>15</v>
      </c>
      <c r="B228" t="s">
        <v>31</v>
      </c>
      <c r="C228" t="s">
        <v>12</v>
      </c>
      <c r="D228" t="s">
        <v>149</v>
      </c>
      <c r="E228" s="36">
        <v>45858</v>
      </c>
      <c r="F228" t="s">
        <v>14</v>
      </c>
      <c r="G228">
        <v>7</v>
      </c>
      <c r="H228">
        <v>18500</v>
      </c>
      <c r="I228">
        <v>129321</v>
      </c>
      <c r="J228">
        <v>15519</v>
      </c>
    </row>
    <row r="229" spans="1:10" x14ac:dyDescent="0.3">
      <c r="A229" t="s">
        <v>15</v>
      </c>
      <c r="B229" t="s">
        <v>88</v>
      </c>
      <c r="C229" t="s">
        <v>12</v>
      </c>
      <c r="D229" t="s">
        <v>45</v>
      </c>
      <c r="E229" s="36">
        <v>45871</v>
      </c>
      <c r="F229" t="s">
        <v>40</v>
      </c>
      <c r="G229">
        <v>7</v>
      </c>
      <c r="H229">
        <v>15000</v>
      </c>
      <c r="I229">
        <v>110652</v>
      </c>
      <c r="J229">
        <v>11065</v>
      </c>
    </row>
    <row r="230" spans="1:10" x14ac:dyDescent="0.3">
      <c r="A230" t="s">
        <v>15</v>
      </c>
      <c r="B230" t="s">
        <v>77</v>
      </c>
      <c r="C230" t="s">
        <v>12</v>
      </c>
      <c r="D230" t="s">
        <v>74</v>
      </c>
      <c r="E230" s="36">
        <v>45845</v>
      </c>
      <c r="F230" t="s">
        <v>14</v>
      </c>
      <c r="G230">
        <v>10</v>
      </c>
      <c r="H230">
        <v>18500</v>
      </c>
      <c r="I230">
        <v>172466</v>
      </c>
      <c r="J230">
        <v>20696</v>
      </c>
    </row>
    <row r="231" spans="1:10" x14ac:dyDescent="0.3">
      <c r="A231" t="s">
        <v>15</v>
      </c>
      <c r="B231" t="s">
        <v>16</v>
      </c>
      <c r="C231" t="s">
        <v>12</v>
      </c>
      <c r="D231" t="s">
        <v>101</v>
      </c>
      <c r="E231" s="36">
        <v>45833</v>
      </c>
      <c r="F231" t="s">
        <v>33</v>
      </c>
      <c r="G231">
        <v>10</v>
      </c>
      <c r="H231">
        <v>45000</v>
      </c>
      <c r="I231">
        <v>471167</v>
      </c>
      <c r="J231">
        <v>84810</v>
      </c>
    </row>
    <row r="232" spans="1:10" x14ac:dyDescent="0.3">
      <c r="A232" t="s">
        <v>15</v>
      </c>
      <c r="B232" t="s">
        <v>11</v>
      </c>
      <c r="C232" t="s">
        <v>12</v>
      </c>
      <c r="D232" t="s">
        <v>142</v>
      </c>
      <c r="E232" s="36">
        <v>45713</v>
      </c>
      <c r="F232" t="s">
        <v>14</v>
      </c>
      <c r="G232">
        <v>4</v>
      </c>
      <c r="H232">
        <v>18500</v>
      </c>
      <c r="I232">
        <v>73076</v>
      </c>
      <c r="J232">
        <v>8769</v>
      </c>
    </row>
    <row r="233" spans="1:10" x14ac:dyDescent="0.3">
      <c r="A233" t="s">
        <v>15</v>
      </c>
      <c r="B233" t="s">
        <v>77</v>
      </c>
      <c r="C233" t="s">
        <v>12</v>
      </c>
      <c r="D233" t="s">
        <v>128</v>
      </c>
      <c r="E233" s="36">
        <v>45911</v>
      </c>
      <c r="F233" t="s">
        <v>33</v>
      </c>
      <c r="G233">
        <v>3</v>
      </c>
      <c r="H233">
        <v>45000</v>
      </c>
      <c r="I233">
        <v>129127</v>
      </c>
      <c r="J233">
        <v>23243</v>
      </c>
    </row>
    <row r="234" spans="1:10" x14ac:dyDescent="0.3">
      <c r="A234" t="s">
        <v>15</v>
      </c>
      <c r="B234" t="s">
        <v>16</v>
      </c>
      <c r="C234" t="s">
        <v>12</v>
      </c>
      <c r="D234" t="s">
        <v>165</v>
      </c>
      <c r="E234" s="36">
        <v>45685</v>
      </c>
      <c r="F234" t="s">
        <v>33</v>
      </c>
      <c r="G234">
        <v>7</v>
      </c>
      <c r="H234">
        <v>45000</v>
      </c>
      <c r="I234">
        <v>308716</v>
      </c>
      <c r="J234">
        <v>55569</v>
      </c>
    </row>
    <row r="235" spans="1:10" x14ac:dyDescent="0.3">
      <c r="A235" t="s">
        <v>15</v>
      </c>
      <c r="B235" t="s">
        <v>77</v>
      </c>
      <c r="C235" t="s">
        <v>12</v>
      </c>
      <c r="D235" t="s">
        <v>28</v>
      </c>
      <c r="E235" s="36">
        <v>45953</v>
      </c>
      <c r="F235" t="s">
        <v>14</v>
      </c>
      <c r="G235">
        <v>4</v>
      </c>
      <c r="H235">
        <v>18500</v>
      </c>
      <c r="I235">
        <v>69122</v>
      </c>
      <c r="J235">
        <v>8295</v>
      </c>
    </row>
    <row r="236" spans="1:10" x14ac:dyDescent="0.3">
      <c r="A236" t="s">
        <v>15</v>
      </c>
      <c r="B236" t="s">
        <v>88</v>
      </c>
      <c r="C236" t="s">
        <v>12</v>
      </c>
      <c r="D236" t="s">
        <v>180</v>
      </c>
      <c r="E236" s="36">
        <v>45853</v>
      </c>
      <c r="F236" t="s">
        <v>33</v>
      </c>
      <c r="G236">
        <v>1</v>
      </c>
      <c r="H236">
        <v>45000</v>
      </c>
      <c r="I236">
        <v>49119</v>
      </c>
      <c r="J236">
        <v>8841</v>
      </c>
    </row>
    <row r="237" spans="1:10" x14ac:dyDescent="0.3">
      <c r="A237" t="s">
        <v>15</v>
      </c>
      <c r="B237" t="s">
        <v>77</v>
      </c>
      <c r="C237" t="s">
        <v>12</v>
      </c>
      <c r="D237" t="s">
        <v>57</v>
      </c>
      <c r="E237" s="36">
        <v>46005</v>
      </c>
      <c r="F237" t="s">
        <v>40</v>
      </c>
      <c r="G237">
        <v>6</v>
      </c>
      <c r="H237">
        <v>15000</v>
      </c>
      <c r="I237">
        <v>81406</v>
      </c>
      <c r="J237">
        <v>8141</v>
      </c>
    </row>
    <row r="238" spans="1:10" x14ac:dyDescent="0.3">
      <c r="A238" t="s">
        <v>15</v>
      </c>
      <c r="B238" t="s">
        <v>51</v>
      </c>
      <c r="C238" t="s">
        <v>12</v>
      </c>
      <c r="D238" t="s">
        <v>65</v>
      </c>
      <c r="E238" s="36">
        <v>45871</v>
      </c>
      <c r="F238" t="s">
        <v>14</v>
      </c>
      <c r="G238">
        <v>7</v>
      </c>
      <c r="H238">
        <v>18500</v>
      </c>
      <c r="I238">
        <v>123099</v>
      </c>
      <c r="J238">
        <v>14772</v>
      </c>
    </row>
    <row r="239" spans="1:10" x14ac:dyDescent="0.3">
      <c r="A239" t="s">
        <v>15</v>
      </c>
      <c r="B239" t="s">
        <v>77</v>
      </c>
      <c r="C239" t="s">
        <v>12</v>
      </c>
      <c r="D239" t="s">
        <v>200</v>
      </c>
      <c r="E239" s="36">
        <v>45807</v>
      </c>
      <c r="F239" t="s">
        <v>40</v>
      </c>
      <c r="G239">
        <v>9</v>
      </c>
      <c r="H239">
        <v>15000</v>
      </c>
      <c r="I239">
        <v>145838</v>
      </c>
      <c r="J239">
        <v>14584</v>
      </c>
    </row>
    <row r="240" spans="1:10" x14ac:dyDescent="0.3">
      <c r="A240" t="s">
        <v>15</v>
      </c>
      <c r="B240" t="s">
        <v>16</v>
      </c>
      <c r="C240" t="s">
        <v>12</v>
      </c>
      <c r="D240" t="s">
        <v>52</v>
      </c>
      <c r="E240" s="36">
        <v>45880</v>
      </c>
      <c r="F240" t="s">
        <v>33</v>
      </c>
      <c r="G240">
        <v>7</v>
      </c>
      <c r="H240">
        <v>45000</v>
      </c>
      <c r="I240">
        <v>342874</v>
      </c>
      <c r="J240">
        <v>61717</v>
      </c>
    </row>
    <row r="241" spans="1:10" x14ac:dyDescent="0.3">
      <c r="A241" t="s">
        <v>15</v>
      </c>
      <c r="B241" t="s">
        <v>88</v>
      </c>
      <c r="C241" t="s">
        <v>12</v>
      </c>
      <c r="D241" t="s">
        <v>13</v>
      </c>
      <c r="E241" s="36">
        <v>45947</v>
      </c>
      <c r="F241" t="s">
        <v>14</v>
      </c>
      <c r="G241">
        <v>8</v>
      </c>
      <c r="H241">
        <v>18500</v>
      </c>
      <c r="I241">
        <v>143462</v>
      </c>
      <c r="J241">
        <v>17215</v>
      </c>
    </row>
    <row r="242" spans="1:10" x14ac:dyDescent="0.3">
      <c r="A242" t="s">
        <v>15</v>
      </c>
      <c r="B242" t="s">
        <v>19</v>
      </c>
      <c r="C242" t="s">
        <v>12</v>
      </c>
      <c r="D242" t="s">
        <v>111</v>
      </c>
      <c r="E242" s="36">
        <v>45952</v>
      </c>
      <c r="F242" t="s">
        <v>40</v>
      </c>
      <c r="G242">
        <v>8</v>
      </c>
      <c r="H242">
        <v>15000</v>
      </c>
      <c r="I242">
        <v>112792</v>
      </c>
      <c r="J242">
        <v>11279</v>
      </c>
    </row>
    <row r="243" spans="1:10" x14ac:dyDescent="0.3">
      <c r="A243" t="s">
        <v>15</v>
      </c>
      <c r="B243" t="s">
        <v>31</v>
      </c>
      <c r="C243" t="s">
        <v>12</v>
      </c>
      <c r="D243" t="s">
        <v>97</v>
      </c>
      <c r="E243" s="36">
        <v>46002</v>
      </c>
      <c r="F243" t="s">
        <v>14</v>
      </c>
      <c r="G243">
        <v>3</v>
      </c>
      <c r="H243">
        <v>18500</v>
      </c>
      <c r="I243">
        <v>58125</v>
      </c>
      <c r="J243">
        <v>6975</v>
      </c>
    </row>
    <row r="244" spans="1:10" x14ac:dyDescent="0.3">
      <c r="A244" t="s">
        <v>15</v>
      </c>
      <c r="B244" t="s">
        <v>31</v>
      </c>
      <c r="C244" t="s">
        <v>12</v>
      </c>
      <c r="D244" t="s">
        <v>110</v>
      </c>
      <c r="E244" s="36">
        <v>45742</v>
      </c>
      <c r="F244" t="s">
        <v>14</v>
      </c>
      <c r="G244">
        <v>8</v>
      </c>
      <c r="H244">
        <v>18500</v>
      </c>
      <c r="I244">
        <v>146821</v>
      </c>
      <c r="J244">
        <v>17619</v>
      </c>
    </row>
    <row r="245" spans="1:10" x14ac:dyDescent="0.3">
      <c r="A245" t="s">
        <v>15</v>
      </c>
      <c r="B245" t="s">
        <v>77</v>
      </c>
      <c r="C245" t="s">
        <v>12</v>
      </c>
      <c r="D245" t="s">
        <v>222</v>
      </c>
      <c r="E245" s="36">
        <v>45861</v>
      </c>
      <c r="F245" t="s">
        <v>14</v>
      </c>
      <c r="G245">
        <v>8</v>
      </c>
      <c r="H245">
        <v>18500</v>
      </c>
      <c r="I245">
        <v>157428</v>
      </c>
      <c r="J245">
        <v>18891</v>
      </c>
    </row>
    <row r="246" spans="1:10" x14ac:dyDescent="0.3">
      <c r="A246" t="s">
        <v>15</v>
      </c>
      <c r="B246" t="s">
        <v>16</v>
      </c>
      <c r="C246" t="s">
        <v>12</v>
      </c>
      <c r="D246" t="s">
        <v>96</v>
      </c>
      <c r="E246" s="36">
        <v>45969</v>
      </c>
      <c r="F246" t="s">
        <v>33</v>
      </c>
      <c r="G246">
        <v>10</v>
      </c>
      <c r="H246">
        <v>45000</v>
      </c>
      <c r="I246">
        <v>438096</v>
      </c>
      <c r="J246">
        <v>78857</v>
      </c>
    </row>
    <row r="247" spans="1:10" x14ac:dyDescent="0.3">
      <c r="A247" t="s">
        <v>15</v>
      </c>
      <c r="B247" t="s">
        <v>51</v>
      </c>
      <c r="C247" t="s">
        <v>12</v>
      </c>
      <c r="D247" t="s">
        <v>127</v>
      </c>
      <c r="E247" s="36">
        <v>45847</v>
      </c>
      <c r="F247" t="s">
        <v>40</v>
      </c>
      <c r="G247">
        <v>10</v>
      </c>
      <c r="H247">
        <v>15000</v>
      </c>
      <c r="I247">
        <v>141771</v>
      </c>
      <c r="J247">
        <v>14177</v>
      </c>
    </row>
    <row r="248" spans="1:10" x14ac:dyDescent="0.3">
      <c r="A248" t="s">
        <v>15</v>
      </c>
      <c r="B248" t="s">
        <v>16</v>
      </c>
      <c r="C248" t="s">
        <v>12</v>
      </c>
      <c r="D248" t="s">
        <v>171</v>
      </c>
      <c r="E248" s="36">
        <v>45875</v>
      </c>
      <c r="F248" t="s">
        <v>40</v>
      </c>
      <c r="G248">
        <v>2</v>
      </c>
      <c r="H248">
        <v>15000</v>
      </c>
      <c r="I248">
        <v>28740</v>
      </c>
      <c r="J248">
        <v>2874</v>
      </c>
    </row>
    <row r="249" spans="1:10" x14ac:dyDescent="0.3">
      <c r="A249" t="s">
        <v>15</v>
      </c>
      <c r="B249" t="s">
        <v>88</v>
      </c>
      <c r="C249" t="s">
        <v>12</v>
      </c>
      <c r="D249" t="s">
        <v>101</v>
      </c>
      <c r="E249" s="36">
        <v>45805</v>
      </c>
      <c r="F249" t="s">
        <v>14</v>
      </c>
      <c r="G249">
        <v>10</v>
      </c>
      <c r="H249">
        <v>18500</v>
      </c>
      <c r="I249">
        <v>169437</v>
      </c>
      <c r="J249">
        <v>20332</v>
      </c>
    </row>
    <row r="250" spans="1:10" x14ac:dyDescent="0.3">
      <c r="A250" t="s">
        <v>15</v>
      </c>
      <c r="B250" t="s">
        <v>11</v>
      </c>
      <c r="C250" t="s">
        <v>12</v>
      </c>
      <c r="D250" t="s">
        <v>216</v>
      </c>
      <c r="E250" s="36">
        <v>45745</v>
      </c>
      <c r="F250" t="s">
        <v>14</v>
      </c>
      <c r="G250">
        <v>6</v>
      </c>
      <c r="H250">
        <v>18500</v>
      </c>
      <c r="I250">
        <v>105346</v>
      </c>
      <c r="J250">
        <v>12642</v>
      </c>
    </row>
    <row r="251" spans="1:10" x14ac:dyDescent="0.3">
      <c r="A251" t="s">
        <v>15</v>
      </c>
      <c r="B251" t="s">
        <v>51</v>
      </c>
      <c r="C251" t="s">
        <v>12</v>
      </c>
      <c r="D251" t="s">
        <v>195</v>
      </c>
      <c r="E251" s="36">
        <v>45706</v>
      </c>
      <c r="F251" t="s">
        <v>40</v>
      </c>
      <c r="G251">
        <v>9</v>
      </c>
      <c r="H251">
        <v>15000</v>
      </c>
      <c r="I251">
        <v>128315</v>
      </c>
      <c r="J251">
        <v>12832</v>
      </c>
    </row>
    <row r="252" spans="1:10" x14ac:dyDescent="0.3">
      <c r="A252" t="s">
        <v>15</v>
      </c>
      <c r="B252" t="s">
        <v>77</v>
      </c>
      <c r="C252" t="s">
        <v>12</v>
      </c>
      <c r="D252" t="s">
        <v>139</v>
      </c>
      <c r="E252" s="36">
        <v>45700</v>
      </c>
      <c r="F252" t="s">
        <v>14</v>
      </c>
      <c r="G252">
        <v>5</v>
      </c>
      <c r="H252">
        <v>18500</v>
      </c>
      <c r="I252">
        <v>89585</v>
      </c>
      <c r="J252">
        <v>10750</v>
      </c>
    </row>
    <row r="253" spans="1:10" x14ac:dyDescent="0.3">
      <c r="A253" t="s">
        <v>15</v>
      </c>
      <c r="B253" t="s">
        <v>84</v>
      </c>
      <c r="C253" t="s">
        <v>12</v>
      </c>
      <c r="D253" t="s">
        <v>134</v>
      </c>
      <c r="E253" s="36">
        <v>45659</v>
      </c>
      <c r="F253" t="s">
        <v>33</v>
      </c>
      <c r="G253">
        <v>9</v>
      </c>
      <c r="H253">
        <v>45000</v>
      </c>
      <c r="I253">
        <v>367900</v>
      </c>
      <c r="J253">
        <v>66222</v>
      </c>
    </row>
    <row r="254" spans="1:10" x14ac:dyDescent="0.3">
      <c r="A254" t="s">
        <v>15</v>
      </c>
      <c r="B254" t="s">
        <v>84</v>
      </c>
      <c r="C254" t="s">
        <v>12</v>
      </c>
      <c r="D254" t="s">
        <v>164</v>
      </c>
      <c r="E254" s="36">
        <v>45874</v>
      </c>
      <c r="F254" t="s">
        <v>40</v>
      </c>
      <c r="G254">
        <v>4</v>
      </c>
      <c r="H254">
        <v>15000</v>
      </c>
      <c r="I254">
        <v>54276</v>
      </c>
      <c r="J254">
        <v>5428</v>
      </c>
    </row>
    <row r="255" spans="1:10" x14ac:dyDescent="0.3">
      <c r="A255" t="s">
        <v>15</v>
      </c>
      <c r="B255" t="s">
        <v>88</v>
      </c>
      <c r="C255" t="s">
        <v>12</v>
      </c>
      <c r="D255" t="s">
        <v>148</v>
      </c>
      <c r="E255" s="36">
        <v>45990</v>
      </c>
      <c r="F255" t="s">
        <v>40</v>
      </c>
      <c r="G255">
        <v>1</v>
      </c>
      <c r="H255">
        <v>15000</v>
      </c>
      <c r="I255">
        <v>15673</v>
      </c>
      <c r="J255">
        <v>1567</v>
      </c>
    </row>
    <row r="256" spans="1:10" x14ac:dyDescent="0.3">
      <c r="A256" t="s">
        <v>15</v>
      </c>
      <c r="B256" t="s">
        <v>16</v>
      </c>
      <c r="C256" t="s">
        <v>12</v>
      </c>
      <c r="D256" t="s">
        <v>135</v>
      </c>
      <c r="E256" s="36">
        <v>45877</v>
      </c>
      <c r="F256" t="s">
        <v>33</v>
      </c>
      <c r="G256">
        <v>1</v>
      </c>
      <c r="H256">
        <v>45000</v>
      </c>
      <c r="I256">
        <v>48702</v>
      </c>
      <c r="J256">
        <v>8766</v>
      </c>
    </row>
    <row r="257" spans="1:10" x14ac:dyDescent="0.3">
      <c r="A257" t="s">
        <v>15</v>
      </c>
      <c r="B257" t="s">
        <v>31</v>
      </c>
      <c r="C257" t="s">
        <v>12</v>
      </c>
      <c r="D257" t="s">
        <v>66</v>
      </c>
      <c r="E257" s="36">
        <v>45846</v>
      </c>
      <c r="F257" t="s">
        <v>14</v>
      </c>
      <c r="G257">
        <v>7</v>
      </c>
      <c r="H257">
        <v>18500</v>
      </c>
      <c r="I257">
        <v>119320</v>
      </c>
      <c r="J257">
        <v>14318</v>
      </c>
    </row>
    <row r="258" spans="1:10" x14ac:dyDescent="0.3">
      <c r="A258" t="s">
        <v>15</v>
      </c>
      <c r="B258" t="s">
        <v>31</v>
      </c>
      <c r="C258" t="s">
        <v>12</v>
      </c>
      <c r="D258" t="s">
        <v>192</v>
      </c>
      <c r="E258" s="36">
        <v>45709</v>
      </c>
      <c r="F258" t="s">
        <v>40</v>
      </c>
      <c r="G258">
        <v>10</v>
      </c>
      <c r="H258">
        <v>15000</v>
      </c>
      <c r="I258">
        <v>153272</v>
      </c>
      <c r="J258">
        <v>15327</v>
      </c>
    </row>
    <row r="259" spans="1:10" x14ac:dyDescent="0.3">
      <c r="A259" t="s">
        <v>15</v>
      </c>
      <c r="B259" t="s">
        <v>31</v>
      </c>
      <c r="C259" t="s">
        <v>12</v>
      </c>
      <c r="D259" t="s">
        <v>191</v>
      </c>
      <c r="E259" s="36">
        <v>45671</v>
      </c>
      <c r="F259" t="s">
        <v>14</v>
      </c>
      <c r="G259">
        <v>9</v>
      </c>
      <c r="H259">
        <v>18500</v>
      </c>
      <c r="I259">
        <v>166074</v>
      </c>
      <c r="J259">
        <v>19929</v>
      </c>
    </row>
    <row r="260" spans="1:10" x14ac:dyDescent="0.3">
      <c r="A260" t="s">
        <v>15</v>
      </c>
      <c r="B260" t="s">
        <v>77</v>
      </c>
      <c r="C260" t="s">
        <v>12</v>
      </c>
      <c r="D260" t="s">
        <v>179</v>
      </c>
      <c r="E260" s="36">
        <v>45868</v>
      </c>
      <c r="F260" t="s">
        <v>40</v>
      </c>
      <c r="G260">
        <v>1</v>
      </c>
      <c r="H260">
        <v>15000</v>
      </c>
      <c r="I260">
        <v>15579</v>
      </c>
      <c r="J260">
        <v>1558</v>
      </c>
    </row>
    <row r="261" spans="1:10" x14ac:dyDescent="0.3">
      <c r="A261" t="s">
        <v>15</v>
      </c>
      <c r="B261" t="s">
        <v>84</v>
      </c>
      <c r="C261" t="s">
        <v>12</v>
      </c>
      <c r="D261" t="s">
        <v>258</v>
      </c>
      <c r="E261" s="36">
        <v>45959</v>
      </c>
      <c r="F261" t="s">
        <v>14</v>
      </c>
      <c r="G261">
        <v>2</v>
      </c>
      <c r="H261">
        <v>18500</v>
      </c>
      <c r="I261">
        <v>37348</v>
      </c>
      <c r="J261">
        <v>4482</v>
      </c>
    </row>
    <row r="262" spans="1:10" x14ac:dyDescent="0.3">
      <c r="A262" t="s">
        <v>15</v>
      </c>
      <c r="B262" t="s">
        <v>84</v>
      </c>
      <c r="C262" t="s">
        <v>12</v>
      </c>
      <c r="D262" t="s">
        <v>225</v>
      </c>
      <c r="E262" s="36">
        <v>45815</v>
      </c>
      <c r="F262" t="s">
        <v>40</v>
      </c>
      <c r="G262">
        <v>1</v>
      </c>
      <c r="H262">
        <v>15000</v>
      </c>
      <c r="I262">
        <v>15771</v>
      </c>
      <c r="J262">
        <v>1577</v>
      </c>
    </row>
    <row r="263" spans="1:10" x14ac:dyDescent="0.3">
      <c r="A263" t="s">
        <v>15</v>
      </c>
      <c r="B263" t="s">
        <v>88</v>
      </c>
      <c r="C263" t="s">
        <v>12</v>
      </c>
      <c r="D263" t="s">
        <v>256</v>
      </c>
      <c r="E263" s="36">
        <v>45872</v>
      </c>
      <c r="F263" t="s">
        <v>33</v>
      </c>
      <c r="G263">
        <v>9</v>
      </c>
      <c r="H263">
        <v>45000</v>
      </c>
      <c r="I263">
        <v>401646</v>
      </c>
      <c r="J263">
        <v>72296</v>
      </c>
    </row>
    <row r="264" spans="1:10" x14ac:dyDescent="0.3">
      <c r="A264" t="s">
        <v>15</v>
      </c>
      <c r="B264" t="s">
        <v>11</v>
      </c>
      <c r="C264" t="s">
        <v>12</v>
      </c>
      <c r="D264" t="s">
        <v>28</v>
      </c>
      <c r="E264" s="36">
        <v>45863</v>
      </c>
      <c r="F264" t="s">
        <v>40</v>
      </c>
      <c r="G264">
        <v>6</v>
      </c>
      <c r="H264">
        <v>15000</v>
      </c>
      <c r="I264">
        <v>81755</v>
      </c>
      <c r="J264">
        <v>8176</v>
      </c>
    </row>
    <row r="265" spans="1:10" x14ac:dyDescent="0.3">
      <c r="A265" t="s">
        <v>15</v>
      </c>
      <c r="B265" t="s">
        <v>84</v>
      </c>
      <c r="C265" t="s">
        <v>12</v>
      </c>
      <c r="D265" t="s">
        <v>45</v>
      </c>
      <c r="E265" s="36">
        <v>45718</v>
      </c>
      <c r="F265" t="s">
        <v>14</v>
      </c>
      <c r="G265">
        <v>6</v>
      </c>
      <c r="H265">
        <v>18500</v>
      </c>
      <c r="I265">
        <v>119939</v>
      </c>
      <c r="J265">
        <v>14393</v>
      </c>
    </row>
    <row r="266" spans="1:10" x14ac:dyDescent="0.3">
      <c r="A266" t="s">
        <v>15</v>
      </c>
      <c r="B266" t="s">
        <v>16</v>
      </c>
      <c r="C266" t="s">
        <v>12</v>
      </c>
      <c r="D266" t="s">
        <v>124</v>
      </c>
      <c r="E266" s="36">
        <v>45801</v>
      </c>
      <c r="F266" t="s">
        <v>33</v>
      </c>
      <c r="G266">
        <v>4</v>
      </c>
      <c r="H266">
        <v>45000</v>
      </c>
      <c r="I266">
        <v>196515</v>
      </c>
      <c r="J266">
        <v>35373</v>
      </c>
    </row>
    <row r="267" spans="1:10" x14ac:dyDescent="0.3">
      <c r="A267" t="s">
        <v>15</v>
      </c>
      <c r="B267" t="s">
        <v>51</v>
      </c>
      <c r="C267" t="s">
        <v>12</v>
      </c>
      <c r="D267" t="s">
        <v>239</v>
      </c>
      <c r="E267" s="36">
        <v>45698</v>
      </c>
      <c r="F267" t="s">
        <v>40</v>
      </c>
      <c r="G267">
        <v>10</v>
      </c>
      <c r="H267">
        <v>15000</v>
      </c>
      <c r="I267">
        <v>154126</v>
      </c>
      <c r="J267">
        <v>15413</v>
      </c>
    </row>
    <row r="268" spans="1:10" x14ac:dyDescent="0.3">
      <c r="A268" t="s">
        <v>15</v>
      </c>
      <c r="B268" t="s">
        <v>19</v>
      </c>
      <c r="C268" t="s">
        <v>12</v>
      </c>
      <c r="D268" t="s">
        <v>133</v>
      </c>
      <c r="E268" s="36">
        <v>45939</v>
      </c>
      <c r="F268" t="s">
        <v>14</v>
      </c>
      <c r="G268">
        <v>4</v>
      </c>
      <c r="H268">
        <v>18500</v>
      </c>
      <c r="I268">
        <v>71184</v>
      </c>
      <c r="J268">
        <v>8542</v>
      </c>
    </row>
    <row r="269" spans="1:10" x14ac:dyDescent="0.3">
      <c r="A269" t="s">
        <v>15</v>
      </c>
      <c r="B269" t="s">
        <v>31</v>
      </c>
      <c r="C269" t="s">
        <v>12</v>
      </c>
      <c r="D269" t="s">
        <v>174</v>
      </c>
      <c r="E269" s="36">
        <v>45894</v>
      </c>
      <c r="F269" t="s">
        <v>33</v>
      </c>
      <c r="G269">
        <v>2</v>
      </c>
      <c r="H269">
        <v>45000</v>
      </c>
      <c r="I269">
        <v>90677</v>
      </c>
      <c r="J269">
        <v>16322</v>
      </c>
    </row>
    <row r="270" spans="1:10" x14ac:dyDescent="0.3">
      <c r="A270" t="s">
        <v>15</v>
      </c>
      <c r="B270" t="s">
        <v>84</v>
      </c>
      <c r="C270" t="s">
        <v>12</v>
      </c>
      <c r="D270" t="s">
        <v>53</v>
      </c>
      <c r="E270" s="36">
        <v>45849</v>
      </c>
      <c r="F270" t="s">
        <v>14</v>
      </c>
      <c r="G270">
        <v>10</v>
      </c>
      <c r="H270">
        <v>18500</v>
      </c>
      <c r="I270">
        <v>200488</v>
      </c>
      <c r="J270">
        <v>24059</v>
      </c>
    </row>
    <row r="271" spans="1:10" x14ac:dyDescent="0.3">
      <c r="A271" t="s">
        <v>15</v>
      </c>
      <c r="B271" t="s">
        <v>51</v>
      </c>
      <c r="C271" t="s">
        <v>12</v>
      </c>
      <c r="D271" t="s">
        <v>73</v>
      </c>
      <c r="E271" s="36">
        <v>45860</v>
      </c>
      <c r="F271" t="s">
        <v>40</v>
      </c>
      <c r="G271">
        <v>1</v>
      </c>
      <c r="H271">
        <v>15000</v>
      </c>
      <c r="I271">
        <v>14671</v>
      </c>
      <c r="J271">
        <v>1467</v>
      </c>
    </row>
    <row r="272" spans="1:10" x14ac:dyDescent="0.3">
      <c r="A272" t="s">
        <v>15</v>
      </c>
      <c r="B272" t="s">
        <v>19</v>
      </c>
      <c r="C272" t="s">
        <v>12</v>
      </c>
      <c r="D272" t="s">
        <v>79</v>
      </c>
      <c r="E272" s="36">
        <v>45690</v>
      </c>
      <c r="F272" t="s">
        <v>33</v>
      </c>
      <c r="G272">
        <v>4</v>
      </c>
      <c r="H272">
        <v>45000</v>
      </c>
      <c r="I272">
        <v>186744</v>
      </c>
      <c r="J272">
        <v>33614</v>
      </c>
    </row>
    <row r="273" spans="1:10" x14ac:dyDescent="0.3">
      <c r="A273" t="s">
        <v>15</v>
      </c>
      <c r="B273" t="s">
        <v>77</v>
      </c>
      <c r="C273" t="s">
        <v>12</v>
      </c>
      <c r="D273" t="s">
        <v>152</v>
      </c>
      <c r="E273" s="36">
        <v>45809</v>
      </c>
      <c r="F273" t="s">
        <v>40</v>
      </c>
      <c r="G273">
        <v>5</v>
      </c>
      <c r="H273">
        <v>15000</v>
      </c>
      <c r="I273">
        <v>76303</v>
      </c>
      <c r="J273">
        <v>7630</v>
      </c>
    </row>
    <row r="274" spans="1:10" x14ac:dyDescent="0.3">
      <c r="A274" t="s">
        <v>15</v>
      </c>
      <c r="B274" t="s">
        <v>88</v>
      </c>
      <c r="C274" t="s">
        <v>12</v>
      </c>
      <c r="D274" t="s">
        <v>220</v>
      </c>
      <c r="E274" s="36">
        <v>45680</v>
      </c>
      <c r="F274" t="s">
        <v>40</v>
      </c>
      <c r="G274">
        <v>6</v>
      </c>
      <c r="H274">
        <v>15000</v>
      </c>
      <c r="I274">
        <v>94182</v>
      </c>
      <c r="J274">
        <v>9418</v>
      </c>
    </row>
    <row r="275" spans="1:10" x14ac:dyDescent="0.3">
      <c r="A275" t="s">
        <v>15</v>
      </c>
      <c r="B275" t="s">
        <v>31</v>
      </c>
      <c r="C275" t="s">
        <v>12</v>
      </c>
      <c r="D275" t="s">
        <v>89</v>
      </c>
      <c r="E275" s="36">
        <v>45955</v>
      </c>
      <c r="F275" t="s">
        <v>40</v>
      </c>
      <c r="G275">
        <v>10</v>
      </c>
      <c r="H275">
        <v>15000</v>
      </c>
      <c r="I275">
        <v>150833</v>
      </c>
      <c r="J275">
        <v>15083</v>
      </c>
    </row>
    <row r="276" spans="1:10" x14ac:dyDescent="0.3">
      <c r="A276" t="s">
        <v>15</v>
      </c>
      <c r="B276" t="s">
        <v>84</v>
      </c>
      <c r="C276" t="s">
        <v>12</v>
      </c>
      <c r="D276" t="s">
        <v>139</v>
      </c>
      <c r="E276" s="36">
        <v>45804</v>
      </c>
      <c r="F276" t="s">
        <v>40</v>
      </c>
      <c r="G276">
        <v>1</v>
      </c>
      <c r="H276">
        <v>15000</v>
      </c>
      <c r="I276">
        <v>16004</v>
      </c>
      <c r="J276">
        <v>1600</v>
      </c>
    </row>
    <row r="277" spans="1:10" x14ac:dyDescent="0.3">
      <c r="A277" t="s">
        <v>15</v>
      </c>
      <c r="B277" t="s">
        <v>11</v>
      </c>
      <c r="C277" t="s">
        <v>12</v>
      </c>
      <c r="D277" t="s">
        <v>201</v>
      </c>
      <c r="E277" s="36">
        <v>45873</v>
      </c>
      <c r="F277" t="s">
        <v>33</v>
      </c>
      <c r="G277">
        <v>4</v>
      </c>
      <c r="H277">
        <v>45000</v>
      </c>
      <c r="I277">
        <v>179768</v>
      </c>
      <c r="J277">
        <v>32358</v>
      </c>
    </row>
    <row r="278" spans="1:10" x14ac:dyDescent="0.3">
      <c r="A278" t="s">
        <v>15</v>
      </c>
      <c r="B278" t="s">
        <v>51</v>
      </c>
      <c r="C278" t="s">
        <v>12</v>
      </c>
      <c r="D278" t="s">
        <v>162</v>
      </c>
      <c r="E278" s="36">
        <v>45925</v>
      </c>
      <c r="F278" t="s">
        <v>14</v>
      </c>
      <c r="G278">
        <v>2</v>
      </c>
      <c r="H278">
        <v>18500</v>
      </c>
      <c r="I278">
        <v>37731</v>
      </c>
      <c r="J278">
        <v>4528</v>
      </c>
    </row>
    <row r="279" spans="1:10" x14ac:dyDescent="0.3">
      <c r="A279" t="s">
        <v>15</v>
      </c>
      <c r="B279" t="s">
        <v>88</v>
      </c>
      <c r="C279" t="s">
        <v>12</v>
      </c>
      <c r="D279" t="s">
        <v>96</v>
      </c>
      <c r="E279" s="36">
        <v>45878</v>
      </c>
      <c r="F279" t="s">
        <v>33</v>
      </c>
      <c r="G279">
        <v>8</v>
      </c>
      <c r="H279">
        <v>45000</v>
      </c>
      <c r="I279">
        <v>356774</v>
      </c>
      <c r="J279">
        <v>64219</v>
      </c>
    </row>
    <row r="280" spans="1:10" x14ac:dyDescent="0.3">
      <c r="A280" t="s">
        <v>15</v>
      </c>
      <c r="B280" t="s">
        <v>84</v>
      </c>
      <c r="C280" t="s">
        <v>12</v>
      </c>
      <c r="D280" t="s">
        <v>67</v>
      </c>
      <c r="E280" s="36">
        <v>45707</v>
      </c>
      <c r="F280" t="s">
        <v>33</v>
      </c>
      <c r="G280">
        <v>10</v>
      </c>
      <c r="H280">
        <v>45000</v>
      </c>
      <c r="I280">
        <v>431041</v>
      </c>
      <c r="J280">
        <v>77587</v>
      </c>
    </row>
    <row r="281" spans="1:10" x14ac:dyDescent="0.3">
      <c r="A281" t="s">
        <v>15</v>
      </c>
      <c r="B281" t="s">
        <v>11</v>
      </c>
      <c r="C281" t="s">
        <v>12</v>
      </c>
      <c r="D281" t="s">
        <v>194</v>
      </c>
      <c r="E281" s="36">
        <v>45858</v>
      </c>
      <c r="F281" t="s">
        <v>33</v>
      </c>
      <c r="G281">
        <v>3</v>
      </c>
      <c r="H281">
        <v>45000</v>
      </c>
      <c r="I281">
        <v>139488</v>
      </c>
      <c r="J281">
        <v>25108</v>
      </c>
    </row>
    <row r="282" spans="1:10" x14ac:dyDescent="0.3">
      <c r="A282" t="s">
        <v>15</v>
      </c>
      <c r="B282" t="s">
        <v>11</v>
      </c>
      <c r="C282" t="s">
        <v>12</v>
      </c>
      <c r="D282" t="s">
        <v>230</v>
      </c>
      <c r="E282" s="36">
        <v>45884</v>
      </c>
      <c r="F282" t="s">
        <v>33</v>
      </c>
      <c r="G282">
        <v>8</v>
      </c>
      <c r="H282">
        <v>45000</v>
      </c>
      <c r="I282">
        <v>331179</v>
      </c>
      <c r="J282">
        <v>59612</v>
      </c>
    </row>
    <row r="283" spans="1:10" x14ac:dyDescent="0.3">
      <c r="A283" t="s">
        <v>15</v>
      </c>
      <c r="B283" t="s">
        <v>31</v>
      </c>
      <c r="C283" t="s">
        <v>12</v>
      </c>
      <c r="D283" t="s">
        <v>221</v>
      </c>
      <c r="E283" s="36">
        <v>45971</v>
      </c>
      <c r="F283" t="s">
        <v>14</v>
      </c>
      <c r="G283">
        <v>9</v>
      </c>
      <c r="H283">
        <v>18500</v>
      </c>
      <c r="I283">
        <v>182881</v>
      </c>
      <c r="J283">
        <v>21946</v>
      </c>
    </row>
    <row r="284" spans="1:10" x14ac:dyDescent="0.3">
      <c r="A284" t="s">
        <v>15</v>
      </c>
      <c r="B284" t="s">
        <v>51</v>
      </c>
      <c r="C284" t="s">
        <v>12</v>
      </c>
      <c r="D284" t="s">
        <v>48</v>
      </c>
      <c r="E284" s="36">
        <v>45984</v>
      </c>
      <c r="F284" t="s">
        <v>40</v>
      </c>
      <c r="G284">
        <v>3</v>
      </c>
      <c r="H284">
        <v>15000</v>
      </c>
      <c r="I284">
        <v>43908</v>
      </c>
      <c r="J284">
        <v>4391</v>
      </c>
    </row>
    <row r="285" spans="1:10" x14ac:dyDescent="0.3">
      <c r="A285" t="s">
        <v>15</v>
      </c>
      <c r="B285" t="s">
        <v>51</v>
      </c>
      <c r="C285" t="s">
        <v>12</v>
      </c>
      <c r="D285" t="s">
        <v>208</v>
      </c>
      <c r="E285" s="36">
        <v>45939</v>
      </c>
      <c r="F285" t="s">
        <v>33</v>
      </c>
      <c r="G285">
        <v>4</v>
      </c>
      <c r="H285">
        <v>45000</v>
      </c>
      <c r="I285">
        <v>172482</v>
      </c>
      <c r="J285">
        <v>31047</v>
      </c>
    </row>
    <row r="286" spans="1:10" x14ac:dyDescent="0.3">
      <c r="A286" t="s">
        <v>15</v>
      </c>
      <c r="B286" t="s">
        <v>19</v>
      </c>
      <c r="C286" t="s">
        <v>12</v>
      </c>
      <c r="D286" t="s">
        <v>83</v>
      </c>
      <c r="E286" s="36">
        <v>45967</v>
      </c>
      <c r="F286" t="s">
        <v>33</v>
      </c>
      <c r="G286">
        <v>10</v>
      </c>
      <c r="H286">
        <v>45000</v>
      </c>
      <c r="I286">
        <v>447713</v>
      </c>
      <c r="J286">
        <v>80588</v>
      </c>
    </row>
    <row r="287" spans="1:10" x14ac:dyDescent="0.3">
      <c r="A287" t="s">
        <v>15</v>
      </c>
      <c r="B287" t="s">
        <v>88</v>
      </c>
      <c r="C287" t="s">
        <v>12</v>
      </c>
      <c r="D287" t="s">
        <v>207</v>
      </c>
      <c r="E287" s="36">
        <v>45931</v>
      </c>
      <c r="F287" t="s">
        <v>33</v>
      </c>
      <c r="G287">
        <v>6</v>
      </c>
      <c r="H287">
        <v>45000</v>
      </c>
      <c r="I287">
        <v>287912</v>
      </c>
      <c r="J287">
        <v>51824</v>
      </c>
    </row>
    <row r="288" spans="1:10" x14ac:dyDescent="0.3">
      <c r="A288" t="s">
        <v>15</v>
      </c>
      <c r="B288" t="s">
        <v>11</v>
      </c>
      <c r="C288" t="s">
        <v>12</v>
      </c>
      <c r="D288" t="s">
        <v>126</v>
      </c>
      <c r="E288" s="36">
        <v>46020</v>
      </c>
      <c r="F288" t="s">
        <v>14</v>
      </c>
      <c r="G288">
        <v>4</v>
      </c>
      <c r="H288">
        <v>18500</v>
      </c>
      <c r="I288">
        <v>76630</v>
      </c>
      <c r="J288">
        <v>9196</v>
      </c>
    </row>
    <row r="289" spans="1:10" x14ac:dyDescent="0.3">
      <c r="A289" t="s">
        <v>15</v>
      </c>
      <c r="B289" t="s">
        <v>51</v>
      </c>
      <c r="C289" t="s">
        <v>12</v>
      </c>
      <c r="D289" t="s">
        <v>160</v>
      </c>
      <c r="E289" s="36">
        <v>45771</v>
      </c>
      <c r="F289" t="s">
        <v>33</v>
      </c>
      <c r="G289">
        <v>7</v>
      </c>
      <c r="H289">
        <v>45000</v>
      </c>
      <c r="I289">
        <v>287737</v>
      </c>
      <c r="J289">
        <v>51793</v>
      </c>
    </row>
    <row r="290" spans="1:10" x14ac:dyDescent="0.3">
      <c r="A290" t="s">
        <v>15</v>
      </c>
      <c r="B290" t="s">
        <v>77</v>
      </c>
      <c r="C290" t="s">
        <v>12</v>
      </c>
      <c r="D290" t="s">
        <v>149</v>
      </c>
      <c r="E290" s="36">
        <v>45819</v>
      </c>
      <c r="F290" t="s">
        <v>40</v>
      </c>
      <c r="G290">
        <v>10</v>
      </c>
      <c r="H290">
        <v>15000</v>
      </c>
      <c r="I290">
        <v>163058</v>
      </c>
      <c r="J290">
        <v>16306</v>
      </c>
    </row>
    <row r="291" spans="1:10" x14ac:dyDescent="0.3">
      <c r="A291" t="s">
        <v>15</v>
      </c>
      <c r="B291" t="s">
        <v>11</v>
      </c>
      <c r="C291" t="s">
        <v>12</v>
      </c>
      <c r="D291" t="s">
        <v>122</v>
      </c>
      <c r="E291" s="36">
        <v>46016</v>
      </c>
      <c r="F291" t="s">
        <v>33</v>
      </c>
      <c r="G291">
        <v>7</v>
      </c>
      <c r="H291">
        <v>45000</v>
      </c>
      <c r="I291">
        <v>286060</v>
      </c>
      <c r="J291">
        <v>51491</v>
      </c>
    </row>
    <row r="292" spans="1:10" x14ac:dyDescent="0.3">
      <c r="A292" t="s">
        <v>15</v>
      </c>
      <c r="B292" t="s">
        <v>11</v>
      </c>
      <c r="C292" t="s">
        <v>12</v>
      </c>
      <c r="D292" t="s">
        <v>261</v>
      </c>
      <c r="E292" s="36">
        <v>45660</v>
      </c>
      <c r="F292" t="s">
        <v>14</v>
      </c>
      <c r="G292">
        <v>6</v>
      </c>
      <c r="H292">
        <v>18500</v>
      </c>
      <c r="I292">
        <v>103525</v>
      </c>
      <c r="J292">
        <v>12423</v>
      </c>
    </row>
    <row r="293" spans="1:10" x14ac:dyDescent="0.3">
      <c r="A293" t="s">
        <v>15</v>
      </c>
      <c r="B293" t="s">
        <v>84</v>
      </c>
      <c r="C293" t="s">
        <v>12</v>
      </c>
      <c r="D293" t="s">
        <v>82</v>
      </c>
      <c r="E293" s="36">
        <v>45762</v>
      </c>
      <c r="F293" t="s">
        <v>40</v>
      </c>
      <c r="G293">
        <v>7</v>
      </c>
      <c r="H293">
        <v>15000</v>
      </c>
      <c r="I293">
        <v>97479</v>
      </c>
      <c r="J293">
        <v>9748</v>
      </c>
    </row>
    <row r="294" spans="1:10" x14ac:dyDescent="0.3">
      <c r="A294" t="s">
        <v>15</v>
      </c>
      <c r="B294" t="s">
        <v>84</v>
      </c>
      <c r="C294" t="s">
        <v>12</v>
      </c>
      <c r="D294" t="s">
        <v>120</v>
      </c>
      <c r="E294" s="36">
        <v>45937</v>
      </c>
      <c r="F294" t="s">
        <v>33</v>
      </c>
      <c r="G294">
        <v>1</v>
      </c>
      <c r="H294">
        <v>45000</v>
      </c>
      <c r="I294">
        <v>43502</v>
      </c>
      <c r="J294">
        <v>7830</v>
      </c>
    </row>
    <row r="295" spans="1:10" x14ac:dyDescent="0.3">
      <c r="A295" t="s">
        <v>15</v>
      </c>
      <c r="B295" t="s">
        <v>51</v>
      </c>
      <c r="C295" t="s">
        <v>12</v>
      </c>
      <c r="D295" t="s">
        <v>78</v>
      </c>
      <c r="E295" s="36">
        <v>45814</v>
      </c>
      <c r="F295" t="s">
        <v>40</v>
      </c>
      <c r="G295">
        <v>10</v>
      </c>
      <c r="H295">
        <v>15000</v>
      </c>
      <c r="I295">
        <v>139423</v>
      </c>
      <c r="J295">
        <v>13942</v>
      </c>
    </row>
    <row r="296" spans="1:10" x14ac:dyDescent="0.3">
      <c r="A296" t="s">
        <v>15</v>
      </c>
      <c r="B296" t="s">
        <v>19</v>
      </c>
      <c r="C296" t="s">
        <v>12</v>
      </c>
      <c r="D296" t="s">
        <v>215</v>
      </c>
      <c r="E296" s="36">
        <v>45996</v>
      </c>
      <c r="F296" t="s">
        <v>40</v>
      </c>
      <c r="G296">
        <v>5</v>
      </c>
      <c r="H296">
        <v>15000</v>
      </c>
      <c r="I296">
        <v>71770</v>
      </c>
      <c r="J296">
        <v>7177</v>
      </c>
    </row>
    <row r="297" spans="1:10" x14ac:dyDescent="0.3">
      <c r="A297" t="s">
        <v>15</v>
      </c>
      <c r="B297" t="s">
        <v>11</v>
      </c>
      <c r="C297" t="s">
        <v>12</v>
      </c>
      <c r="D297" t="s">
        <v>258</v>
      </c>
      <c r="E297" s="36">
        <v>45706</v>
      </c>
      <c r="F297" t="s">
        <v>40</v>
      </c>
      <c r="G297">
        <v>7</v>
      </c>
      <c r="H297">
        <v>15000</v>
      </c>
      <c r="I297">
        <v>108912</v>
      </c>
      <c r="J297">
        <v>10891</v>
      </c>
    </row>
    <row r="298" spans="1:10" x14ac:dyDescent="0.3">
      <c r="A298" t="s">
        <v>15</v>
      </c>
      <c r="B298" t="s">
        <v>16</v>
      </c>
      <c r="C298" t="s">
        <v>12</v>
      </c>
      <c r="D298" t="s">
        <v>142</v>
      </c>
      <c r="E298" s="36">
        <v>45851</v>
      </c>
      <c r="F298" t="s">
        <v>33</v>
      </c>
      <c r="G298">
        <v>5</v>
      </c>
      <c r="H298">
        <v>45000</v>
      </c>
      <c r="I298">
        <v>209828</v>
      </c>
      <c r="J298">
        <v>37769</v>
      </c>
    </row>
    <row r="299" spans="1:10" x14ac:dyDescent="0.3">
      <c r="A299" t="s">
        <v>15</v>
      </c>
      <c r="B299" t="s">
        <v>11</v>
      </c>
      <c r="C299" t="s">
        <v>12</v>
      </c>
      <c r="D299" t="s">
        <v>126</v>
      </c>
      <c r="E299" s="36">
        <v>45883</v>
      </c>
      <c r="F299" t="s">
        <v>14</v>
      </c>
      <c r="G299">
        <v>1</v>
      </c>
      <c r="H299">
        <v>18500</v>
      </c>
      <c r="I299">
        <v>18702</v>
      </c>
      <c r="J299">
        <v>2244</v>
      </c>
    </row>
    <row r="300" spans="1:10" x14ac:dyDescent="0.3">
      <c r="A300" t="s">
        <v>15</v>
      </c>
      <c r="B300" t="s">
        <v>88</v>
      </c>
      <c r="C300" t="s">
        <v>12</v>
      </c>
      <c r="D300" t="s">
        <v>234</v>
      </c>
      <c r="E300" s="36">
        <v>46010</v>
      </c>
      <c r="F300" t="s">
        <v>33</v>
      </c>
      <c r="G300">
        <v>1</v>
      </c>
      <c r="H300">
        <v>45000</v>
      </c>
      <c r="I300">
        <v>49024</v>
      </c>
      <c r="J300">
        <v>8824</v>
      </c>
    </row>
    <row r="301" spans="1:10" x14ac:dyDescent="0.3">
      <c r="A301" t="s">
        <v>15</v>
      </c>
      <c r="B301" t="s">
        <v>84</v>
      </c>
      <c r="C301" t="s">
        <v>12</v>
      </c>
      <c r="D301" t="s">
        <v>237</v>
      </c>
      <c r="E301" s="36">
        <v>45688</v>
      </c>
      <c r="F301" t="s">
        <v>40</v>
      </c>
      <c r="G301">
        <v>6</v>
      </c>
      <c r="H301">
        <v>15000</v>
      </c>
      <c r="I301">
        <v>87340</v>
      </c>
      <c r="J301">
        <v>8734</v>
      </c>
    </row>
    <row r="302" spans="1:10" x14ac:dyDescent="0.3">
      <c r="A302" t="s">
        <v>15</v>
      </c>
      <c r="B302" t="s">
        <v>88</v>
      </c>
      <c r="C302" t="s">
        <v>12</v>
      </c>
      <c r="D302" t="s">
        <v>196</v>
      </c>
      <c r="E302" s="36">
        <v>45915</v>
      </c>
      <c r="F302" t="s">
        <v>40</v>
      </c>
      <c r="G302">
        <v>3</v>
      </c>
      <c r="H302">
        <v>15000</v>
      </c>
      <c r="I302">
        <v>46299</v>
      </c>
      <c r="J302">
        <v>4630</v>
      </c>
    </row>
    <row r="303" spans="1:10" x14ac:dyDescent="0.3">
      <c r="A303" t="s">
        <v>15</v>
      </c>
      <c r="B303" t="s">
        <v>88</v>
      </c>
      <c r="C303" t="s">
        <v>12</v>
      </c>
      <c r="D303" t="s">
        <v>78</v>
      </c>
      <c r="E303" s="36">
        <v>45964</v>
      </c>
      <c r="F303" t="s">
        <v>40</v>
      </c>
      <c r="G303">
        <v>8</v>
      </c>
      <c r="H303">
        <v>15000</v>
      </c>
      <c r="I303">
        <v>109217</v>
      </c>
      <c r="J303">
        <v>10922</v>
      </c>
    </row>
    <row r="304" spans="1:10" x14ac:dyDescent="0.3">
      <c r="A304" t="s">
        <v>15</v>
      </c>
      <c r="B304" t="s">
        <v>51</v>
      </c>
      <c r="C304" t="s">
        <v>12</v>
      </c>
      <c r="D304" t="s">
        <v>86</v>
      </c>
      <c r="E304" s="36">
        <v>45744</v>
      </c>
      <c r="F304" t="s">
        <v>33</v>
      </c>
      <c r="G304">
        <v>4</v>
      </c>
      <c r="H304">
        <v>45000</v>
      </c>
      <c r="I304">
        <v>167012</v>
      </c>
      <c r="J304">
        <v>30062</v>
      </c>
    </row>
    <row r="305" spans="1:10" x14ac:dyDescent="0.3">
      <c r="A305" t="s">
        <v>15</v>
      </c>
      <c r="B305" t="s">
        <v>84</v>
      </c>
      <c r="C305" t="s">
        <v>12</v>
      </c>
      <c r="D305" t="s">
        <v>208</v>
      </c>
      <c r="E305" s="36">
        <v>45811</v>
      </c>
      <c r="F305" t="s">
        <v>40</v>
      </c>
      <c r="G305">
        <v>6</v>
      </c>
      <c r="H305">
        <v>15000</v>
      </c>
      <c r="I305">
        <v>96419</v>
      </c>
      <c r="J305">
        <v>9642</v>
      </c>
    </row>
    <row r="306" spans="1:10" x14ac:dyDescent="0.3">
      <c r="A306" t="s">
        <v>15</v>
      </c>
      <c r="B306" t="s">
        <v>16</v>
      </c>
      <c r="C306" t="s">
        <v>12</v>
      </c>
      <c r="D306" t="s">
        <v>70</v>
      </c>
      <c r="E306" s="36">
        <v>45727</v>
      </c>
      <c r="F306" t="s">
        <v>40</v>
      </c>
      <c r="G306">
        <v>3</v>
      </c>
      <c r="H306">
        <v>15000</v>
      </c>
      <c r="I306">
        <v>47824</v>
      </c>
      <c r="J306">
        <v>4782</v>
      </c>
    </row>
    <row r="307" spans="1:10" x14ac:dyDescent="0.3">
      <c r="A307" t="s">
        <v>15</v>
      </c>
      <c r="B307" t="s">
        <v>77</v>
      </c>
      <c r="C307" t="s">
        <v>12</v>
      </c>
      <c r="D307" t="s">
        <v>227</v>
      </c>
      <c r="E307" s="36">
        <v>46022</v>
      </c>
      <c r="F307" t="s">
        <v>33</v>
      </c>
      <c r="G307">
        <v>3</v>
      </c>
      <c r="H307">
        <v>45000</v>
      </c>
      <c r="I307">
        <v>130323</v>
      </c>
      <c r="J307">
        <v>23458</v>
      </c>
    </row>
    <row r="308" spans="1:10" x14ac:dyDescent="0.3">
      <c r="A308" t="s">
        <v>15</v>
      </c>
      <c r="B308" t="s">
        <v>51</v>
      </c>
      <c r="C308" t="s">
        <v>12</v>
      </c>
      <c r="D308" t="s">
        <v>259</v>
      </c>
      <c r="E308" s="36">
        <v>45899</v>
      </c>
      <c r="F308" t="s">
        <v>40</v>
      </c>
      <c r="G308">
        <v>2</v>
      </c>
      <c r="H308">
        <v>15000</v>
      </c>
      <c r="I308">
        <v>30064</v>
      </c>
      <c r="J308">
        <v>3006</v>
      </c>
    </row>
    <row r="309" spans="1:10" x14ac:dyDescent="0.3">
      <c r="A309" t="s">
        <v>15</v>
      </c>
      <c r="B309" t="s">
        <v>88</v>
      </c>
      <c r="C309" t="s">
        <v>12</v>
      </c>
      <c r="D309" t="s">
        <v>91</v>
      </c>
      <c r="E309" s="36">
        <v>45812</v>
      </c>
      <c r="F309" t="s">
        <v>40</v>
      </c>
      <c r="G309">
        <v>3</v>
      </c>
      <c r="H309">
        <v>15000</v>
      </c>
      <c r="I309">
        <v>45324</v>
      </c>
      <c r="J309">
        <v>4532</v>
      </c>
    </row>
    <row r="310" spans="1:10" x14ac:dyDescent="0.3">
      <c r="A310" t="s">
        <v>15</v>
      </c>
      <c r="B310" t="s">
        <v>16</v>
      </c>
      <c r="C310" t="s">
        <v>12</v>
      </c>
      <c r="D310" t="s">
        <v>116</v>
      </c>
      <c r="E310" s="36">
        <v>45918</v>
      </c>
      <c r="F310" t="s">
        <v>33</v>
      </c>
      <c r="G310">
        <v>8</v>
      </c>
      <c r="H310">
        <v>45000</v>
      </c>
      <c r="I310">
        <v>378753</v>
      </c>
      <c r="J310">
        <v>68176</v>
      </c>
    </row>
    <row r="311" spans="1:10" x14ac:dyDescent="0.3">
      <c r="A311" t="s">
        <v>15</v>
      </c>
      <c r="B311" t="s">
        <v>31</v>
      </c>
      <c r="C311" t="s">
        <v>12</v>
      </c>
      <c r="D311" t="s">
        <v>123</v>
      </c>
      <c r="E311" s="36">
        <v>45837</v>
      </c>
      <c r="F311" t="s">
        <v>33</v>
      </c>
      <c r="G311">
        <v>2</v>
      </c>
      <c r="H311">
        <v>45000</v>
      </c>
      <c r="I311">
        <v>97730</v>
      </c>
      <c r="J311">
        <v>17591</v>
      </c>
    </row>
    <row r="312" spans="1:10" x14ac:dyDescent="0.3">
      <c r="A312" t="s">
        <v>15</v>
      </c>
      <c r="B312" t="s">
        <v>51</v>
      </c>
      <c r="C312" t="s">
        <v>12</v>
      </c>
      <c r="D312" t="s">
        <v>104</v>
      </c>
      <c r="E312" s="36">
        <v>45730</v>
      </c>
      <c r="F312" t="s">
        <v>40</v>
      </c>
      <c r="G312">
        <v>7</v>
      </c>
      <c r="H312">
        <v>15000</v>
      </c>
      <c r="I312">
        <v>101911</v>
      </c>
      <c r="J312">
        <v>10191</v>
      </c>
    </row>
    <row r="313" spans="1:10" x14ac:dyDescent="0.3">
      <c r="A313" t="s">
        <v>15</v>
      </c>
      <c r="B313" t="s">
        <v>77</v>
      </c>
      <c r="C313" t="s">
        <v>12</v>
      </c>
      <c r="D313" t="s">
        <v>90</v>
      </c>
      <c r="E313" s="36">
        <v>45998</v>
      </c>
      <c r="F313" t="s">
        <v>40</v>
      </c>
      <c r="G313">
        <v>9</v>
      </c>
      <c r="H313">
        <v>15000</v>
      </c>
      <c r="I313">
        <v>144301</v>
      </c>
      <c r="J313">
        <v>14430</v>
      </c>
    </row>
    <row r="314" spans="1:10" x14ac:dyDescent="0.3">
      <c r="A314" t="s">
        <v>15</v>
      </c>
      <c r="B314" t="s">
        <v>77</v>
      </c>
      <c r="C314" t="s">
        <v>12</v>
      </c>
      <c r="D314" t="s">
        <v>171</v>
      </c>
      <c r="E314" s="36">
        <v>45941</v>
      </c>
      <c r="F314" t="s">
        <v>33</v>
      </c>
      <c r="G314">
        <v>7</v>
      </c>
      <c r="H314">
        <v>45000</v>
      </c>
      <c r="I314">
        <v>286889</v>
      </c>
      <c r="J314">
        <v>51640</v>
      </c>
    </row>
    <row r="315" spans="1:10" x14ac:dyDescent="0.3">
      <c r="A315" t="s">
        <v>15</v>
      </c>
      <c r="B315" t="s">
        <v>88</v>
      </c>
      <c r="C315" t="s">
        <v>12</v>
      </c>
      <c r="D315" t="s">
        <v>58</v>
      </c>
      <c r="E315" s="36">
        <v>45782</v>
      </c>
      <c r="F315" t="s">
        <v>40</v>
      </c>
      <c r="G315">
        <v>2</v>
      </c>
      <c r="H315">
        <v>15000</v>
      </c>
      <c r="I315">
        <v>31306</v>
      </c>
      <c r="J315">
        <v>3131</v>
      </c>
    </row>
    <row r="316" spans="1:10" x14ac:dyDescent="0.3">
      <c r="A316" t="s">
        <v>15</v>
      </c>
      <c r="B316" t="s">
        <v>31</v>
      </c>
      <c r="C316" t="s">
        <v>12</v>
      </c>
      <c r="D316" t="s">
        <v>53</v>
      </c>
      <c r="E316" s="36">
        <v>46017</v>
      </c>
      <c r="F316" t="s">
        <v>14</v>
      </c>
      <c r="G316">
        <v>7</v>
      </c>
      <c r="H316">
        <v>18500</v>
      </c>
      <c r="I316">
        <v>123061</v>
      </c>
      <c r="J316">
        <v>14767</v>
      </c>
    </row>
    <row r="317" spans="1:10" x14ac:dyDescent="0.3">
      <c r="A317" t="s">
        <v>15</v>
      </c>
      <c r="B317" t="s">
        <v>84</v>
      </c>
      <c r="C317" t="s">
        <v>12</v>
      </c>
      <c r="D317" t="s">
        <v>43</v>
      </c>
      <c r="E317" s="36">
        <v>45669</v>
      </c>
      <c r="F317" t="s">
        <v>14</v>
      </c>
      <c r="G317">
        <v>5</v>
      </c>
      <c r="H317">
        <v>18500</v>
      </c>
      <c r="I317">
        <v>97102</v>
      </c>
      <c r="J317">
        <v>11652</v>
      </c>
    </row>
    <row r="318" spans="1:10" x14ac:dyDescent="0.3">
      <c r="A318" t="s">
        <v>15</v>
      </c>
      <c r="B318" t="s">
        <v>51</v>
      </c>
      <c r="C318" t="s">
        <v>12</v>
      </c>
      <c r="D318" t="s">
        <v>165</v>
      </c>
      <c r="E318" s="36">
        <v>45690</v>
      </c>
      <c r="F318" t="s">
        <v>14</v>
      </c>
      <c r="G318">
        <v>2</v>
      </c>
      <c r="H318">
        <v>18500</v>
      </c>
      <c r="I318">
        <v>36137</v>
      </c>
      <c r="J318">
        <v>4336</v>
      </c>
    </row>
    <row r="319" spans="1:10" x14ac:dyDescent="0.3">
      <c r="A319" t="s">
        <v>15</v>
      </c>
      <c r="B319" t="s">
        <v>51</v>
      </c>
      <c r="C319" t="s">
        <v>12</v>
      </c>
      <c r="D319" t="s">
        <v>200</v>
      </c>
      <c r="E319" s="36">
        <v>46022</v>
      </c>
      <c r="F319" t="s">
        <v>33</v>
      </c>
      <c r="G319">
        <v>7</v>
      </c>
      <c r="H319">
        <v>45000</v>
      </c>
      <c r="I319">
        <v>343076</v>
      </c>
      <c r="J319">
        <v>61754</v>
      </c>
    </row>
    <row r="320" spans="1:10" x14ac:dyDescent="0.3">
      <c r="A320" t="s">
        <v>15</v>
      </c>
      <c r="B320" t="s">
        <v>16</v>
      </c>
      <c r="C320" t="s">
        <v>12</v>
      </c>
      <c r="D320" t="s">
        <v>259</v>
      </c>
      <c r="E320" s="36">
        <v>45848</v>
      </c>
      <c r="F320" t="s">
        <v>14</v>
      </c>
      <c r="G320">
        <v>9</v>
      </c>
      <c r="H320">
        <v>18500</v>
      </c>
      <c r="I320">
        <v>176731</v>
      </c>
      <c r="J320">
        <v>21208</v>
      </c>
    </row>
    <row r="321" spans="1:10" x14ac:dyDescent="0.3">
      <c r="A321" t="s">
        <v>15</v>
      </c>
      <c r="B321" t="s">
        <v>77</v>
      </c>
      <c r="C321" t="s">
        <v>12</v>
      </c>
      <c r="D321" t="s">
        <v>253</v>
      </c>
      <c r="E321" s="36">
        <v>45845</v>
      </c>
      <c r="F321" t="s">
        <v>33</v>
      </c>
      <c r="G321">
        <v>7</v>
      </c>
      <c r="H321">
        <v>45000</v>
      </c>
      <c r="I321">
        <v>334124</v>
      </c>
      <c r="J321">
        <v>60142</v>
      </c>
    </row>
    <row r="322" spans="1:10" x14ac:dyDescent="0.3">
      <c r="A322" t="s">
        <v>15</v>
      </c>
      <c r="B322" t="s">
        <v>84</v>
      </c>
      <c r="C322" t="s">
        <v>12</v>
      </c>
      <c r="D322" t="s">
        <v>89</v>
      </c>
      <c r="E322" s="36">
        <v>45816</v>
      </c>
      <c r="F322" t="s">
        <v>14</v>
      </c>
      <c r="G322">
        <v>5</v>
      </c>
      <c r="H322">
        <v>18500</v>
      </c>
      <c r="I322">
        <v>95533</v>
      </c>
      <c r="J322">
        <v>11464</v>
      </c>
    </row>
    <row r="323" spans="1:10" x14ac:dyDescent="0.3">
      <c r="A323" t="s">
        <v>15</v>
      </c>
      <c r="B323" t="s">
        <v>11</v>
      </c>
      <c r="C323" t="s">
        <v>12</v>
      </c>
      <c r="D323" t="s">
        <v>48</v>
      </c>
      <c r="E323" s="36">
        <v>45794</v>
      </c>
      <c r="F323" t="s">
        <v>33</v>
      </c>
      <c r="G323">
        <v>2</v>
      </c>
      <c r="H323">
        <v>45000</v>
      </c>
      <c r="I323">
        <v>89572</v>
      </c>
      <c r="J323">
        <v>16123</v>
      </c>
    </row>
    <row r="324" spans="1:10" x14ac:dyDescent="0.3">
      <c r="A324" t="s">
        <v>15</v>
      </c>
      <c r="B324" t="s">
        <v>77</v>
      </c>
      <c r="C324" t="s">
        <v>12</v>
      </c>
      <c r="D324" t="s">
        <v>89</v>
      </c>
      <c r="E324" s="36">
        <v>45684</v>
      </c>
      <c r="F324" t="s">
        <v>40</v>
      </c>
      <c r="G324">
        <v>3</v>
      </c>
      <c r="H324">
        <v>15000</v>
      </c>
      <c r="I324">
        <v>44906</v>
      </c>
      <c r="J324">
        <v>4491</v>
      </c>
    </row>
    <row r="325" spans="1:10" x14ac:dyDescent="0.3">
      <c r="A325" t="s">
        <v>15</v>
      </c>
      <c r="B325" t="s">
        <v>51</v>
      </c>
      <c r="C325" t="s">
        <v>12</v>
      </c>
      <c r="D325" t="s">
        <v>48</v>
      </c>
      <c r="E325" s="36">
        <v>46011</v>
      </c>
      <c r="F325" t="s">
        <v>33</v>
      </c>
      <c r="G325">
        <v>1</v>
      </c>
      <c r="H325">
        <v>45000</v>
      </c>
      <c r="I325">
        <v>46596</v>
      </c>
      <c r="J325">
        <v>8387</v>
      </c>
    </row>
    <row r="326" spans="1:10" x14ac:dyDescent="0.3">
      <c r="A326" t="s">
        <v>15</v>
      </c>
      <c r="B326" t="s">
        <v>77</v>
      </c>
      <c r="C326" t="s">
        <v>12</v>
      </c>
      <c r="D326" t="s">
        <v>221</v>
      </c>
      <c r="E326" s="36">
        <v>45870</v>
      </c>
      <c r="F326" t="s">
        <v>14</v>
      </c>
      <c r="G326">
        <v>2</v>
      </c>
      <c r="H326">
        <v>18500</v>
      </c>
      <c r="I326">
        <v>34060</v>
      </c>
      <c r="J326">
        <v>4087</v>
      </c>
    </row>
    <row r="327" spans="1:10" x14ac:dyDescent="0.3">
      <c r="A327" t="s">
        <v>15</v>
      </c>
      <c r="B327" t="s">
        <v>19</v>
      </c>
      <c r="C327" t="s">
        <v>12</v>
      </c>
      <c r="D327" t="s">
        <v>259</v>
      </c>
      <c r="E327" s="36">
        <v>45944</v>
      </c>
      <c r="F327" t="s">
        <v>40</v>
      </c>
      <c r="G327">
        <v>6</v>
      </c>
      <c r="H327">
        <v>15000</v>
      </c>
      <c r="I327">
        <v>84427</v>
      </c>
      <c r="J327">
        <v>8443</v>
      </c>
    </row>
    <row r="328" spans="1:10" x14ac:dyDescent="0.3">
      <c r="A328" t="s">
        <v>15</v>
      </c>
      <c r="B328" t="s">
        <v>31</v>
      </c>
      <c r="C328" t="s">
        <v>12</v>
      </c>
      <c r="D328" t="s">
        <v>215</v>
      </c>
      <c r="E328" s="36">
        <v>45916</v>
      </c>
      <c r="F328" t="s">
        <v>33</v>
      </c>
      <c r="G328">
        <v>4</v>
      </c>
      <c r="H328">
        <v>45000</v>
      </c>
      <c r="I328">
        <v>193193</v>
      </c>
      <c r="J328">
        <v>34775</v>
      </c>
    </row>
    <row r="329" spans="1:10" x14ac:dyDescent="0.3">
      <c r="A329" t="s">
        <v>15</v>
      </c>
      <c r="B329" t="s">
        <v>84</v>
      </c>
      <c r="C329" t="s">
        <v>12</v>
      </c>
      <c r="D329" t="s">
        <v>125</v>
      </c>
      <c r="E329" s="36">
        <v>45900</v>
      </c>
      <c r="F329" t="s">
        <v>33</v>
      </c>
      <c r="G329">
        <v>6</v>
      </c>
      <c r="H329">
        <v>45000</v>
      </c>
      <c r="I329">
        <v>275094</v>
      </c>
      <c r="J329">
        <v>49517</v>
      </c>
    </row>
    <row r="330" spans="1:10" x14ac:dyDescent="0.3">
      <c r="A330" t="s">
        <v>15</v>
      </c>
      <c r="B330" t="s">
        <v>88</v>
      </c>
      <c r="C330" t="s">
        <v>12</v>
      </c>
      <c r="D330" t="s">
        <v>218</v>
      </c>
      <c r="E330" s="36">
        <v>45748</v>
      </c>
      <c r="F330" t="s">
        <v>14</v>
      </c>
      <c r="G330">
        <v>10</v>
      </c>
      <c r="H330">
        <v>18500</v>
      </c>
      <c r="I330">
        <v>168022</v>
      </c>
      <c r="J330">
        <v>20163</v>
      </c>
    </row>
    <row r="331" spans="1:10" x14ac:dyDescent="0.3">
      <c r="A331" t="s">
        <v>15</v>
      </c>
      <c r="B331" t="s">
        <v>31</v>
      </c>
      <c r="C331" t="s">
        <v>12</v>
      </c>
      <c r="D331" t="s">
        <v>73</v>
      </c>
      <c r="E331" s="36">
        <v>45771</v>
      </c>
      <c r="F331" t="s">
        <v>33</v>
      </c>
      <c r="G331">
        <v>1</v>
      </c>
      <c r="H331">
        <v>45000</v>
      </c>
      <c r="I331">
        <v>45265</v>
      </c>
      <c r="J331">
        <v>8148</v>
      </c>
    </row>
    <row r="332" spans="1:10" x14ac:dyDescent="0.3">
      <c r="A332" t="s">
        <v>15</v>
      </c>
      <c r="B332" t="s">
        <v>84</v>
      </c>
      <c r="C332" t="s">
        <v>12</v>
      </c>
      <c r="D332" t="s">
        <v>172</v>
      </c>
      <c r="E332" s="36">
        <v>45820</v>
      </c>
      <c r="F332" t="s">
        <v>33</v>
      </c>
      <c r="G332">
        <v>3</v>
      </c>
      <c r="H332">
        <v>45000</v>
      </c>
      <c r="I332">
        <v>121640</v>
      </c>
      <c r="J332">
        <v>21895</v>
      </c>
    </row>
    <row r="333" spans="1:10" x14ac:dyDescent="0.3">
      <c r="A333" t="s">
        <v>15</v>
      </c>
      <c r="B333" t="s">
        <v>16</v>
      </c>
      <c r="C333" t="s">
        <v>12</v>
      </c>
      <c r="D333" t="s">
        <v>133</v>
      </c>
      <c r="E333" s="36">
        <v>45882</v>
      </c>
      <c r="F333" t="s">
        <v>14</v>
      </c>
      <c r="G333">
        <v>2</v>
      </c>
      <c r="H333">
        <v>18500</v>
      </c>
      <c r="I333">
        <v>34703</v>
      </c>
      <c r="J333">
        <v>4164</v>
      </c>
    </row>
    <row r="334" spans="1:10" x14ac:dyDescent="0.3">
      <c r="A334" t="s">
        <v>15</v>
      </c>
      <c r="B334" t="s">
        <v>31</v>
      </c>
      <c r="C334" t="s">
        <v>12</v>
      </c>
      <c r="D334" t="s">
        <v>164</v>
      </c>
      <c r="E334" s="36">
        <v>45784</v>
      </c>
      <c r="F334" t="s">
        <v>33</v>
      </c>
      <c r="G334">
        <v>6</v>
      </c>
      <c r="H334">
        <v>45000</v>
      </c>
      <c r="I334">
        <v>248264</v>
      </c>
      <c r="J334">
        <v>44688</v>
      </c>
    </row>
    <row r="335" spans="1:10" x14ac:dyDescent="0.3">
      <c r="A335" t="s">
        <v>15</v>
      </c>
      <c r="B335" t="s">
        <v>16</v>
      </c>
      <c r="C335" t="s">
        <v>12</v>
      </c>
      <c r="D335" t="s">
        <v>75</v>
      </c>
      <c r="E335" s="36">
        <v>45931</v>
      </c>
      <c r="F335" t="s">
        <v>40</v>
      </c>
      <c r="G335">
        <v>9</v>
      </c>
      <c r="H335">
        <v>15000</v>
      </c>
      <c r="I335">
        <v>136260</v>
      </c>
      <c r="J335">
        <v>13626</v>
      </c>
    </row>
    <row r="336" spans="1:10" x14ac:dyDescent="0.3">
      <c r="A336" t="s">
        <v>15</v>
      </c>
      <c r="B336" t="s">
        <v>84</v>
      </c>
      <c r="C336" t="s">
        <v>12</v>
      </c>
      <c r="D336" t="s">
        <v>95</v>
      </c>
      <c r="E336" s="36">
        <v>45788</v>
      </c>
      <c r="F336" t="s">
        <v>40</v>
      </c>
      <c r="G336">
        <v>1</v>
      </c>
      <c r="H336">
        <v>15000</v>
      </c>
      <c r="I336">
        <v>13579</v>
      </c>
      <c r="J336">
        <v>1358</v>
      </c>
    </row>
    <row r="337" spans="1:10" x14ac:dyDescent="0.3">
      <c r="A337" t="s">
        <v>15</v>
      </c>
      <c r="B337" t="s">
        <v>19</v>
      </c>
      <c r="C337" t="s">
        <v>12</v>
      </c>
      <c r="D337" t="s">
        <v>71</v>
      </c>
      <c r="E337" s="36">
        <v>45750</v>
      </c>
      <c r="F337" t="s">
        <v>36</v>
      </c>
      <c r="G337">
        <v>5</v>
      </c>
      <c r="H337">
        <v>55000</v>
      </c>
      <c r="I337">
        <v>249295</v>
      </c>
      <c r="J337">
        <v>54845</v>
      </c>
    </row>
    <row r="338" spans="1:10" x14ac:dyDescent="0.3">
      <c r="A338" t="s">
        <v>15</v>
      </c>
      <c r="B338" t="s">
        <v>19</v>
      </c>
      <c r="C338" t="s">
        <v>12</v>
      </c>
      <c r="D338" t="s">
        <v>95</v>
      </c>
      <c r="E338" s="36">
        <v>45799</v>
      </c>
      <c r="F338" t="s">
        <v>36</v>
      </c>
      <c r="G338">
        <v>8</v>
      </c>
      <c r="H338">
        <v>55000</v>
      </c>
      <c r="I338">
        <v>423681</v>
      </c>
      <c r="J338">
        <v>93210</v>
      </c>
    </row>
    <row r="339" spans="1:10" x14ac:dyDescent="0.3">
      <c r="A339" t="s">
        <v>15</v>
      </c>
      <c r="B339" t="s">
        <v>88</v>
      </c>
      <c r="C339" t="s">
        <v>12</v>
      </c>
      <c r="D339" t="s">
        <v>110</v>
      </c>
      <c r="E339" s="36">
        <v>45753</v>
      </c>
      <c r="F339" t="s">
        <v>36</v>
      </c>
      <c r="G339">
        <v>7</v>
      </c>
      <c r="H339">
        <v>55000</v>
      </c>
      <c r="I339">
        <v>386908</v>
      </c>
      <c r="J339">
        <v>85120</v>
      </c>
    </row>
    <row r="340" spans="1:10" x14ac:dyDescent="0.3">
      <c r="A340" t="s">
        <v>15</v>
      </c>
      <c r="B340" t="s">
        <v>31</v>
      </c>
      <c r="C340" t="s">
        <v>12</v>
      </c>
      <c r="D340" t="s">
        <v>114</v>
      </c>
      <c r="E340" s="36">
        <v>45837</v>
      </c>
      <c r="F340" t="s">
        <v>36</v>
      </c>
      <c r="G340">
        <v>7</v>
      </c>
      <c r="H340">
        <v>55000</v>
      </c>
      <c r="I340">
        <v>356017</v>
      </c>
      <c r="J340">
        <v>78324</v>
      </c>
    </row>
    <row r="341" spans="1:10" x14ac:dyDescent="0.3">
      <c r="A341" t="s">
        <v>15</v>
      </c>
      <c r="B341" t="s">
        <v>51</v>
      </c>
      <c r="C341" t="s">
        <v>12</v>
      </c>
      <c r="D341" t="s">
        <v>117</v>
      </c>
      <c r="E341" s="36">
        <v>45951</v>
      </c>
      <c r="F341" t="s">
        <v>36</v>
      </c>
      <c r="G341">
        <v>4</v>
      </c>
      <c r="H341">
        <v>55000</v>
      </c>
      <c r="I341">
        <v>212159</v>
      </c>
      <c r="J341">
        <v>46675</v>
      </c>
    </row>
    <row r="342" spans="1:10" x14ac:dyDescent="0.3">
      <c r="A342" t="s">
        <v>15</v>
      </c>
      <c r="B342" t="s">
        <v>51</v>
      </c>
      <c r="C342" t="s">
        <v>12</v>
      </c>
      <c r="D342" t="s">
        <v>134</v>
      </c>
      <c r="E342" s="36">
        <v>45935</v>
      </c>
      <c r="F342" t="s">
        <v>36</v>
      </c>
      <c r="G342">
        <v>2</v>
      </c>
      <c r="H342">
        <v>55000</v>
      </c>
      <c r="I342">
        <v>104415</v>
      </c>
      <c r="J342">
        <v>22971</v>
      </c>
    </row>
    <row r="343" spans="1:10" x14ac:dyDescent="0.3">
      <c r="A343" t="s">
        <v>15</v>
      </c>
      <c r="B343" t="s">
        <v>16</v>
      </c>
      <c r="C343" t="s">
        <v>12</v>
      </c>
      <c r="D343" t="s">
        <v>96</v>
      </c>
      <c r="E343" s="36">
        <v>45949</v>
      </c>
      <c r="F343" t="s">
        <v>36</v>
      </c>
      <c r="G343">
        <v>1</v>
      </c>
      <c r="H343">
        <v>55000</v>
      </c>
      <c r="I343">
        <v>52450</v>
      </c>
      <c r="J343">
        <v>11539</v>
      </c>
    </row>
    <row r="344" spans="1:10" x14ac:dyDescent="0.3">
      <c r="A344" t="s">
        <v>15</v>
      </c>
      <c r="B344" t="s">
        <v>16</v>
      </c>
      <c r="C344" t="s">
        <v>12</v>
      </c>
      <c r="D344" t="s">
        <v>159</v>
      </c>
      <c r="E344" s="36">
        <v>45978</v>
      </c>
      <c r="F344" t="s">
        <v>36</v>
      </c>
      <c r="G344">
        <v>5</v>
      </c>
      <c r="H344">
        <v>55000</v>
      </c>
      <c r="I344">
        <v>253217</v>
      </c>
      <c r="J344">
        <v>55708</v>
      </c>
    </row>
    <row r="345" spans="1:10" x14ac:dyDescent="0.3">
      <c r="A345" t="s">
        <v>15</v>
      </c>
      <c r="B345" t="s">
        <v>16</v>
      </c>
      <c r="C345" t="s">
        <v>12</v>
      </c>
      <c r="D345" t="s">
        <v>171</v>
      </c>
      <c r="E345" s="36">
        <v>45796</v>
      </c>
      <c r="F345" t="s">
        <v>36</v>
      </c>
      <c r="G345">
        <v>7</v>
      </c>
      <c r="H345">
        <v>55000</v>
      </c>
      <c r="I345">
        <v>348224</v>
      </c>
      <c r="J345">
        <v>76609</v>
      </c>
    </row>
    <row r="346" spans="1:10" x14ac:dyDescent="0.3">
      <c r="A346" t="s">
        <v>15</v>
      </c>
      <c r="B346" t="s">
        <v>84</v>
      </c>
      <c r="C346" t="s">
        <v>12</v>
      </c>
      <c r="D346" t="s">
        <v>192</v>
      </c>
      <c r="E346" s="36">
        <v>45663</v>
      </c>
      <c r="F346" t="s">
        <v>36</v>
      </c>
      <c r="G346">
        <v>3</v>
      </c>
      <c r="H346">
        <v>55000</v>
      </c>
      <c r="I346">
        <v>164036</v>
      </c>
      <c r="J346">
        <v>36088</v>
      </c>
    </row>
    <row r="347" spans="1:10" x14ac:dyDescent="0.3">
      <c r="A347" t="s">
        <v>15</v>
      </c>
      <c r="B347" t="s">
        <v>84</v>
      </c>
      <c r="C347" t="s">
        <v>12</v>
      </c>
      <c r="D347" t="s">
        <v>53</v>
      </c>
      <c r="E347" s="36">
        <v>45923</v>
      </c>
      <c r="F347" t="s">
        <v>36</v>
      </c>
      <c r="G347">
        <v>10</v>
      </c>
      <c r="H347">
        <v>55000</v>
      </c>
      <c r="I347">
        <v>520026</v>
      </c>
      <c r="J347">
        <v>114406</v>
      </c>
    </row>
    <row r="348" spans="1:10" x14ac:dyDescent="0.3">
      <c r="A348" t="s">
        <v>15</v>
      </c>
      <c r="B348" t="s">
        <v>19</v>
      </c>
      <c r="C348" t="s">
        <v>12</v>
      </c>
      <c r="D348" t="s">
        <v>172</v>
      </c>
      <c r="E348" s="36">
        <v>45837</v>
      </c>
      <c r="F348" t="s">
        <v>36</v>
      </c>
      <c r="G348">
        <v>7</v>
      </c>
      <c r="H348">
        <v>55000</v>
      </c>
      <c r="I348">
        <v>351294</v>
      </c>
      <c r="J348">
        <v>77285</v>
      </c>
    </row>
    <row r="349" spans="1:10" x14ac:dyDescent="0.3">
      <c r="A349" t="s">
        <v>15</v>
      </c>
      <c r="B349" t="s">
        <v>77</v>
      </c>
      <c r="C349" t="s">
        <v>12</v>
      </c>
      <c r="D349" t="s">
        <v>209</v>
      </c>
      <c r="E349" s="36">
        <v>45991</v>
      </c>
      <c r="F349" t="s">
        <v>36</v>
      </c>
      <c r="G349">
        <v>10</v>
      </c>
      <c r="H349">
        <v>55000</v>
      </c>
      <c r="I349">
        <v>505719</v>
      </c>
      <c r="J349">
        <v>111258</v>
      </c>
    </row>
    <row r="350" spans="1:10" x14ac:dyDescent="0.3">
      <c r="A350" t="s">
        <v>15</v>
      </c>
      <c r="B350" t="s">
        <v>51</v>
      </c>
      <c r="C350" t="s">
        <v>12</v>
      </c>
      <c r="D350" t="s">
        <v>210</v>
      </c>
      <c r="E350" s="36">
        <v>45929</v>
      </c>
      <c r="F350" t="s">
        <v>36</v>
      </c>
      <c r="G350">
        <v>2</v>
      </c>
      <c r="H350">
        <v>55000</v>
      </c>
      <c r="I350">
        <v>118200</v>
      </c>
      <c r="J350">
        <v>26004</v>
      </c>
    </row>
    <row r="351" spans="1:10" x14ac:dyDescent="0.3">
      <c r="A351" t="s">
        <v>15</v>
      </c>
      <c r="B351" t="s">
        <v>31</v>
      </c>
      <c r="C351" t="s">
        <v>12</v>
      </c>
      <c r="D351" t="s">
        <v>211</v>
      </c>
      <c r="E351" s="36">
        <v>45813</v>
      </c>
      <c r="F351" t="s">
        <v>36</v>
      </c>
      <c r="G351">
        <v>6</v>
      </c>
      <c r="H351">
        <v>55000</v>
      </c>
      <c r="I351">
        <v>297585</v>
      </c>
      <c r="J351">
        <v>65469</v>
      </c>
    </row>
    <row r="352" spans="1:10" x14ac:dyDescent="0.3">
      <c r="A352" t="s">
        <v>15</v>
      </c>
      <c r="B352" t="s">
        <v>16</v>
      </c>
      <c r="C352" t="s">
        <v>12</v>
      </c>
      <c r="D352" t="s">
        <v>34</v>
      </c>
      <c r="E352" s="36">
        <v>45852</v>
      </c>
      <c r="F352" t="s">
        <v>36</v>
      </c>
      <c r="G352">
        <v>10</v>
      </c>
      <c r="H352">
        <v>55000</v>
      </c>
      <c r="I352">
        <v>573943</v>
      </c>
      <c r="J352">
        <v>126267</v>
      </c>
    </row>
    <row r="353" spans="1:10" x14ac:dyDescent="0.3">
      <c r="A353" t="s">
        <v>15</v>
      </c>
      <c r="B353" t="s">
        <v>88</v>
      </c>
      <c r="C353" t="s">
        <v>12</v>
      </c>
      <c r="D353" t="s">
        <v>78</v>
      </c>
      <c r="E353" s="36">
        <v>45995</v>
      </c>
      <c r="F353" t="s">
        <v>36</v>
      </c>
      <c r="G353">
        <v>5</v>
      </c>
      <c r="H353">
        <v>55000</v>
      </c>
      <c r="I353">
        <v>257896</v>
      </c>
      <c r="J353">
        <v>56737</v>
      </c>
    </row>
    <row r="354" spans="1:10" x14ac:dyDescent="0.3">
      <c r="A354" t="s">
        <v>15</v>
      </c>
      <c r="B354" t="s">
        <v>19</v>
      </c>
      <c r="C354" t="s">
        <v>12</v>
      </c>
      <c r="D354" t="s">
        <v>70</v>
      </c>
      <c r="E354" s="36">
        <v>46002</v>
      </c>
      <c r="F354" t="s">
        <v>36</v>
      </c>
      <c r="G354">
        <v>1</v>
      </c>
      <c r="H354">
        <v>55000</v>
      </c>
      <c r="I354">
        <v>60152</v>
      </c>
      <c r="J354">
        <v>13233</v>
      </c>
    </row>
    <row r="355" spans="1:10" x14ac:dyDescent="0.3">
      <c r="A355" t="s">
        <v>15</v>
      </c>
      <c r="B355" t="s">
        <v>84</v>
      </c>
      <c r="C355" t="s">
        <v>12</v>
      </c>
      <c r="D355" t="s">
        <v>126</v>
      </c>
      <c r="E355" s="36">
        <v>45956</v>
      </c>
      <c r="F355" t="s">
        <v>36</v>
      </c>
      <c r="G355">
        <v>10</v>
      </c>
      <c r="H355">
        <v>55000</v>
      </c>
      <c r="I355">
        <v>583352</v>
      </c>
      <c r="J355">
        <v>128337</v>
      </c>
    </row>
    <row r="356" spans="1:10" x14ac:dyDescent="0.3">
      <c r="A356" t="s">
        <v>15</v>
      </c>
      <c r="B356" t="s">
        <v>84</v>
      </c>
      <c r="C356" t="s">
        <v>12</v>
      </c>
      <c r="D356" t="s">
        <v>212</v>
      </c>
      <c r="E356" s="36">
        <v>45785</v>
      </c>
      <c r="F356" t="s">
        <v>36</v>
      </c>
      <c r="G356">
        <v>8</v>
      </c>
      <c r="H356">
        <v>55000</v>
      </c>
      <c r="I356">
        <v>417750</v>
      </c>
      <c r="J356">
        <v>91905</v>
      </c>
    </row>
    <row r="357" spans="1:10" x14ac:dyDescent="0.3">
      <c r="A357" t="s">
        <v>15</v>
      </c>
      <c r="B357" t="s">
        <v>77</v>
      </c>
      <c r="C357" t="s">
        <v>12</v>
      </c>
      <c r="D357" t="s">
        <v>85</v>
      </c>
      <c r="E357" s="36">
        <v>45995</v>
      </c>
      <c r="F357" t="s">
        <v>36</v>
      </c>
      <c r="G357">
        <v>7</v>
      </c>
      <c r="H357">
        <v>55000</v>
      </c>
      <c r="I357">
        <v>377232</v>
      </c>
      <c r="J357">
        <v>82991</v>
      </c>
    </row>
    <row r="358" spans="1:10" x14ac:dyDescent="0.3">
      <c r="A358" t="s">
        <v>15</v>
      </c>
      <c r="B358" t="s">
        <v>88</v>
      </c>
      <c r="C358" t="s">
        <v>12</v>
      </c>
      <c r="D358" t="s">
        <v>80</v>
      </c>
      <c r="E358" s="36">
        <v>45693</v>
      </c>
      <c r="F358" t="s">
        <v>36</v>
      </c>
      <c r="G358">
        <v>3</v>
      </c>
      <c r="H358">
        <v>55000</v>
      </c>
      <c r="I358">
        <v>178081</v>
      </c>
      <c r="J358">
        <v>39178</v>
      </c>
    </row>
    <row r="359" spans="1:10" x14ac:dyDescent="0.3">
      <c r="A359" t="s">
        <v>15</v>
      </c>
      <c r="B359" t="s">
        <v>84</v>
      </c>
      <c r="C359" t="s">
        <v>12</v>
      </c>
      <c r="D359" t="s">
        <v>226</v>
      </c>
      <c r="E359" s="36">
        <v>45773</v>
      </c>
      <c r="F359" t="s">
        <v>36</v>
      </c>
      <c r="G359">
        <v>6</v>
      </c>
      <c r="H359">
        <v>55000</v>
      </c>
      <c r="I359">
        <v>317564</v>
      </c>
      <c r="J359">
        <v>69864</v>
      </c>
    </row>
    <row r="360" spans="1:10" x14ac:dyDescent="0.3">
      <c r="A360" t="s">
        <v>15</v>
      </c>
      <c r="B360" t="s">
        <v>16</v>
      </c>
      <c r="C360" t="s">
        <v>12</v>
      </c>
      <c r="D360" t="s">
        <v>85</v>
      </c>
      <c r="E360" s="36">
        <v>45880</v>
      </c>
      <c r="F360" t="s">
        <v>36</v>
      </c>
      <c r="G360">
        <v>10</v>
      </c>
      <c r="H360">
        <v>55000</v>
      </c>
      <c r="I360">
        <v>541295</v>
      </c>
      <c r="J360">
        <v>119085</v>
      </c>
    </row>
    <row r="361" spans="1:10" x14ac:dyDescent="0.3">
      <c r="A361" t="s">
        <v>15</v>
      </c>
      <c r="B361" t="s">
        <v>84</v>
      </c>
      <c r="C361" t="s">
        <v>12</v>
      </c>
      <c r="D361" t="s">
        <v>20</v>
      </c>
      <c r="E361" s="36">
        <v>45744</v>
      </c>
      <c r="F361" t="s">
        <v>36</v>
      </c>
      <c r="G361">
        <v>1</v>
      </c>
      <c r="H361">
        <v>55000</v>
      </c>
      <c r="I361">
        <v>59362</v>
      </c>
      <c r="J361">
        <v>13060</v>
      </c>
    </row>
    <row r="362" spans="1:10" x14ac:dyDescent="0.3">
      <c r="A362" t="s">
        <v>15</v>
      </c>
      <c r="B362" t="s">
        <v>31</v>
      </c>
      <c r="C362" t="s">
        <v>12</v>
      </c>
      <c r="D362" t="s">
        <v>87</v>
      </c>
      <c r="E362" s="36">
        <v>45874</v>
      </c>
      <c r="F362" t="s">
        <v>36</v>
      </c>
      <c r="G362">
        <v>3</v>
      </c>
      <c r="H362">
        <v>55000</v>
      </c>
      <c r="I362">
        <v>150299</v>
      </c>
      <c r="J362">
        <v>33066</v>
      </c>
    </row>
    <row r="363" spans="1:10" x14ac:dyDescent="0.3">
      <c r="A363" t="s">
        <v>15</v>
      </c>
      <c r="B363" t="s">
        <v>19</v>
      </c>
      <c r="C363" t="s">
        <v>12</v>
      </c>
      <c r="D363" t="s">
        <v>47</v>
      </c>
      <c r="E363" s="36">
        <v>45720</v>
      </c>
      <c r="F363" t="s">
        <v>36</v>
      </c>
      <c r="G363">
        <v>6</v>
      </c>
      <c r="H363">
        <v>55000</v>
      </c>
      <c r="I363">
        <v>356269</v>
      </c>
      <c r="J363">
        <v>78379</v>
      </c>
    </row>
    <row r="364" spans="1:10" x14ac:dyDescent="0.3">
      <c r="A364" t="s">
        <v>15</v>
      </c>
      <c r="B364" t="s">
        <v>77</v>
      </c>
      <c r="C364" t="s">
        <v>12</v>
      </c>
      <c r="D364" t="s">
        <v>65</v>
      </c>
      <c r="E364" s="36">
        <v>45930</v>
      </c>
      <c r="F364" t="s">
        <v>36</v>
      </c>
      <c r="G364">
        <v>5</v>
      </c>
      <c r="H364">
        <v>55000</v>
      </c>
      <c r="I364">
        <v>259388</v>
      </c>
      <c r="J364">
        <v>57065</v>
      </c>
    </row>
    <row r="365" spans="1:10" x14ac:dyDescent="0.3">
      <c r="A365" t="s">
        <v>15</v>
      </c>
      <c r="B365" t="s">
        <v>11</v>
      </c>
      <c r="C365" t="s">
        <v>12</v>
      </c>
      <c r="D365" t="s">
        <v>128</v>
      </c>
      <c r="E365" s="36">
        <v>45873</v>
      </c>
      <c r="F365" t="s">
        <v>36</v>
      </c>
      <c r="G365">
        <v>8</v>
      </c>
      <c r="H365">
        <v>55000</v>
      </c>
      <c r="I365">
        <v>398594</v>
      </c>
      <c r="J365">
        <v>87691</v>
      </c>
    </row>
    <row r="366" spans="1:10" x14ac:dyDescent="0.3">
      <c r="A366" t="s">
        <v>15</v>
      </c>
      <c r="B366" t="s">
        <v>88</v>
      </c>
      <c r="C366" t="s">
        <v>12</v>
      </c>
      <c r="D366" t="s">
        <v>93</v>
      </c>
      <c r="E366" s="36">
        <v>45912</v>
      </c>
      <c r="F366" t="s">
        <v>36</v>
      </c>
      <c r="G366">
        <v>5</v>
      </c>
      <c r="H366">
        <v>55000</v>
      </c>
      <c r="I366">
        <v>285927</v>
      </c>
      <c r="J366">
        <v>62904</v>
      </c>
    </row>
    <row r="367" spans="1:10" x14ac:dyDescent="0.3">
      <c r="A367" t="s">
        <v>15</v>
      </c>
      <c r="B367" t="s">
        <v>51</v>
      </c>
      <c r="C367" t="s">
        <v>12</v>
      </c>
      <c r="D367" t="s">
        <v>178</v>
      </c>
      <c r="E367" s="36">
        <v>45901</v>
      </c>
      <c r="F367" t="s">
        <v>36</v>
      </c>
      <c r="G367">
        <v>2</v>
      </c>
      <c r="H367">
        <v>55000</v>
      </c>
      <c r="I367">
        <v>106766</v>
      </c>
      <c r="J367">
        <v>23489</v>
      </c>
    </row>
    <row r="368" spans="1:10" x14ac:dyDescent="0.3">
      <c r="A368" t="s">
        <v>15</v>
      </c>
      <c r="B368" t="s">
        <v>19</v>
      </c>
      <c r="C368" t="s">
        <v>12</v>
      </c>
      <c r="D368" t="s">
        <v>140</v>
      </c>
      <c r="E368" s="36">
        <v>45739</v>
      </c>
      <c r="F368" t="s">
        <v>36</v>
      </c>
      <c r="G368">
        <v>2</v>
      </c>
      <c r="H368">
        <v>55000</v>
      </c>
      <c r="I368">
        <v>101781</v>
      </c>
      <c r="J368">
        <v>22392</v>
      </c>
    </row>
    <row r="369" spans="1:10" x14ac:dyDescent="0.3">
      <c r="A369" t="s">
        <v>15</v>
      </c>
      <c r="B369" t="s">
        <v>31</v>
      </c>
      <c r="C369" t="s">
        <v>12</v>
      </c>
      <c r="D369" t="s">
        <v>104</v>
      </c>
      <c r="E369" s="36">
        <v>45658</v>
      </c>
      <c r="F369" t="s">
        <v>36</v>
      </c>
      <c r="G369">
        <v>4</v>
      </c>
      <c r="H369">
        <v>55000</v>
      </c>
      <c r="I369">
        <v>240358</v>
      </c>
      <c r="J369">
        <v>52879</v>
      </c>
    </row>
    <row r="370" spans="1:10" x14ac:dyDescent="0.3">
      <c r="A370" t="s">
        <v>15</v>
      </c>
      <c r="B370" t="s">
        <v>77</v>
      </c>
      <c r="C370" t="s">
        <v>12</v>
      </c>
      <c r="D370" t="s">
        <v>60</v>
      </c>
      <c r="E370" s="36">
        <v>45772</v>
      </c>
      <c r="F370" t="s">
        <v>36</v>
      </c>
      <c r="G370">
        <v>2</v>
      </c>
      <c r="H370">
        <v>55000</v>
      </c>
      <c r="I370">
        <v>116064</v>
      </c>
      <c r="J370">
        <v>25534</v>
      </c>
    </row>
    <row r="371" spans="1:10" x14ac:dyDescent="0.3">
      <c r="A371" t="s">
        <v>15</v>
      </c>
      <c r="B371" t="s">
        <v>88</v>
      </c>
      <c r="C371" t="s">
        <v>12</v>
      </c>
      <c r="D371" t="s">
        <v>238</v>
      </c>
      <c r="E371" s="36">
        <v>45923</v>
      </c>
      <c r="F371" t="s">
        <v>36</v>
      </c>
      <c r="G371">
        <v>6</v>
      </c>
      <c r="H371">
        <v>55000</v>
      </c>
      <c r="I371">
        <v>362733</v>
      </c>
      <c r="J371">
        <v>79801</v>
      </c>
    </row>
    <row r="372" spans="1:10" x14ac:dyDescent="0.3">
      <c r="A372" t="s">
        <v>15</v>
      </c>
      <c r="B372" t="s">
        <v>51</v>
      </c>
      <c r="C372" t="s">
        <v>12</v>
      </c>
      <c r="D372" t="s">
        <v>125</v>
      </c>
      <c r="E372" s="36">
        <v>46004</v>
      </c>
      <c r="F372" t="s">
        <v>36</v>
      </c>
      <c r="G372">
        <v>2</v>
      </c>
      <c r="H372">
        <v>55000</v>
      </c>
      <c r="I372">
        <v>112581</v>
      </c>
      <c r="J372">
        <v>24768</v>
      </c>
    </row>
    <row r="373" spans="1:10" x14ac:dyDescent="0.3">
      <c r="A373" t="s">
        <v>15</v>
      </c>
      <c r="B373" t="s">
        <v>16</v>
      </c>
      <c r="C373" t="s">
        <v>12</v>
      </c>
      <c r="D373" t="s">
        <v>112</v>
      </c>
      <c r="E373" s="36">
        <v>45883</v>
      </c>
      <c r="F373" t="s">
        <v>36</v>
      </c>
      <c r="G373">
        <v>6</v>
      </c>
      <c r="H373">
        <v>55000</v>
      </c>
      <c r="I373">
        <v>359530</v>
      </c>
      <c r="J373">
        <v>79097</v>
      </c>
    </row>
    <row r="374" spans="1:10" x14ac:dyDescent="0.3">
      <c r="A374" t="s">
        <v>15</v>
      </c>
      <c r="B374" t="s">
        <v>16</v>
      </c>
      <c r="C374" t="s">
        <v>12</v>
      </c>
      <c r="D374" t="s">
        <v>86</v>
      </c>
      <c r="E374" s="36">
        <v>45711</v>
      </c>
      <c r="F374" t="s">
        <v>36</v>
      </c>
      <c r="G374">
        <v>7</v>
      </c>
      <c r="H374">
        <v>55000</v>
      </c>
      <c r="I374">
        <v>406761</v>
      </c>
      <c r="J374">
        <v>89487</v>
      </c>
    </row>
    <row r="375" spans="1:10" x14ac:dyDescent="0.3">
      <c r="A375" t="s">
        <v>15</v>
      </c>
      <c r="B375" t="s">
        <v>31</v>
      </c>
      <c r="C375" t="s">
        <v>12</v>
      </c>
      <c r="D375" t="s">
        <v>119</v>
      </c>
      <c r="E375" s="36">
        <v>45831</v>
      </c>
      <c r="F375" t="s">
        <v>36</v>
      </c>
      <c r="G375">
        <v>9</v>
      </c>
      <c r="H375">
        <v>55000</v>
      </c>
      <c r="I375">
        <v>544058</v>
      </c>
      <c r="J375">
        <v>119693</v>
      </c>
    </row>
    <row r="376" spans="1:10" x14ac:dyDescent="0.3">
      <c r="A376" t="s">
        <v>15</v>
      </c>
      <c r="B376" t="s">
        <v>51</v>
      </c>
      <c r="C376" t="s">
        <v>12</v>
      </c>
      <c r="D376" t="s">
        <v>58</v>
      </c>
      <c r="E376" s="36">
        <v>45674</v>
      </c>
      <c r="F376" t="s">
        <v>36</v>
      </c>
      <c r="G376">
        <v>5</v>
      </c>
      <c r="H376">
        <v>55000</v>
      </c>
      <c r="I376">
        <v>257291</v>
      </c>
      <c r="J376">
        <v>56604</v>
      </c>
    </row>
    <row r="377" spans="1:10" x14ac:dyDescent="0.3">
      <c r="A377" t="s">
        <v>15</v>
      </c>
      <c r="B377" t="s">
        <v>77</v>
      </c>
      <c r="C377" t="s">
        <v>12</v>
      </c>
      <c r="D377" t="s">
        <v>171</v>
      </c>
      <c r="E377" s="36">
        <v>45730</v>
      </c>
      <c r="F377" t="s">
        <v>36</v>
      </c>
      <c r="G377">
        <v>3</v>
      </c>
      <c r="H377">
        <v>55000</v>
      </c>
      <c r="I377">
        <v>165765</v>
      </c>
      <c r="J377">
        <v>36468</v>
      </c>
    </row>
    <row r="378" spans="1:10" x14ac:dyDescent="0.3">
      <c r="A378" t="s">
        <v>15</v>
      </c>
      <c r="B378" t="s">
        <v>84</v>
      </c>
      <c r="C378" t="s">
        <v>12</v>
      </c>
      <c r="D378" t="s">
        <v>232</v>
      </c>
      <c r="E378" s="36">
        <v>45775</v>
      </c>
      <c r="F378" t="s">
        <v>36</v>
      </c>
      <c r="G378">
        <v>10</v>
      </c>
      <c r="H378">
        <v>55000</v>
      </c>
      <c r="I378">
        <v>522497</v>
      </c>
      <c r="J378">
        <v>114949</v>
      </c>
    </row>
    <row r="379" spans="1:10" x14ac:dyDescent="0.3">
      <c r="A379" t="s">
        <v>15</v>
      </c>
      <c r="B379" t="s">
        <v>19</v>
      </c>
      <c r="C379" t="s">
        <v>12</v>
      </c>
      <c r="D379" t="s">
        <v>146</v>
      </c>
      <c r="E379" s="36">
        <v>46007</v>
      </c>
      <c r="F379" t="s">
        <v>36</v>
      </c>
      <c r="G379">
        <v>8</v>
      </c>
      <c r="H379">
        <v>55000</v>
      </c>
      <c r="I379">
        <v>462608</v>
      </c>
      <c r="J379">
        <v>101774</v>
      </c>
    </row>
    <row r="380" spans="1:10" x14ac:dyDescent="0.3">
      <c r="A380" t="s">
        <v>15</v>
      </c>
      <c r="B380" t="s">
        <v>77</v>
      </c>
      <c r="C380" t="s">
        <v>12</v>
      </c>
      <c r="D380" t="s">
        <v>28</v>
      </c>
      <c r="E380" s="36">
        <v>45740</v>
      </c>
      <c r="F380" t="s">
        <v>36</v>
      </c>
      <c r="G380">
        <v>4</v>
      </c>
      <c r="H380">
        <v>55000</v>
      </c>
      <c r="I380">
        <v>207985</v>
      </c>
      <c r="J380">
        <v>45757</v>
      </c>
    </row>
    <row r="381" spans="1:10" x14ac:dyDescent="0.3">
      <c r="A381" t="s">
        <v>15</v>
      </c>
      <c r="B381" t="s">
        <v>16</v>
      </c>
      <c r="C381" t="s">
        <v>12</v>
      </c>
      <c r="D381" t="s">
        <v>140</v>
      </c>
      <c r="E381" s="36">
        <v>45916</v>
      </c>
      <c r="F381" t="s">
        <v>36</v>
      </c>
      <c r="G381">
        <v>9</v>
      </c>
      <c r="H381">
        <v>55000</v>
      </c>
      <c r="I381">
        <v>519504</v>
      </c>
      <c r="J381">
        <v>114291</v>
      </c>
    </row>
    <row r="382" spans="1:10" x14ac:dyDescent="0.3">
      <c r="A382" t="s">
        <v>15</v>
      </c>
      <c r="B382" t="s">
        <v>88</v>
      </c>
      <c r="C382" t="s">
        <v>12</v>
      </c>
      <c r="D382" t="s">
        <v>59</v>
      </c>
      <c r="E382" s="36">
        <v>45903</v>
      </c>
      <c r="F382" t="s">
        <v>36</v>
      </c>
      <c r="G382">
        <v>2</v>
      </c>
      <c r="H382">
        <v>55000</v>
      </c>
      <c r="I382">
        <v>103907</v>
      </c>
      <c r="J382">
        <v>22860</v>
      </c>
    </row>
    <row r="383" spans="1:10" x14ac:dyDescent="0.3">
      <c r="A383" t="s">
        <v>15</v>
      </c>
      <c r="B383" t="s">
        <v>11</v>
      </c>
      <c r="C383" t="s">
        <v>12</v>
      </c>
      <c r="D383" t="s">
        <v>169</v>
      </c>
      <c r="E383" s="36">
        <v>45893</v>
      </c>
      <c r="F383" t="s">
        <v>36</v>
      </c>
      <c r="G383">
        <v>4</v>
      </c>
      <c r="H383">
        <v>55000</v>
      </c>
      <c r="I383">
        <v>205488</v>
      </c>
      <c r="J383">
        <v>45207</v>
      </c>
    </row>
    <row r="384" spans="1:10" x14ac:dyDescent="0.3">
      <c r="A384" t="s">
        <v>15</v>
      </c>
      <c r="B384" t="s">
        <v>88</v>
      </c>
      <c r="C384" t="s">
        <v>12</v>
      </c>
      <c r="D384" t="s">
        <v>43</v>
      </c>
      <c r="E384" s="36">
        <v>45915</v>
      </c>
      <c r="F384" t="s">
        <v>36</v>
      </c>
      <c r="G384">
        <v>4</v>
      </c>
      <c r="H384">
        <v>55000</v>
      </c>
      <c r="I384">
        <v>230310</v>
      </c>
      <c r="J384">
        <v>50668</v>
      </c>
    </row>
    <row r="385" spans="1:10" x14ac:dyDescent="0.3">
      <c r="A385" t="s">
        <v>15</v>
      </c>
      <c r="B385" t="s">
        <v>16</v>
      </c>
      <c r="C385" t="s">
        <v>12</v>
      </c>
      <c r="D385" t="s">
        <v>166</v>
      </c>
      <c r="E385" s="36">
        <v>45986</v>
      </c>
      <c r="F385" t="s">
        <v>36</v>
      </c>
      <c r="G385">
        <v>8</v>
      </c>
      <c r="H385">
        <v>55000</v>
      </c>
      <c r="I385">
        <v>441839</v>
      </c>
      <c r="J385">
        <v>97205</v>
      </c>
    </row>
    <row r="386" spans="1:10" x14ac:dyDescent="0.3">
      <c r="A386" t="s">
        <v>15</v>
      </c>
      <c r="B386" t="s">
        <v>88</v>
      </c>
      <c r="C386" t="s">
        <v>12</v>
      </c>
      <c r="D386" t="s">
        <v>187</v>
      </c>
      <c r="E386" s="36">
        <v>45753</v>
      </c>
      <c r="F386" t="s">
        <v>36</v>
      </c>
      <c r="G386">
        <v>1</v>
      </c>
      <c r="H386">
        <v>55000</v>
      </c>
      <c r="I386">
        <v>55685</v>
      </c>
      <c r="J386">
        <v>12251</v>
      </c>
    </row>
    <row r="387" spans="1:10" x14ac:dyDescent="0.3">
      <c r="A387" t="s">
        <v>15</v>
      </c>
      <c r="B387" t="s">
        <v>16</v>
      </c>
      <c r="C387" t="s">
        <v>12</v>
      </c>
      <c r="D387" t="s">
        <v>76</v>
      </c>
      <c r="E387" s="36">
        <v>45888</v>
      </c>
      <c r="F387" t="s">
        <v>36</v>
      </c>
      <c r="G387">
        <v>5</v>
      </c>
      <c r="H387">
        <v>55000</v>
      </c>
      <c r="I387">
        <v>288578</v>
      </c>
      <c r="J387">
        <v>63487</v>
      </c>
    </row>
    <row r="388" spans="1:10" x14ac:dyDescent="0.3">
      <c r="A388" t="s">
        <v>15</v>
      </c>
      <c r="B388" t="s">
        <v>77</v>
      </c>
      <c r="C388" t="s">
        <v>12</v>
      </c>
      <c r="D388" t="s">
        <v>190</v>
      </c>
      <c r="E388" s="36">
        <v>45918</v>
      </c>
      <c r="F388" t="s">
        <v>36</v>
      </c>
      <c r="G388">
        <v>2</v>
      </c>
      <c r="H388">
        <v>55000</v>
      </c>
      <c r="I388">
        <v>117845</v>
      </c>
      <c r="J388">
        <v>25926</v>
      </c>
    </row>
    <row r="389" spans="1:10" x14ac:dyDescent="0.3">
      <c r="A389" t="s">
        <v>15</v>
      </c>
      <c r="B389" t="s">
        <v>11</v>
      </c>
      <c r="C389" t="s">
        <v>12</v>
      </c>
      <c r="D389" t="s">
        <v>58</v>
      </c>
      <c r="E389" s="36">
        <v>45910</v>
      </c>
      <c r="F389" t="s">
        <v>36</v>
      </c>
      <c r="G389">
        <v>7</v>
      </c>
      <c r="H389">
        <v>55000</v>
      </c>
      <c r="I389">
        <v>379535</v>
      </c>
      <c r="J389">
        <v>83498</v>
      </c>
    </row>
    <row r="390" spans="1:10" x14ac:dyDescent="0.3">
      <c r="A390" t="s">
        <v>15</v>
      </c>
      <c r="B390" t="s">
        <v>11</v>
      </c>
      <c r="C390" t="s">
        <v>12</v>
      </c>
      <c r="D390" t="s">
        <v>252</v>
      </c>
      <c r="E390" s="36">
        <v>45752</v>
      </c>
      <c r="F390" t="s">
        <v>36</v>
      </c>
      <c r="G390">
        <v>1</v>
      </c>
      <c r="H390">
        <v>55000</v>
      </c>
      <c r="I390">
        <v>49589</v>
      </c>
      <c r="J390">
        <v>10910</v>
      </c>
    </row>
    <row r="391" spans="1:10" x14ac:dyDescent="0.3">
      <c r="A391" t="s">
        <v>15</v>
      </c>
      <c r="B391" t="s">
        <v>31</v>
      </c>
      <c r="C391" t="s">
        <v>12</v>
      </c>
      <c r="D391" t="s">
        <v>246</v>
      </c>
      <c r="E391" s="36">
        <v>45781</v>
      </c>
      <c r="F391" t="s">
        <v>36</v>
      </c>
      <c r="G391">
        <v>3</v>
      </c>
      <c r="H391">
        <v>55000</v>
      </c>
      <c r="I391">
        <v>149347</v>
      </c>
      <c r="J391">
        <v>32856</v>
      </c>
    </row>
    <row r="392" spans="1:10" x14ac:dyDescent="0.3">
      <c r="A392" t="s">
        <v>15</v>
      </c>
      <c r="B392" t="s">
        <v>77</v>
      </c>
      <c r="C392" t="s">
        <v>12</v>
      </c>
      <c r="D392" t="s">
        <v>141</v>
      </c>
      <c r="E392" s="36">
        <v>45778</v>
      </c>
      <c r="F392" t="s">
        <v>36</v>
      </c>
      <c r="G392">
        <v>1</v>
      </c>
      <c r="H392">
        <v>55000</v>
      </c>
      <c r="I392">
        <v>52832</v>
      </c>
      <c r="J392">
        <v>11623</v>
      </c>
    </row>
    <row r="393" spans="1:10" x14ac:dyDescent="0.3">
      <c r="A393" t="s">
        <v>15</v>
      </c>
      <c r="B393" t="s">
        <v>31</v>
      </c>
      <c r="C393" t="s">
        <v>12</v>
      </c>
      <c r="D393" t="s">
        <v>246</v>
      </c>
      <c r="E393" s="36">
        <v>45915</v>
      </c>
      <c r="F393" t="s">
        <v>36</v>
      </c>
      <c r="G393">
        <v>2</v>
      </c>
      <c r="H393">
        <v>55000</v>
      </c>
      <c r="I393">
        <v>109786</v>
      </c>
      <c r="J393">
        <v>24153</v>
      </c>
    </row>
    <row r="394" spans="1:10" x14ac:dyDescent="0.3">
      <c r="A394" t="s">
        <v>15</v>
      </c>
      <c r="B394" t="s">
        <v>88</v>
      </c>
      <c r="C394" t="s">
        <v>12</v>
      </c>
      <c r="D394" t="s">
        <v>197</v>
      </c>
      <c r="E394" s="36">
        <v>45889</v>
      </c>
      <c r="F394" t="s">
        <v>36</v>
      </c>
      <c r="G394">
        <v>6</v>
      </c>
      <c r="H394">
        <v>55000</v>
      </c>
      <c r="I394">
        <v>320571</v>
      </c>
      <c r="J394">
        <v>70526</v>
      </c>
    </row>
    <row r="395" spans="1:10" x14ac:dyDescent="0.3">
      <c r="A395" t="s">
        <v>15</v>
      </c>
      <c r="B395" t="s">
        <v>77</v>
      </c>
      <c r="C395" t="s">
        <v>12</v>
      </c>
      <c r="D395" t="s">
        <v>76</v>
      </c>
      <c r="E395" s="36">
        <v>45839</v>
      </c>
      <c r="F395" t="s">
        <v>36</v>
      </c>
      <c r="G395">
        <v>9</v>
      </c>
      <c r="H395">
        <v>55000</v>
      </c>
      <c r="I395">
        <v>495655</v>
      </c>
      <c r="J395">
        <v>109044</v>
      </c>
    </row>
    <row r="396" spans="1:10" x14ac:dyDescent="0.3">
      <c r="A396" t="s">
        <v>15</v>
      </c>
      <c r="B396" t="s">
        <v>31</v>
      </c>
      <c r="C396" t="s">
        <v>12</v>
      </c>
      <c r="D396" t="s">
        <v>130</v>
      </c>
      <c r="E396" s="36">
        <v>45699</v>
      </c>
      <c r="F396" t="s">
        <v>36</v>
      </c>
      <c r="G396">
        <v>9</v>
      </c>
      <c r="H396">
        <v>55000</v>
      </c>
      <c r="I396">
        <v>540514</v>
      </c>
      <c r="J396">
        <v>118913</v>
      </c>
    </row>
    <row r="397" spans="1:10" x14ac:dyDescent="0.3">
      <c r="A397" t="s">
        <v>15</v>
      </c>
      <c r="B397" t="s">
        <v>51</v>
      </c>
      <c r="C397" t="s">
        <v>12</v>
      </c>
      <c r="D397" t="s">
        <v>191</v>
      </c>
      <c r="E397" s="36">
        <v>45930</v>
      </c>
      <c r="F397" t="s">
        <v>36</v>
      </c>
      <c r="G397">
        <v>9</v>
      </c>
      <c r="H397">
        <v>55000</v>
      </c>
      <c r="I397">
        <v>522827</v>
      </c>
      <c r="J397">
        <v>115022</v>
      </c>
    </row>
    <row r="398" spans="1:10" x14ac:dyDescent="0.3">
      <c r="A398" t="s">
        <v>15</v>
      </c>
      <c r="B398" t="s">
        <v>84</v>
      </c>
      <c r="C398" t="s">
        <v>12</v>
      </c>
      <c r="D398" t="s">
        <v>131</v>
      </c>
      <c r="E398" s="36">
        <v>45909</v>
      </c>
      <c r="F398" t="s">
        <v>36</v>
      </c>
      <c r="G398">
        <v>8</v>
      </c>
      <c r="H398">
        <v>55000</v>
      </c>
      <c r="I398">
        <v>470427</v>
      </c>
      <c r="J398">
        <v>103494</v>
      </c>
    </row>
    <row r="399" spans="1:10" x14ac:dyDescent="0.3">
      <c r="A399" t="s">
        <v>15</v>
      </c>
      <c r="B399" t="s">
        <v>11</v>
      </c>
      <c r="C399" t="s">
        <v>12</v>
      </c>
      <c r="D399" t="s">
        <v>253</v>
      </c>
      <c r="E399" s="36">
        <v>45888</v>
      </c>
      <c r="F399" t="s">
        <v>36</v>
      </c>
      <c r="G399">
        <v>6</v>
      </c>
      <c r="H399">
        <v>55000</v>
      </c>
      <c r="I399">
        <v>360574</v>
      </c>
      <c r="J399">
        <v>79326</v>
      </c>
    </row>
    <row r="400" spans="1:10" x14ac:dyDescent="0.3">
      <c r="A400" t="s">
        <v>15</v>
      </c>
      <c r="B400" t="s">
        <v>84</v>
      </c>
      <c r="C400" t="s">
        <v>12</v>
      </c>
      <c r="D400" t="s">
        <v>256</v>
      </c>
      <c r="E400" s="36">
        <v>45782</v>
      </c>
      <c r="F400" t="s">
        <v>36</v>
      </c>
      <c r="G400">
        <v>4</v>
      </c>
      <c r="H400">
        <v>55000</v>
      </c>
      <c r="I400">
        <v>206497</v>
      </c>
      <c r="J400">
        <v>45429</v>
      </c>
    </row>
    <row r="401" spans="1:10" x14ac:dyDescent="0.3">
      <c r="A401" t="s">
        <v>15</v>
      </c>
      <c r="B401" t="s">
        <v>88</v>
      </c>
      <c r="C401" t="s">
        <v>12</v>
      </c>
      <c r="D401" t="s">
        <v>57</v>
      </c>
      <c r="E401" s="36">
        <v>45968</v>
      </c>
      <c r="F401" t="s">
        <v>36</v>
      </c>
      <c r="G401">
        <v>9</v>
      </c>
      <c r="H401">
        <v>55000</v>
      </c>
      <c r="I401">
        <v>473862</v>
      </c>
      <c r="J401">
        <v>104250</v>
      </c>
    </row>
    <row r="402" spans="1:10" x14ac:dyDescent="0.3">
      <c r="A402" t="s">
        <v>10</v>
      </c>
      <c r="B402" t="s">
        <v>11</v>
      </c>
      <c r="C402" t="s">
        <v>12</v>
      </c>
      <c r="D402" t="s">
        <v>13</v>
      </c>
      <c r="E402" s="36">
        <v>45827</v>
      </c>
      <c r="F402" t="s">
        <v>14</v>
      </c>
      <c r="G402">
        <v>5</v>
      </c>
      <c r="H402">
        <v>18500</v>
      </c>
      <c r="I402">
        <v>84104</v>
      </c>
      <c r="J402">
        <v>10092</v>
      </c>
    </row>
    <row r="403" spans="1:10" x14ac:dyDescent="0.3">
      <c r="A403" t="s">
        <v>10</v>
      </c>
      <c r="B403" t="s">
        <v>19</v>
      </c>
      <c r="C403" t="s">
        <v>12</v>
      </c>
      <c r="D403" t="s">
        <v>49</v>
      </c>
      <c r="E403" s="36">
        <v>45814</v>
      </c>
      <c r="F403" t="s">
        <v>33</v>
      </c>
      <c r="G403">
        <v>7</v>
      </c>
      <c r="H403">
        <v>45000</v>
      </c>
      <c r="I403">
        <v>346232</v>
      </c>
      <c r="J403">
        <v>62322</v>
      </c>
    </row>
    <row r="404" spans="1:10" x14ac:dyDescent="0.3">
      <c r="A404" t="s">
        <v>10</v>
      </c>
      <c r="B404" t="s">
        <v>16</v>
      </c>
      <c r="C404" t="s">
        <v>12</v>
      </c>
      <c r="D404" t="s">
        <v>58</v>
      </c>
      <c r="E404" s="36">
        <v>45970</v>
      </c>
      <c r="F404" t="s">
        <v>33</v>
      </c>
      <c r="G404">
        <v>5</v>
      </c>
      <c r="H404">
        <v>45000</v>
      </c>
      <c r="I404">
        <v>227540</v>
      </c>
      <c r="J404">
        <v>40957</v>
      </c>
    </row>
    <row r="405" spans="1:10" x14ac:dyDescent="0.3">
      <c r="A405" t="s">
        <v>10</v>
      </c>
      <c r="B405" t="s">
        <v>84</v>
      </c>
      <c r="C405" t="s">
        <v>12</v>
      </c>
      <c r="D405" t="s">
        <v>85</v>
      </c>
      <c r="E405" s="36">
        <v>46003</v>
      </c>
      <c r="F405" t="s">
        <v>36</v>
      </c>
      <c r="G405">
        <v>10</v>
      </c>
      <c r="H405">
        <v>55000</v>
      </c>
      <c r="I405">
        <v>520338</v>
      </c>
      <c r="J405">
        <v>114474</v>
      </c>
    </row>
    <row r="406" spans="1:10" x14ac:dyDescent="0.3">
      <c r="A406" t="s">
        <v>10</v>
      </c>
      <c r="B406" t="s">
        <v>16</v>
      </c>
      <c r="C406" t="s">
        <v>12</v>
      </c>
      <c r="D406" t="s">
        <v>58</v>
      </c>
      <c r="E406" s="36">
        <v>45868</v>
      </c>
      <c r="F406" t="s">
        <v>40</v>
      </c>
      <c r="G406">
        <v>1</v>
      </c>
      <c r="H406">
        <v>15000</v>
      </c>
      <c r="I406">
        <v>14355</v>
      </c>
      <c r="J406">
        <v>1436</v>
      </c>
    </row>
    <row r="407" spans="1:10" x14ac:dyDescent="0.3">
      <c r="A407" t="s">
        <v>10</v>
      </c>
      <c r="B407" t="s">
        <v>88</v>
      </c>
      <c r="C407" t="s">
        <v>12</v>
      </c>
      <c r="D407" t="s">
        <v>124</v>
      </c>
      <c r="E407" s="36">
        <v>45711</v>
      </c>
      <c r="F407" t="s">
        <v>40</v>
      </c>
      <c r="G407">
        <v>1</v>
      </c>
      <c r="H407">
        <v>15000</v>
      </c>
      <c r="I407">
        <v>14498</v>
      </c>
      <c r="J407">
        <v>1450</v>
      </c>
    </row>
    <row r="408" spans="1:10" x14ac:dyDescent="0.3">
      <c r="A408" t="s">
        <v>10</v>
      </c>
      <c r="B408" t="s">
        <v>88</v>
      </c>
      <c r="C408" t="s">
        <v>12</v>
      </c>
      <c r="D408" t="s">
        <v>30</v>
      </c>
      <c r="E408" s="36">
        <v>45855</v>
      </c>
      <c r="F408" t="s">
        <v>33</v>
      </c>
      <c r="G408">
        <v>2</v>
      </c>
      <c r="H408">
        <v>45000</v>
      </c>
      <c r="I408">
        <v>87996</v>
      </c>
      <c r="J408">
        <v>15839</v>
      </c>
    </row>
    <row r="409" spans="1:10" x14ac:dyDescent="0.3">
      <c r="A409" t="s">
        <v>10</v>
      </c>
      <c r="B409" t="s">
        <v>11</v>
      </c>
      <c r="C409" t="s">
        <v>12</v>
      </c>
      <c r="D409" t="s">
        <v>128</v>
      </c>
      <c r="E409" s="36">
        <v>45744</v>
      </c>
      <c r="F409" t="s">
        <v>36</v>
      </c>
      <c r="G409">
        <v>1</v>
      </c>
      <c r="H409">
        <v>55000</v>
      </c>
      <c r="I409">
        <v>49941</v>
      </c>
      <c r="J409">
        <v>10987</v>
      </c>
    </row>
    <row r="410" spans="1:10" x14ac:dyDescent="0.3">
      <c r="A410" t="s">
        <v>10</v>
      </c>
      <c r="B410" t="s">
        <v>77</v>
      </c>
      <c r="C410" t="s">
        <v>12</v>
      </c>
      <c r="D410" t="s">
        <v>96</v>
      </c>
      <c r="E410" s="36">
        <v>45976</v>
      </c>
      <c r="F410" t="s">
        <v>36</v>
      </c>
      <c r="G410">
        <v>1</v>
      </c>
      <c r="H410">
        <v>55000</v>
      </c>
      <c r="I410">
        <v>53552</v>
      </c>
      <c r="J410">
        <v>11781</v>
      </c>
    </row>
    <row r="411" spans="1:10" x14ac:dyDescent="0.3">
      <c r="A411" t="s">
        <v>10</v>
      </c>
      <c r="B411" t="s">
        <v>84</v>
      </c>
      <c r="C411" t="s">
        <v>12</v>
      </c>
      <c r="D411" t="s">
        <v>158</v>
      </c>
      <c r="E411" s="36">
        <v>45950</v>
      </c>
      <c r="F411" t="s">
        <v>14</v>
      </c>
      <c r="G411">
        <v>10</v>
      </c>
      <c r="H411">
        <v>18500</v>
      </c>
      <c r="I411">
        <v>190109</v>
      </c>
      <c r="J411">
        <v>22813</v>
      </c>
    </row>
    <row r="412" spans="1:10" x14ac:dyDescent="0.3">
      <c r="A412" t="s">
        <v>10</v>
      </c>
      <c r="B412" t="s">
        <v>88</v>
      </c>
      <c r="C412" t="s">
        <v>12</v>
      </c>
      <c r="D412" t="s">
        <v>161</v>
      </c>
      <c r="E412" s="36">
        <v>45968</v>
      </c>
      <c r="F412" t="s">
        <v>14</v>
      </c>
      <c r="G412">
        <v>7</v>
      </c>
      <c r="H412">
        <v>18500</v>
      </c>
      <c r="I412">
        <v>125362</v>
      </c>
      <c r="J412">
        <v>15043</v>
      </c>
    </row>
    <row r="413" spans="1:10" x14ac:dyDescent="0.3">
      <c r="A413" t="s">
        <v>10</v>
      </c>
      <c r="B413" t="s">
        <v>11</v>
      </c>
      <c r="C413" t="s">
        <v>12</v>
      </c>
      <c r="D413" t="s">
        <v>82</v>
      </c>
      <c r="E413" s="36">
        <v>45726</v>
      </c>
      <c r="F413" t="s">
        <v>33</v>
      </c>
      <c r="G413">
        <v>7</v>
      </c>
      <c r="H413">
        <v>45000</v>
      </c>
      <c r="I413">
        <v>342157</v>
      </c>
      <c r="J413">
        <v>61588</v>
      </c>
    </row>
    <row r="414" spans="1:10" x14ac:dyDescent="0.3">
      <c r="A414" t="s">
        <v>10</v>
      </c>
      <c r="B414" t="s">
        <v>11</v>
      </c>
      <c r="C414" t="s">
        <v>12</v>
      </c>
      <c r="D414" t="s">
        <v>134</v>
      </c>
      <c r="E414" s="36">
        <v>45825</v>
      </c>
      <c r="F414" t="s">
        <v>40</v>
      </c>
      <c r="G414">
        <v>9</v>
      </c>
      <c r="H414">
        <v>15000</v>
      </c>
      <c r="I414">
        <v>128642</v>
      </c>
      <c r="J414">
        <v>12864</v>
      </c>
    </row>
    <row r="415" spans="1:10" x14ac:dyDescent="0.3">
      <c r="A415" t="s">
        <v>10</v>
      </c>
      <c r="B415" t="s">
        <v>88</v>
      </c>
      <c r="C415" t="s">
        <v>12</v>
      </c>
      <c r="D415" t="s">
        <v>85</v>
      </c>
      <c r="E415" s="36">
        <v>45805</v>
      </c>
      <c r="F415" t="s">
        <v>40</v>
      </c>
      <c r="G415">
        <v>4</v>
      </c>
      <c r="H415">
        <v>15000</v>
      </c>
      <c r="I415">
        <v>63656</v>
      </c>
      <c r="J415">
        <v>6366</v>
      </c>
    </row>
    <row r="416" spans="1:10" x14ac:dyDescent="0.3">
      <c r="A416" t="s">
        <v>10</v>
      </c>
      <c r="B416" t="s">
        <v>84</v>
      </c>
      <c r="C416" t="s">
        <v>12</v>
      </c>
      <c r="D416" t="s">
        <v>112</v>
      </c>
      <c r="E416" s="36">
        <v>45948</v>
      </c>
      <c r="F416" t="s">
        <v>33</v>
      </c>
      <c r="G416">
        <v>2</v>
      </c>
      <c r="H416">
        <v>45000</v>
      </c>
      <c r="I416">
        <v>97675</v>
      </c>
      <c r="J416">
        <v>17582</v>
      </c>
    </row>
    <row r="417" spans="1:10" x14ac:dyDescent="0.3">
      <c r="A417" t="s">
        <v>10</v>
      </c>
      <c r="B417" t="s">
        <v>16</v>
      </c>
      <c r="C417" t="s">
        <v>12</v>
      </c>
      <c r="D417" t="s">
        <v>60</v>
      </c>
      <c r="E417" s="36">
        <v>45847</v>
      </c>
      <c r="F417" t="s">
        <v>40</v>
      </c>
      <c r="G417">
        <v>10</v>
      </c>
      <c r="H417">
        <v>15000</v>
      </c>
      <c r="I417">
        <v>154730</v>
      </c>
      <c r="J417">
        <v>15473</v>
      </c>
    </row>
    <row r="418" spans="1:10" x14ac:dyDescent="0.3">
      <c r="A418" t="s">
        <v>10</v>
      </c>
      <c r="B418" t="s">
        <v>77</v>
      </c>
      <c r="C418" t="s">
        <v>12</v>
      </c>
      <c r="D418" t="s">
        <v>59</v>
      </c>
      <c r="E418" s="36">
        <v>45866</v>
      </c>
      <c r="F418" t="s">
        <v>33</v>
      </c>
      <c r="G418">
        <v>3</v>
      </c>
      <c r="H418">
        <v>45000</v>
      </c>
      <c r="I418">
        <v>141150</v>
      </c>
      <c r="J418">
        <v>25407</v>
      </c>
    </row>
    <row r="419" spans="1:10" x14ac:dyDescent="0.3">
      <c r="A419" t="s">
        <v>10</v>
      </c>
      <c r="B419" t="s">
        <v>19</v>
      </c>
      <c r="C419" t="s">
        <v>12</v>
      </c>
      <c r="D419" t="s">
        <v>185</v>
      </c>
      <c r="E419" s="36">
        <v>45847</v>
      </c>
      <c r="F419" t="s">
        <v>40</v>
      </c>
      <c r="G419">
        <v>3</v>
      </c>
      <c r="H419">
        <v>15000</v>
      </c>
      <c r="I419">
        <v>49265</v>
      </c>
      <c r="J419">
        <v>4926</v>
      </c>
    </row>
    <row r="420" spans="1:10" x14ac:dyDescent="0.3">
      <c r="A420" t="s">
        <v>10</v>
      </c>
      <c r="B420" t="s">
        <v>88</v>
      </c>
      <c r="C420" t="s">
        <v>12</v>
      </c>
      <c r="D420" t="s">
        <v>180</v>
      </c>
      <c r="E420" s="36">
        <v>45721</v>
      </c>
      <c r="F420" t="s">
        <v>40</v>
      </c>
      <c r="G420">
        <v>9</v>
      </c>
      <c r="H420">
        <v>15000</v>
      </c>
      <c r="I420">
        <v>124023</v>
      </c>
      <c r="J420">
        <v>12402</v>
      </c>
    </row>
    <row r="421" spans="1:10" x14ac:dyDescent="0.3">
      <c r="A421" t="s">
        <v>10</v>
      </c>
      <c r="B421" t="s">
        <v>84</v>
      </c>
      <c r="C421" t="s">
        <v>12</v>
      </c>
      <c r="D421" t="s">
        <v>195</v>
      </c>
      <c r="E421" s="36">
        <v>45775</v>
      </c>
      <c r="F421" t="s">
        <v>36</v>
      </c>
      <c r="G421">
        <v>9</v>
      </c>
      <c r="H421">
        <v>55000</v>
      </c>
      <c r="I421">
        <v>543177</v>
      </c>
      <c r="J421">
        <v>119499</v>
      </c>
    </row>
    <row r="422" spans="1:10" x14ac:dyDescent="0.3">
      <c r="A422" t="s">
        <v>10</v>
      </c>
      <c r="B422" t="s">
        <v>11</v>
      </c>
      <c r="C422" t="s">
        <v>12</v>
      </c>
      <c r="D422" t="s">
        <v>58</v>
      </c>
      <c r="E422" s="36">
        <v>45868</v>
      </c>
      <c r="F422" t="s">
        <v>14</v>
      </c>
      <c r="G422">
        <v>8</v>
      </c>
      <c r="H422">
        <v>18500</v>
      </c>
      <c r="I422">
        <v>152011</v>
      </c>
      <c r="J422">
        <v>18241</v>
      </c>
    </row>
    <row r="423" spans="1:10" x14ac:dyDescent="0.3">
      <c r="A423" t="s">
        <v>10</v>
      </c>
      <c r="B423" t="s">
        <v>84</v>
      </c>
      <c r="C423" t="s">
        <v>12</v>
      </c>
      <c r="D423" t="s">
        <v>141</v>
      </c>
      <c r="E423" s="36">
        <v>45871</v>
      </c>
      <c r="F423" t="s">
        <v>40</v>
      </c>
      <c r="G423">
        <v>6</v>
      </c>
      <c r="H423">
        <v>15000</v>
      </c>
      <c r="I423">
        <v>81328</v>
      </c>
      <c r="J423">
        <v>8133</v>
      </c>
    </row>
    <row r="424" spans="1:10" x14ac:dyDescent="0.3">
      <c r="A424" t="s">
        <v>10</v>
      </c>
      <c r="B424" t="s">
        <v>84</v>
      </c>
      <c r="C424" t="s">
        <v>12</v>
      </c>
      <c r="D424" t="s">
        <v>185</v>
      </c>
      <c r="E424" s="36">
        <v>45699</v>
      </c>
      <c r="F424" t="s">
        <v>40</v>
      </c>
      <c r="G424">
        <v>1</v>
      </c>
      <c r="H424">
        <v>15000</v>
      </c>
      <c r="I424">
        <v>16372</v>
      </c>
      <c r="J424">
        <v>1637</v>
      </c>
    </row>
    <row r="425" spans="1:10" x14ac:dyDescent="0.3">
      <c r="A425" t="s">
        <v>10</v>
      </c>
      <c r="B425" t="s">
        <v>84</v>
      </c>
      <c r="C425" t="s">
        <v>12</v>
      </c>
      <c r="D425" t="s">
        <v>205</v>
      </c>
      <c r="E425" s="36">
        <v>45784</v>
      </c>
      <c r="F425" t="s">
        <v>14</v>
      </c>
      <c r="G425">
        <v>9</v>
      </c>
      <c r="H425">
        <v>18500</v>
      </c>
      <c r="I425">
        <v>157092</v>
      </c>
      <c r="J425">
        <v>18851</v>
      </c>
    </row>
    <row r="426" spans="1:10" x14ac:dyDescent="0.3">
      <c r="A426" t="s">
        <v>10</v>
      </c>
      <c r="B426" t="s">
        <v>77</v>
      </c>
      <c r="C426" t="s">
        <v>12</v>
      </c>
      <c r="D426" t="s">
        <v>150</v>
      </c>
      <c r="E426" s="36">
        <v>45717</v>
      </c>
      <c r="F426" t="s">
        <v>36</v>
      </c>
      <c r="G426">
        <v>2</v>
      </c>
      <c r="H426">
        <v>55000</v>
      </c>
      <c r="I426">
        <v>101144</v>
      </c>
      <c r="J426">
        <v>22252</v>
      </c>
    </row>
    <row r="427" spans="1:10" x14ac:dyDescent="0.3">
      <c r="A427" t="s">
        <v>10</v>
      </c>
      <c r="B427" t="s">
        <v>84</v>
      </c>
      <c r="C427" t="s">
        <v>12</v>
      </c>
      <c r="D427" t="s">
        <v>189</v>
      </c>
      <c r="E427" s="36">
        <v>45756</v>
      </c>
      <c r="F427" t="s">
        <v>33</v>
      </c>
      <c r="G427">
        <v>9</v>
      </c>
      <c r="H427">
        <v>45000</v>
      </c>
      <c r="I427">
        <v>426533</v>
      </c>
      <c r="J427">
        <v>76776</v>
      </c>
    </row>
    <row r="428" spans="1:10" x14ac:dyDescent="0.3">
      <c r="A428" t="s">
        <v>10</v>
      </c>
      <c r="B428" t="s">
        <v>84</v>
      </c>
      <c r="C428" t="s">
        <v>12</v>
      </c>
      <c r="D428" t="s">
        <v>63</v>
      </c>
      <c r="E428" s="36">
        <v>46002</v>
      </c>
      <c r="F428" t="s">
        <v>33</v>
      </c>
      <c r="G428">
        <v>3</v>
      </c>
      <c r="H428">
        <v>45000</v>
      </c>
      <c r="I428">
        <v>129143</v>
      </c>
      <c r="J428">
        <v>23246</v>
      </c>
    </row>
    <row r="429" spans="1:10" x14ac:dyDescent="0.3">
      <c r="A429" t="s">
        <v>10</v>
      </c>
      <c r="B429" t="s">
        <v>16</v>
      </c>
      <c r="C429" t="s">
        <v>12</v>
      </c>
      <c r="D429" t="s">
        <v>50</v>
      </c>
      <c r="E429" s="36">
        <v>45755</v>
      </c>
      <c r="F429" t="s">
        <v>14</v>
      </c>
      <c r="G429">
        <v>3</v>
      </c>
      <c r="H429">
        <v>18500</v>
      </c>
      <c r="I429">
        <v>60445</v>
      </c>
      <c r="J429">
        <v>7253</v>
      </c>
    </row>
    <row r="430" spans="1:10" x14ac:dyDescent="0.3">
      <c r="A430" t="s">
        <v>10</v>
      </c>
      <c r="B430" t="s">
        <v>88</v>
      </c>
      <c r="C430" t="s">
        <v>12</v>
      </c>
      <c r="D430" t="s">
        <v>218</v>
      </c>
      <c r="E430" s="36">
        <v>45897</v>
      </c>
      <c r="F430" t="s">
        <v>36</v>
      </c>
      <c r="G430">
        <v>2</v>
      </c>
      <c r="H430">
        <v>55000</v>
      </c>
      <c r="I430">
        <v>116448</v>
      </c>
      <c r="J430">
        <v>25619</v>
      </c>
    </row>
    <row r="431" spans="1:10" x14ac:dyDescent="0.3">
      <c r="A431" t="s">
        <v>10</v>
      </c>
      <c r="B431" t="s">
        <v>31</v>
      </c>
      <c r="C431" t="s">
        <v>12</v>
      </c>
      <c r="D431" t="s">
        <v>160</v>
      </c>
      <c r="E431" s="36">
        <v>45863</v>
      </c>
      <c r="F431" t="s">
        <v>33</v>
      </c>
      <c r="G431">
        <v>4</v>
      </c>
      <c r="H431">
        <v>45000</v>
      </c>
      <c r="I431">
        <v>171107</v>
      </c>
      <c r="J431">
        <v>30799</v>
      </c>
    </row>
    <row r="432" spans="1:10" x14ac:dyDescent="0.3">
      <c r="A432" t="s">
        <v>10</v>
      </c>
      <c r="B432" t="s">
        <v>77</v>
      </c>
      <c r="C432" t="s">
        <v>12</v>
      </c>
      <c r="D432" t="s">
        <v>133</v>
      </c>
      <c r="E432" s="36">
        <v>45900</v>
      </c>
      <c r="F432" t="s">
        <v>40</v>
      </c>
      <c r="G432">
        <v>10</v>
      </c>
      <c r="H432">
        <v>15000</v>
      </c>
      <c r="I432">
        <v>150677</v>
      </c>
      <c r="J432">
        <v>15068</v>
      </c>
    </row>
    <row r="433" spans="1:10" x14ac:dyDescent="0.3">
      <c r="A433" t="s">
        <v>10</v>
      </c>
      <c r="B433" t="s">
        <v>88</v>
      </c>
      <c r="C433" t="s">
        <v>12</v>
      </c>
      <c r="D433" t="s">
        <v>108</v>
      </c>
      <c r="E433" s="36">
        <v>45899</v>
      </c>
      <c r="F433" t="s">
        <v>33</v>
      </c>
      <c r="G433">
        <v>5</v>
      </c>
      <c r="H433">
        <v>45000</v>
      </c>
      <c r="I433">
        <v>209440</v>
      </c>
      <c r="J433">
        <v>37699</v>
      </c>
    </row>
    <row r="434" spans="1:10" x14ac:dyDescent="0.3">
      <c r="A434" t="s">
        <v>10</v>
      </c>
      <c r="B434" t="s">
        <v>51</v>
      </c>
      <c r="C434" t="s">
        <v>12</v>
      </c>
      <c r="D434" t="s">
        <v>39</v>
      </c>
      <c r="E434" s="36">
        <v>45861</v>
      </c>
      <c r="F434" t="s">
        <v>33</v>
      </c>
      <c r="G434">
        <v>5</v>
      </c>
      <c r="H434">
        <v>45000</v>
      </c>
      <c r="I434">
        <v>218909</v>
      </c>
      <c r="J434">
        <v>39404</v>
      </c>
    </row>
    <row r="435" spans="1:10" x14ac:dyDescent="0.3">
      <c r="A435" t="s">
        <v>10</v>
      </c>
      <c r="B435" t="s">
        <v>77</v>
      </c>
      <c r="C435" t="s">
        <v>12</v>
      </c>
      <c r="D435" t="s">
        <v>49</v>
      </c>
      <c r="E435" s="36">
        <v>45934</v>
      </c>
      <c r="F435" t="s">
        <v>40</v>
      </c>
      <c r="G435">
        <v>6</v>
      </c>
      <c r="H435">
        <v>15000</v>
      </c>
      <c r="I435">
        <v>92207</v>
      </c>
      <c r="J435">
        <v>9221</v>
      </c>
    </row>
    <row r="436" spans="1:10" x14ac:dyDescent="0.3">
      <c r="A436" t="s">
        <v>10</v>
      </c>
      <c r="B436" t="s">
        <v>11</v>
      </c>
      <c r="C436" t="s">
        <v>12</v>
      </c>
      <c r="D436" t="s">
        <v>13</v>
      </c>
      <c r="E436" s="36">
        <v>45687</v>
      </c>
      <c r="F436" t="s">
        <v>33</v>
      </c>
      <c r="G436">
        <v>1</v>
      </c>
      <c r="H436">
        <v>45000</v>
      </c>
      <c r="I436">
        <v>45120</v>
      </c>
      <c r="J436">
        <v>8122</v>
      </c>
    </row>
    <row r="437" spans="1:10" x14ac:dyDescent="0.3">
      <c r="A437" t="s">
        <v>10</v>
      </c>
      <c r="B437" t="s">
        <v>19</v>
      </c>
      <c r="C437" t="s">
        <v>12</v>
      </c>
      <c r="D437" t="s">
        <v>188</v>
      </c>
      <c r="E437" s="36">
        <v>45959</v>
      </c>
      <c r="F437" t="s">
        <v>40</v>
      </c>
      <c r="G437">
        <v>1</v>
      </c>
      <c r="H437">
        <v>15000</v>
      </c>
      <c r="I437">
        <v>15352</v>
      </c>
      <c r="J437">
        <v>1535</v>
      </c>
    </row>
    <row r="438" spans="1:10" x14ac:dyDescent="0.3">
      <c r="A438" t="s">
        <v>10</v>
      </c>
      <c r="B438" t="s">
        <v>31</v>
      </c>
      <c r="C438" t="s">
        <v>12</v>
      </c>
      <c r="D438" t="s">
        <v>212</v>
      </c>
      <c r="E438" s="36">
        <v>45724</v>
      </c>
      <c r="F438" t="s">
        <v>36</v>
      </c>
      <c r="G438">
        <v>8</v>
      </c>
      <c r="H438">
        <v>55000</v>
      </c>
      <c r="I438">
        <v>456253</v>
      </c>
      <c r="J438">
        <v>100376</v>
      </c>
    </row>
    <row r="439" spans="1:10" x14ac:dyDescent="0.3">
      <c r="A439" t="s">
        <v>10</v>
      </c>
      <c r="B439" t="s">
        <v>77</v>
      </c>
      <c r="C439" t="s">
        <v>12</v>
      </c>
      <c r="D439" t="s">
        <v>109</v>
      </c>
      <c r="E439" s="36">
        <v>45666</v>
      </c>
      <c r="F439" t="s">
        <v>33</v>
      </c>
      <c r="G439">
        <v>8</v>
      </c>
      <c r="H439">
        <v>45000</v>
      </c>
      <c r="I439">
        <v>333600</v>
      </c>
      <c r="J439">
        <v>60048</v>
      </c>
    </row>
    <row r="440" spans="1:10" x14ac:dyDescent="0.3">
      <c r="A440" t="s">
        <v>10</v>
      </c>
      <c r="B440" t="s">
        <v>84</v>
      </c>
      <c r="C440" t="s">
        <v>12</v>
      </c>
      <c r="D440" t="s">
        <v>58</v>
      </c>
      <c r="E440" s="36">
        <v>45785</v>
      </c>
      <c r="F440" t="s">
        <v>14</v>
      </c>
      <c r="G440">
        <v>10</v>
      </c>
      <c r="H440">
        <v>18500</v>
      </c>
      <c r="I440">
        <v>179558</v>
      </c>
      <c r="J440">
        <v>21547</v>
      </c>
    </row>
    <row r="441" spans="1:10" x14ac:dyDescent="0.3">
      <c r="A441" t="s">
        <v>10</v>
      </c>
      <c r="B441" t="s">
        <v>88</v>
      </c>
      <c r="C441" t="s">
        <v>12</v>
      </c>
      <c r="D441" t="s">
        <v>142</v>
      </c>
      <c r="E441" s="36">
        <v>45745</v>
      </c>
      <c r="F441" t="s">
        <v>14</v>
      </c>
      <c r="G441">
        <v>10</v>
      </c>
      <c r="H441">
        <v>18500</v>
      </c>
      <c r="I441">
        <v>173405</v>
      </c>
      <c r="J441">
        <v>20809</v>
      </c>
    </row>
    <row r="442" spans="1:10" x14ac:dyDescent="0.3">
      <c r="A442" t="s">
        <v>10</v>
      </c>
      <c r="B442" t="s">
        <v>19</v>
      </c>
      <c r="C442" t="s">
        <v>12</v>
      </c>
      <c r="D442" t="s">
        <v>94</v>
      </c>
      <c r="E442" s="36">
        <v>45744</v>
      </c>
      <c r="F442" t="s">
        <v>36</v>
      </c>
      <c r="G442">
        <v>3</v>
      </c>
      <c r="H442">
        <v>55000</v>
      </c>
      <c r="I442">
        <v>173041</v>
      </c>
      <c r="J442">
        <v>38069</v>
      </c>
    </row>
    <row r="443" spans="1:10" x14ac:dyDescent="0.3">
      <c r="A443" t="s">
        <v>10</v>
      </c>
      <c r="B443" t="s">
        <v>77</v>
      </c>
      <c r="C443" t="s">
        <v>12</v>
      </c>
      <c r="D443" t="s">
        <v>214</v>
      </c>
      <c r="E443" s="36">
        <v>45683</v>
      </c>
      <c r="F443" t="s">
        <v>14</v>
      </c>
      <c r="G443">
        <v>1</v>
      </c>
      <c r="H443">
        <v>18500</v>
      </c>
      <c r="I443">
        <v>18973</v>
      </c>
      <c r="J443">
        <v>2277</v>
      </c>
    </row>
    <row r="444" spans="1:10" x14ac:dyDescent="0.3">
      <c r="A444" t="s">
        <v>10</v>
      </c>
      <c r="B444" t="s">
        <v>31</v>
      </c>
      <c r="C444" t="s">
        <v>12</v>
      </c>
      <c r="D444" t="s">
        <v>236</v>
      </c>
      <c r="E444" s="36">
        <v>45904</v>
      </c>
      <c r="F444" t="s">
        <v>14</v>
      </c>
      <c r="G444">
        <v>4</v>
      </c>
      <c r="H444">
        <v>18500</v>
      </c>
      <c r="I444">
        <v>72063</v>
      </c>
      <c r="J444">
        <v>8648</v>
      </c>
    </row>
    <row r="445" spans="1:10" x14ac:dyDescent="0.3">
      <c r="A445" t="s">
        <v>10</v>
      </c>
      <c r="B445" t="s">
        <v>51</v>
      </c>
      <c r="C445" t="s">
        <v>12</v>
      </c>
      <c r="D445" t="s">
        <v>241</v>
      </c>
      <c r="E445" s="36">
        <v>45674</v>
      </c>
      <c r="F445" t="s">
        <v>36</v>
      </c>
      <c r="G445">
        <v>7</v>
      </c>
      <c r="H445">
        <v>55000</v>
      </c>
      <c r="I445">
        <v>419762</v>
      </c>
      <c r="J445">
        <v>92348</v>
      </c>
    </row>
    <row r="446" spans="1:10" x14ac:dyDescent="0.3">
      <c r="A446" t="s">
        <v>10</v>
      </c>
      <c r="B446" t="s">
        <v>11</v>
      </c>
      <c r="C446" t="s">
        <v>12</v>
      </c>
      <c r="D446" t="s">
        <v>214</v>
      </c>
      <c r="E446" s="36">
        <v>45821</v>
      </c>
      <c r="F446" t="s">
        <v>33</v>
      </c>
      <c r="G446">
        <v>8</v>
      </c>
      <c r="H446">
        <v>45000</v>
      </c>
      <c r="I446">
        <v>391894</v>
      </c>
      <c r="J446">
        <v>70541</v>
      </c>
    </row>
    <row r="447" spans="1:10" x14ac:dyDescent="0.3">
      <c r="A447" t="s">
        <v>10</v>
      </c>
      <c r="B447" t="s">
        <v>16</v>
      </c>
      <c r="C447" t="s">
        <v>12</v>
      </c>
      <c r="D447" t="s">
        <v>45</v>
      </c>
      <c r="E447" s="36">
        <v>45968</v>
      </c>
      <c r="F447" t="s">
        <v>36</v>
      </c>
      <c r="G447">
        <v>9</v>
      </c>
      <c r="H447">
        <v>55000</v>
      </c>
      <c r="I447">
        <v>524898</v>
      </c>
      <c r="J447">
        <v>115478</v>
      </c>
    </row>
    <row r="448" spans="1:10" x14ac:dyDescent="0.3">
      <c r="A448" t="s">
        <v>10</v>
      </c>
      <c r="B448" t="s">
        <v>16</v>
      </c>
      <c r="C448" t="s">
        <v>12</v>
      </c>
      <c r="D448" t="s">
        <v>100</v>
      </c>
      <c r="E448" s="36">
        <v>45813</v>
      </c>
      <c r="F448" t="s">
        <v>33</v>
      </c>
      <c r="G448">
        <v>3</v>
      </c>
      <c r="H448">
        <v>45000</v>
      </c>
      <c r="I448">
        <v>148006</v>
      </c>
      <c r="J448">
        <v>26641</v>
      </c>
    </row>
    <row r="449" spans="1:10" x14ac:dyDescent="0.3">
      <c r="A449" t="s">
        <v>10</v>
      </c>
      <c r="B449" t="s">
        <v>19</v>
      </c>
      <c r="C449" t="s">
        <v>12</v>
      </c>
      <c r="D449" t="s">
        <v>244</v>
      </c>
      <c r="E449" s="36">
        <v>45779</v>
      </c>
      <c r="F449" t="s">
        <v>40</v>
      </c>
      <c r="G449">
        <v>6</v>
      </c>
      <c r="H449">
        <v>15000</v>
      </c>
      <c r="I449">
        <v>94968</v>
      </c>
      <c r="J449">
        <v>9497</v>
      </c>
    </row>
    <row r="450" spans="1:10" x14ac:dyDescent="0.3">
      <c r="A450" t="s">
        <v>10</v>
      </c>
      <c r="B450" t="s">
        <v>77</v>
      </c>
      <c r="C450" t="s">
        <v>12</v>
      </c>
      <c r="D450" t="s">
        <v>213</v>
      </c>
      <c r="E450" s="36">
        <v>45686</v>
      </c>
      <c r="F450" t="s">
        <v>40</v>
      </c>
      <c r="G450">
        <v>5</v>
      </c>
      <c r="H450">
        <v>15000</v>
      </c>
      <c r="I450">
        <v>81166</v>
      </c>
      <c r="J450">
        <v>8117</v>
      </c>
    </row>
    <row r="451" spans="1:10" x14ac:dyDescent="0.3">
      <c r="A451" t="s">
        <v>10</v>
      </c>
      <c r="B451" t="s">
        <v>84</v>
      </c>
      <c r="C451" t="s">
        <v>12</v>
      </c>
      <c r="D451" t="s">
        <v>250</v>
      </c>
      <c r="E451" s="36">
        <v>45825</v>
      </c>
      <c r="F451" t="s">
        <v>40</v>
      </c>
      <c r="G451">
        <v>2</v>
      </c>
      <c r="H451">
        <v>15000</v>
      </c>
      <c r="I451">
        <v>32205</v>
      </c>
      <c r="J451">
        <v>3220</v>
      </c>
    </row>
    <row r="452" spans="1:10" x14ac:dyDescent="0.3">
      <c r="A452" t="s">
        <v>10</v>
      </c>
      <c r="B452" t="s">
        <v>51</v>
      </c>
      <c r="C452" t="s">
        <v>12</v>
      </c>
      <c r="D452" t="s">
        <v>243</v>
      </c>
      <c r="E452" s="36">
        <v>45669</v>
      </c>
      <c r="F452" t="s">
        <v>36</v>
      </c>
      <c r="G452">
        <v>8</v>
      </c>
      <c r="H452">
        <v>55000</v>
      </c>
      <c r="I452">
        <v>455739</v>
      </c>
      <c r="J452">
        <v>100263</v>
      </c>
    </row>
    <row r="453" spans="1:10" x14ac:dyDescent="0.3">
      <c r="A453" t="s">
        <v>10</v>
      </c>
      <c r="B453" t="s">
        <v>16</v>
      </c>
      <c r="C453" t="s">
        <v>12</v>
      </c>
      <c r="D453" t="s">
        <v>190</v>
      </c>
      <c r="E453" s="36">
        <v>45777</v>
      </c>
      <c r="F453" t="s">
        <v>14</v>
      </c>
      <c r="G453">
        <v>10</v>
      </c>
      <c r="H453">
        <v>18500</v>
      </c>
      <c r="I453">
        <v>199217</v>
      </c>
      <c r="J453">
        <v>23906</v>
      </c>
    </row>
    <row r="454" spans="1:10" x14ac:dyDescent="0.3">
      <c r="A454" t="s">
        <v>10</v>
      </c>
      <c r="B454" t="s">
        <v>16</v>
      </c>
      <c r="C454" t="s">
        <v>12</v>
      </c>
      <c r="D454" t="s">
        <v>152</v>
      </c>
      <c r="E454" s="36">
        <v>45972</v>
      </c>
      <c r="F454" t="s">
        <v>40</v>
      </c>
      <c r="G454">
        <v>3</v>
      </c>
      <c r="H454">
        <v>15000</v>
      </c>
      <c r="I454">
        <v>47410</v>
      </c>
      <c r="J454">
        <v>4741</v>
      </c>
    </row>
    <row r="455" spans="1:10" x14ac:dyDescent="0.3">
      <c r="A455" t="s">
        <v>10</v>
      </c>
      <c r="B455" t="s">
        <v>16</v>
      </c>
      <c r="C455" t="s">
        <v>12</v>
      </c>
      <c r="D455" t="s">
        <v>220</v>
      </c>
      <c r="E455" s="36">
        <v>45663</v>
      </c>
      <c r="F455" t="s">
        <v>33</v>
      </c>
      <c r="G455">
        <v>5</v>
      </c>
      <c r="H455">
        <v>45000</v>
      </c>
      <c r="I455">
        <v>209219</v>
      </c>
      <c r="J455">
        <v>37659</v>
      </c>
    </row>
    <row r="456" spans="1:10" x14ac:dyDescent="0.3">
      <c r="A456" t="s">
        <v>10</v>
      </c>
      <c r="B456" t="s">
        <v>88</v>
      </c>
      <c r="C456" t="s">
        <v>12</v>
      </c>
      <c r="D456" t="s">
        <v>96</v>
      </c>
      <c r="E456" s="36">
        <v>45741</v>
      </c>
      <c r="F456" t="s">
        <v>33</v>
      </c>
      <c r="G456">
        <v>10</v>
      </c>
      <c r="H456">
        <v>45000</v>
      </c>
      <c r="I456">
        <v>485340</v>
      </c>
      <c r="J456">
        <v>87361</v>
      </c>
    </row>
    <row r="457" spans="1:10" x14ac:dyDescent="0.3">
      <c r="A457" t="s">
        <v>10</v>
      </c>
      <c r="B457" t="s">
        <v>51</v>
      </c>
      <c r="C457" t="s">
        <v>12</v>
      </c>
      <c r="D457" t="s">
        <v>17</v>
      </c>
      <c r="E457" s="36">
        <v>45787</v>
      </c>
      <c r="F457" t="s">
        <v>36</v>
      </c>
      <c r="G457">
        <v>6</v>
      </c>
      <c r="H457">
        <v>55000</v>
      </c>
      <c r="I457">
        <v>320981</v>
      </c>
      <c r="J457">
        <v>70616</v>
      </c>
    </row>
    <row r="458" spans="1:10" x14ac:dyDescent="0.3">
      <c r="A458" t="s">
        <v>10</v>
      </c>
      <c r="B458" t="s">
        <v>77</v>
      </c>
      <c r="C458" t="s">
        <v>12</v>
      </c>
      <c r="D458" t="s">
        <v>169</v>
      </c>
      <c r="E458" s="36">
        <v>46022</v>
      </c>
      <c r="F458" t="s">
        <v>36</v>
      </c>
      <c r="G458">
        <v>4</v>
      </c>
      <c r="H458">
        <v>55000</v>
      </c>
      <c r="I458">
        <v>204808</v>
      </c>
      <c r="J458">
        <v>45058</v>
      </c>
    </row>
    <row r="459" spans="1:10" x14ac:dyDescent="0.3">
      <c r="A459" t="s">
        <v>10</v>
      </c>
      <c r="B459" t="s">
        <v>51</v>
      </c>
      <c r="C459" t="s">
        <v>12</v>
      </c>
      <c r="D459" t="s">
        <v>228</v>
      </c>
      <c r="E459" s="36">
        <v>45844</v>
      </c>
      <c r="F459" t="s">
        <v>33</v>
      </c>
      <c r="G459">
        <v>5</v>
      </c>
      <c r="H459">
        <v>45000</v>
      </c>
      <c r="I459">
        <v>237270</v>
      </c>
      <c r="J459">
        <v>42709</v>
      </c>
    </row>
    <row r="460" spans="1:10" x14ac:dyDescent="0.3">
      <c r="A460" t="s">
        <v>10</v>
      </c>
      <c r="B460" t="s">
        <v>11</v>
      </c>
      <c r="C460" t="s">
        <v>12</v>
      </c>
      <c r="D460" t="s">
        <v>163</v>
      </c>
      <c r="E460" s="36">
        <v>45745</v>
      </c>
      <c r="F460" t="s">
        <v>36</v>
      </c>
      <c r="G460">
        <v>2</v>
      </c>
      <c r="H460">
        <v>55000</v>
      </c>
      <c r="I460">
        <v>104772</v>
      </c>
      <c r="J460">
        <v>23050</v>
      </c>
    </row>
    <row r="461" spans="1:10" x14ac:dyDescent="0.3">
      <c r="A461" t="s">
        <v>10</v>
      </c>
      <c r="B461" t="s">
        <v>84</v>
      </c>
      <c r="C461" t="s">
        <v>12</v>
      </c>
      <c r="D461" t="s">
        <v>59</v>
      </c>
      <c r="E461" s="36">
        <v>45933</v>
      </c>
      <c r="F461" t="s">
        <v>36</v>
      </c>
      <c r="G461">
        <v>4</v>
      </c>
      <c r="H461">
        <v>55000</v>
      </c>
      <c r="I461">
        <v>238044</v>
      </c>
      <c r="J461">
        <v>52370</v>
      </c>
    </row>
    <row r="462" spans="1:10" x14ac:dyDescent="0.3">
      <c r="A462" t="s">
        <v>10</v>
      </c>
      <c r="B462" t="s">
        <v>84</v>
      </c>
      <c r="C462" t="s">
        <v>12</v>
      </c>
      <c r="D462" t="s">
        <v>169</v>
      </c>
      <c r="E462" s="36">
        <v>45675</v>
      </c>
      <c r="F462" t="s">
        <v>36</v>
      </c>
      <c r="G462">
        <v>3</v>
      </c>
      <c r="H462">
        <v>55000</v>
      </c>
      <c r="I462">
        <v>162824</v>
      </c>
      <c r="J462">
        <v>35821</v>
      </c>
    </row>
    <row r="463" spans="1:10" x14ac:dyDescent="0.3">
      <c r="A463" t="s">
        <v>10</v>
      </c>
      <c r="B463" t="s">
        <v>16</v>
      </c>
      <c r="C463" t="s">
        <v>12</v>
      </c>
      <c r="D463" t="s">
        <v>80</v>
      </c>
      <c r="E463" s="36">
        <v>45932</v>
      </c>
      <c r="F463" t="s">
        <v>14</v>
      </c>
      <c r="G463">
        <v>8</v>
      </c>
      <c r="H463">
        <v>18500</v>
      </c>
      <c r="I463">
        <v>135221</v>
      </c>
      <c r="J463">
        <v>16227</v>
      </c>
    </row>
    <row r="464" spans="1:10" x14ac:dyDescent="0.3">
      <c r="A464" t="s">
        <v>10</v>
      </c>
      <c r="B464" t="s">
        <v>77</v>
      </c>
      <c r="C464" t="s">
        <v>12</v>
      </c>
      <c r="D464" t="s">
        <v>227</v>
      </c>
      <c r="E464" s="36">
        <v>45951</v>
      </c>
      <c r="F464" t="s">
        <v>14</v>
      </c>
      <c r="G464">
        <v>3</v>
      </c>
      <c r="H464">
        <v>18500</v>
      </c>
      <c r="I464">
        <v>53732</v>
      </c>
      <c r="J464">
        <v>6448</v>
      </c>
    </row>
    <row r="465" spans="1:10" x14ac:dyDescent="0.3">
      <c r="A465" t="s">
        <v>10</v>
      </c>
      <c r="B465" t="s">
        <v>84</v>
      </c>
      <c r="C465" t="s">
        <v>12</v>
      </c>
      <c r="D465" t="s">
        <v>173</v>
      </c>
      <c r="E465" s="36">
        <v>45823</v>
      </c>
      <c r="F465" t="s">
        <v>40</v>
      </c>
      <c r="G465">
        <v>1</v>
      </c>
      <c r="H465">
        <v>15000</v>
      </c>
      <c r="I465">
        <v>16133</v>
      </c>
      <c r="J465">
        <v>1613</v>
      </c>
    </row>
    <row r="466" spans="1:10" x14ac:dyDescent="0.3">
      <c r="A466" t="s">
        <v>10</v>
      </c>
      <c r="B466" t="s">
        <v>88</v>
      </c>
      <c r="C466" t="s">
        <v>12</v>
      </c>
      <c r="D466" t="s">
        <v>201</v>
      </c>
      <c r="E466" s="36">
        <v>45856</v>
      </c>
      <c r="F466" t="s">
        <v>36</v>
      </c>
      <c r="G466">
        <v>7</v>
      </c>
      <c r="H466">
        <v>55000</v>
      </c>
      <c r="I466">
        <v>350238</v>
      </c>
      <c r="J466">
        <v>77052</v>
      </c>
    </row>
    <row r="467" spans="1:10" x14ac:dyDescent="0.3">
      <c r="A467" t="s">
        <v>10</v>
      </c>
      <c r="B467" t="s">
        <v>19</v>
      </c>
      <c r="C467" t="s">
        <v>12</v>
      </c>
      <c r="D467" t="s">
        <v>124</v>
      </c>
      <c r="E467" s="36">
        <v>45939</v>
      </c>
      <c r="F467" t="s">
        <v>14</v>
      </c>
      <c r="G467">
        <v>5</v>
      </c>
      <c r="H467">
        <v>18500</v>
      </c>
      <c r="I467">
        <v>91947</v>
      </c>
      <c r="J467">
        <v>11034</v>
      </c>
    </row>
    <row r="468" spans="1:10" x14ac:dyDescent="0.3">
      <c r="A468" t="s">
        <v>10</v>
      </c>
      <c r="B468" t="s">
        <v>31</v>
      </c>
      <c r="C468" t="s">
        <v>12</v>
      </c>
      <c r="D468" t="s">
        <v>174</v>
      </c>
      <c r="E468" s="36">
        <v>45737</v>
      </c>
      <c r="F468" t="s">
        <v>33</v>
      </c>
      <c r="G468">
        <v>4</v>
      </c>
      <c r="H468">
        <v>45000</v>
      </c>
      <c r="I468">
        <v>188659</v>
      </c>
      <c r="J468">
        <v>33959</v>
      </c>
    </row>
    <row r="469" spans="1:10" x14ac:dyDescent="0.3">
      <c r="A469" t="s">
        <v>10</v>
      </c>
      <c r="B469" t="s">
        <v>88</v>
      </c>
      <c r="C469" t="s">
        <v>12</v>
      </c>
      <c r="D469" t="s">
        <v>97</v>
      </c>
      <c r="E469" s="36">
        <v>45939</v>
      </c>
      <c r="F469" t="s">
        <v>36</v>
      </c>
      <c r="G469">
        <v>5</v>
      </c>
      <c r="H469">
        <v>55000</v>
      </c>
      <c r="I469">
        <v>247945</v>
      </c>
      <c r="J469">
        <v>54548</v>
      </c>
    </row>
    <row r="470" spans="1:10" x14ac:dyDescent="0.3">
      <c r="A470" t="s">
        <v>10</v>
      </c>
      <c r="B470" t="s">
        <v>11</v>
      </c>
      <c r="C470" t="s">
        <v>12</v>
      </c>
      <c r="D470" t="s">
        <v>97</v>
      </c>
      <c r="E470" s="36">
        <v>45660</v>
      </c>
      <c r="F470" t="s">
        <v>14</v>
      </c>
      <c r="G470">
        <v>8</v>
      </c>
      <c r="H470">
        <v>18500</v>
      </c>
      <c r="I470">
        <v>134517</v>
      </c>
      <c r="J470">
        <v>16142</v>
      </c>
    </row>
    <row r="471" spans="1:10" x14ac:dyDescent="0.3">
      <c r="A471" t="s">
        <v>10</v>
      </c>
      <c r="B471" t="s">
        <v>51</v>
      </c>
      <c r="C471" t="s">
        <v>12</v>
      </c>
      <c r="D471" t="s">
        <v>138</v>
      </c>
      <c r="E471" s="36">
        <v>45921</v>
      </c>
      <c r="F471" t="s">
        <v>40</v>
      </c>
      <c r="G471">
        <v>8</v>
      </c>
      <c r="H471">
        <v>15000</v>
      </c>
      <c r="I471">
        <v>121457</v>
      </c>
      <c r="J471">
        <v>12146</v>
      </c>
    </row>
    <row r="472" spans="1:10" x14ac:dyDescent="0.3">
      <c r="A472" t="s">
        <v>10</v>
      </c>
      <c r="B472" t="s">
        <v>77</v>
      </c>
      <c r="C472" t="s">
        <v>12</v>
      </c>
      <c r="D472" t="s">
        <v>223</v>
      </c>
      <c r="E472" s="36">
        <v>46003</v>
      </c>
      <c r="F472" t="s">
        <v>14</v>
      </c>
      <c r="G472">
        <v>8</v>
      </c>
      <c r="H472">
        <v>18500</v>
      </c>
      <c r="I472">
        <v>133659</v>
      </c>
      <c r="J472">
        <v>16039</v>
      </c>
    </row>
    <row r="473" spans="1:10" x14ac:dyDescent="0.3">
      <c r="A473" t="s">
        <v>10</v>
      </c>
      <c r="B473" t="s">
        <v>84</v>
      </c>
      <c r="C473" t="s">
        <v>12</v>
      </c>
      <c r="D473" t="s">
        <v>32</v>
      </c>
      <c r="E473" s="36">
        <v>45889</v>
      </c>
      <c r="F473" t="s">
        <v>33</v>
      </c>
      <c r="G473">
        <v>8</v>
      </c>
      <c r="H473">
        <v>45000</v>
      </c>
      <c r="I473">
        <v>345628</v>
      </c>
      <c r="J473">
        <v>62213</v>
      </c>
    </row>
    <row r="474" spans="1:10" x14ac:dyDescent="0.3">
      <c r="A474" t="s">
        <v>10</v>
      </c>
      <c r="B474" t="s">
        <v>84</v>
      </c>
      <c r="C474" t="s">
        <v>12</v>
      </c>
      <c r="D474" t="s">
        <v>53</v>
      </c>
      <c r="E474" s="36">
        <v>45900</v>
      </c>
      <c r="F474" t="s">
        <v>36</v>
      </c>
      <c r="G474">
        <v>9</v>
      </c>
      <c r="H474">
        <v>55000</v>
      </c>
      <c r="I474">
        <v>541159</v>
      </c>
      <c r="J474">
        <v>119055</v>
      </c>
    </row>
    <row r="475" spans="1:10" x14ac:dyDescent="0.3">
      <c r="A475" t="s">
        <v>10</v>
      </c>
      <c r="B475" t="s">
        <v>77</v>
      </c>
      <c r="C475" t="s">
        <v>12</v>
      </c>
      <c r="D475" t="s">
        <v>137</v>
      </c>
      <c r="E475" s="36">
        <v>45826</v>
      </c>
      <c r="F475" t="s">
        <v>40</v>
      </c>
      <c r="G475">
        <v>9</v>
      </c>
      <c r="H475">
        <v>15000</v>
      </c>
      <c r="I475">
        <v>121944</v>
      </c>
      <c r="J475">
        <v>12194</v>
      </c>
    </row>
    <row r="476" spans="1:10" x14ac:dyDescent="0.3">
      <c r="A476" t="s">
        <v>10</v>
      </c>
      <c r="B476" t="s">
        <v>77</v>
      </c>
      <c r="C476" t="s">
        <v>12</v>
      </c>
      <c r="D476" t="s">
        <v>199</v>
      </c>
      <c r="E476" s="36">
        <v>45715</v>
      </c>
      <c r="F476" t="s">
        <v>40</v>
      </c>
      <c r="G476">
        <v>8</v>
      </c>
      <c r="H476">
        <v>15000</v>
      </c>
      <c r="I476">
        <v>123823</v>
      </c>
      <c r="J476">
        <v>12382</v>
      </c>
    </row>
    <row r="477" spans="1:10" x14ac:dyDescent="0.3">
      <c r="A477" t="s">
        <v>10</v>
      </c>
      <c r="B477" t="s">
        <v>31</v>
      </c>
      <c r="C477" t="s">
        <v>12</v>
      </c>
      <c r="D477" t="s">
        <v>53</v>
      </c>
      <c r="E477" s="36">
        <v>45943</v>
      </c>
      <c r="F477" t="s">
        <v>14</v>
      </c>
      <c r="G477">
        <v>10</v>
      </c>
      <c r="H477">
        <v>18500</v>
      </c>
      <c r="I477">
        <v>180439</v>
      </c>
      <c r="J477">
        <v>21653</v>
      </c>
    </row>
    <row r="478" spans="1:10" x14ac:dyDescent="0.3">
      <c r="A478" t="s">
        <v>10</v>
      </c>
      <c r="B478" t="s">
        <v>51</v>
      </c>
      <c r="C478" t="s">
        <v>12</v>
      </c>
      <c r="D478" t="s">
        <v>141</v>
      </c>
      <c r="E478" s="36">
        <v>45965</v>
      </c>
      <c r="F478" t="s">
        <v>33</v>
      </c>
      <c r="G478">
        <v>10</v>
      </c>
      <c r="H478">
        <v>45000</v>
      </c>
      <c r="I478">
        <v>418718</v>
      </c>
      <c r="J478">
        <v>75369</v>
      </c>
    </row>
    <row r="479" spans="1:10" x14ac:dyDescent="0.3">
      <c r="A479" t="s">
        <v>10</v>
      </c>
      <c r="B479" t="s">
        <v>16</v>
      </c>
      <c r="C479" t="s">
        <v>12</v>
      </c>
      <c r="D479" t="s">
        <v>145</v>
      </c>
      <c r="E479" s="36">
        <v>45690</v>
      </c>
      <c r="F479" t="s">
        <v>14</v>
      </c>
      <c r="G479">
        <v>10</v>
      </c>
      <c r="H479">
        <v>18500</v>
      </c>
      <c r="I479">
        <v>202114</v>
      </c>
      <c r="J479">
        <v>24254</v>
      </c>
    </row>
    <row r="480" spans="1:10" x14ac:dyDescent="0.3">
      <c r="A480" t="s">
        <v>10</v>
      </c>
      <c r="B480" t="s">
        <v>31</v>
      </c>
      <c r="C480" t="s">
        <v>12</v>
      </c>
      <c r="D480" t="s">
        <v>224</v>
      </c>
      <c r="E480" s="36">
        <v>45911</v>
      </c>
      <c r="F480" t="s">
        <v>14</v>
      </c>
      <c r="G480">
        <v>9</v>
      </c>
      <c r="H480">
        <v>18500</v>
      </c>
      <c r="I480">
        <v>166262</v>
      </c>
      <c r="J480">
        <v>19951</v>
      </c>
    </row>
    <row r="481" spans="1:10" x14ac:dyDescent="0.3">
      <c r="A481" t="s">
        <v>10</v>
      </c>
      <c r="B481" t="s">
        <v>16</v>
      </c>
      <c r="C481" t="s">
        <v>12</v>
      </c>
      <c r="D481" t="s">
        <v>54</v>
      </c>
      <c r="E481" s="36">
        <v>45908</v>
      </c>
      <c r="F481" t="s">
        <v>36</v>
      </c>
      <c r="G481">
        <v>9</v>
      </c>
      <c r="H481">
        <v>55000</v>
      </c>
      <c r="I481">
        <v>509723</v>
      </c>
      <c r="J481">
        <v>112139</v>
      </c>
    </row>
    <row r="482" spans="1:10" x14ac:dyDescent="0.3">
      <c r="A482" t="s">
        <v>10</v>
      </c>
      <c r="B482" t="s">
        <v>77</v>
      </c>
      <c r="C482" t="s">
        <v>12</v>
      </c>
      <c r="D482" t="s">
        <v>134</v>
      </c>
      <c r="E482" s="36">
        <v>45894</v>
      </c>
      <c r="F482" t="s">
        <v>36</v>
      </c>
      <c r="G482">
        <v>3</v>
      </c>
      <c r="H482">
        <v>55000</v>
      </c>
      <c r="I482">
        <v>168674</v>
      </c>
      <c r="J482">
        <v>37108</v>
      </c>
    </row>
    <row r="483" spans="1:10" x14ac:dyDescent="0.3">
      <c r="A483" t="s">
        <v>10</v>
      </c>
      <c r="B483" t="s">
        <v>31</v>
      </c>
      <c r="C483" t="s">
        <v>12</v>
      </c>
      <c r="D483" t="s">
        <v>209</v>
      </c>
      <c r="E483" s="36">
        <v>45936</v>
      </c>
      <c r="F483" t="s">
        <v>33</v>
      </c>
      <c r="G483">
        <v>1</v>
      </c>
      <c r="H483">
        <v>45000</v>
      </c>
      <c r="I483">
        <v>49037</v>
      </c>
      <c r="J483">
        <v>8827</v>
      </c>
    </row>
    <row r="484" spans="1:10" x14ac:dyDescent="0.3">
      <c r="A484" t="s">
        <v>10</v>
      </c>
      <c r="B484" t="s">
        <v>11</v>
      </c>
      <c r="C484" t="s">
        <v>12</v>
      </c>
      <c r="D484" t="s">
        <v>153</v>
      </c>
      <c r="E484" s="36">
        <v>45962</v>
      </c>
      <c r="F484" t="s">
        <v>36</v>
      </c>
      <c r="G484">
        <v>9</v>
      </c>
      <c r="H484">
        <v>55000</v>
      </c>
      <c r="I484">
        <v>456990</v>
      </c>
      <c r="J484">
        <v>100538</v>
      </c>
    </row>
    <row r="485" spans="1:10" x14ac:dyDescent="0.3">
      <c r="A485" t="s">
        <v>10</v>
      </c>
      <c r="B485" t="s">
        <v>51</v>
      </c>
      <c r="C485" t="s">
        <v>12</v>
      </c>
      <c r="D485" t="s">
        <v>170</v>
      </c>
      <c r="E485" s="36">
        <v>45688</v>
      </c>
      <c r="F485" t="s">
        <v>14</v>
      </c>
      <c r="G485">
        <v>9</v>
      </c>
      <c r="H485">
        <v>18500</v>
      </c>
      <c r="I485">
        <v>152453</v>
      </c>
      <c r="J485">
        <v>18294</v>
      </c>
    </row>
    <row r="486" spans="1:10" x14ac:dyDescent="0.3">
      <c r="A486" t="s">
        <v>10</v>
      </c>
      <c r="B486" t="s">
        <v>77</v>
      </c>
      <c r="C486" t="s">
        <v>12</v>
      </c>
      <c r="D486" t="s">
        <v>176</v>
      </c>
      <c r="E486" s="36">
        <v>45863</v>
      </c>
      <c r="F486" t="s">
        <v>14</v>
      </c>
      <c r="G486">
        <v>9</v>
      </c>
      <c r="H486">
        <v>18500</v>
      </c>
      <c r="I486">
        <v>157527</v>
      </c>
      <c r="J486">
        <v>18903</v>
      </c>
    </row>
    <row r="487" spans="1:10" x14ac:dyDescent="0.3">
      <c r="A487" t="s">
        <v>10</v>
      </c>
      <c r="B487" t="s">
        <v>11</v>
      </c>
      <c r="C487" t="s">
        <v>12</v>
      </c>
      <c r="D487" t="s">
        <v>260</v>
      </c>
      <c r="E487" s="36">
        <v>45911</v>
      </c>
      <c r="F487" t="s">
        <v>40</v>
      </c>
      <c r="G487">
        <v>6</v>
      </c>
      <c r="H487">
        <v>15000</v>
      </c>
      <c r="I487">
        <v>89173</v>
      </c>
      <c r="J487">
        <v>8917</v>
      </c>
    </row>
    <row r="488" spans="1:10" x14ac:dyDescent="0.3">
      <c r="A488" t="s">
        <v>10</v>
      </c>
      <c r="B488" t="s">
        <v>11</v>
      </c>
      <c r="C488" t="s">
        <v>12</v>
      </c>
      <c r="D488" t="s">
        <v>194</v>
      </c>
      <c r="E488" s="36">
        <v>45792</v>
      </c>
      <c r="F488" t="s">
        <v>36</v>
      </c>
      <c r="G488">
        <v>1</v>
      </c>
      <c r="H488">
        <v>55000</v>
      </c>
      <c r="I488">
        <v>51468</v>
      </c>
      <c r="J488">
        <v>11323</v>
      </c>
    </row>
    <row r="489" spans="1:10" x14ac:dyDescent="0.3">
      <c r="A489" t="s">
        <v>10</v>
      </c>
      <c r="B489" t="s">
        <v>31</v>
      </c>
      <c r="C489" t="s">
        <v>12</v>
      </c>
      <c r="D489" t="s">
        <v>191</v>
      </c>
      <c r="E489" s="36">
        <v>45861</v>
      </c>
      <c r="F489" t="s">
        <v>40</v>
      </c>
      <c r="G489">
        <v>5</v>
      </c>
      <c r="H489">
        <v>15000</v>
      </c>
      <c r="I489">
        <v>67888</v>
      </c>
      <c r="J489">
        <v>6789</v>
      </c>
    </row>
    <row r="490" spans="1:10" x14ac:dyDescent="0.3">
      <c r="A490" t="s">
        <v>10</v>
      </c>
      <c r="B490" t="s">
        <v>84</v>
      </c>
      <c r="C490" t="s">
        <v>12</v>
      </c>
      <c r="D490" t="s">
        <v>165</v>
      </c>
      <c r="E490" s="36">
        <v>45950</v>
      </c>
      <c r="F490" t="s">
        <v>40</v>
      </c>
      <c r="G490">
        <v>4</v>
      </c>
      <c r="H490">
        <v>15000</v>
      </c>
      <c r="I490">
        <v>61496</v>
      </c>
      <c r="J490">
        <v>6150</v>
      </c>
    </row>
    <row r="491" spans="1:10" x14ac:dyDescent="0.3">
      <c r="A491" t="s">
        <v>10</v>
      </c>
      <c r="B491" t="s">
        <v>84</v>
      </c>
      <c r="C491" t="s">
        <v>12</v>
      </c>
      <c r="D491" t="s">
        <v>172</v>
      </c>
      <c r="E491" s="36">
        <v>45724</v>
      </c>
      <c r="F491" t="s">
        <v>33</v>
      </c>
      <c r="G491">
        <v>4</v>
      </c>
      <c r="H491">
        <v>45000</v>
      </c>
      <c r="I491">
        <v>192527</v>
      </c>
      <c r="J491">
        <v>34655</v>
      </c>
    </row>
    <row r="492" spans="1:10" x14ac:dyDescent="0.3">
      <c r="A492" t="s">
        <v>10</v>
      </c>
      <c r="B492" t="s">
        <v>88</v>
      </c>
      <c r="C492" t="s">
        <v>12</v>
      </c>
      <c r="D492" t="s">
        <v>194</v>
      </c>
      <c r="E492" s="36">
        <v>45876</v>
      </c>
      <c r="F492" t="s">
        <v>40</v>
      </c>
      <c r="G492">
        <v>5</v>
      </c>
      <c r="H492">
        <v>15000</v>
      </c>
      <c r="I492">
        <v>78323</v>
      </c>
      <c r="J492">
        <v>7832</v>
      </c>
    </row>
    <row r="493" spans="1:10" x14ac:dyDescent="0.3">
      <c r="A493" t="s">
        <v>10</v>
      </c>
      <c r="B493" t="s">
        <v>11</v>
      </c>
      <c r="C493" t="s">
        <v>12</v>
      </c>
      <c r="D493" t="s">
        <v>125</v>
      </c>
      <c r="E493" s="36">
        <v>45889</v>
      </c>
      <c r="F493" t="s">
        <v>14</v>
      </c>
      <c r="G493">
        <v>10</v>
      </c>
      <c r="H493">
        <v>18500</v>
      </c>
      <c r="I493">
        <v>182936</v>
      </c>
      <c r="J493">
        <v>21952</v>
      </c>
    </row>
    <row r="494" spans="1:10" x14ac:dyDescent="0.3">
      <c r="A494" t="s">
        <v>10</v>
      </c>
      <c r="B494" t="s">
        <v>84</v>
      </c>
      <c r="C494" t="s">
        <v>12</v>
      </c>
      <c r="D494" t="s">
        <v>243</v>
      </c>
      <c r="E494" s="36">
        <v>46022</v>
      </c>
      <c r="F494" t="s">
        <v>40</v>
      </c>
      <c r="G494">
        <v>6</v>
      </c>
      <c r="H494">
        <v>15000</v>
      </c>
      <c r="I494">
        <v>95924</v>
      </c>
      <c r="J494">
        <v>9592</v>
      </c>
    </row>
    <row r="495" spans="1:10" x14ac:dyDescent="0.3">
      <c r="A495" t="s">
        <v>10</v>
      </c>
      <c r="B495" t="s">
        <v>88</v>
      </c>
      <c r="C495" t="s">
        <v>12</v>
      </c>
      <c r="D495" t="s">
        <v>122</v>
      </c>
      <c r="E495" s="36">
        <v>45924</v>
      </c>
      <c r="F495" t="s">
        <v>14</v>
      </c>
      <c r="G495">
        <v>8</v>
      </c>
      <c r="H495">
        <v>18500</v>
      </c>
      <c r="I495">
        <v>155019</v>
      </c>
      <c r="J495">
        <v>18602</v>
      </c>
    </row>
    <row r="496" spans="1:10" x14ac:dyDescent="0.3">
      <c r="A496" t="s">
        <v>10</v>
      </c>
      <c r="B496" t="s">
        <v>84</v>
      </c>
      <c r="C496" t="s">
        <v>12</v>
      </c>
      <c r="D496" t="s">
        <v>58</v>
      </c>
      <c r="E496" s="36">
        <v>45875</v>
      </c>
      <c r="F496" t="s">
        <v>33</v>
      </c>
      <c r="G496">
        <v>2</v>
      </c>
      <c r="H496">
        <v>45000</v>
      </c>
      <c r="I496">
        <v>84935</v>
      </c>
      <c r="J496">
        <v>15288</v>
      </c>
    </row>
    <row r="497" spans="1:10" x14ac:dyDescent="0.3">
      <c r="A497" t="s">
        <v>10</v>
      </c>
      <c r="B497" t="s">
        <v>51</v>
      </c>
      <c r="C497" t="s">
        <v>12</v>
      </c>
      <c r="D497" t="s">
        <v>253</v>
      </c>
      <c r="E497" s="36">
        <v>45958</v>
      </c>
      <c r="F497" t="s">
        <v>36</v>
      </c>
      <c r="G497">
        <v>3</v>
      </c>
      <c r="H497">
        <v>55000</v>
      </c>
      <c r="I497">
        <v>178265</v>
      </c>
      <c r="J497">
        <v>39218</v>
      </c>
    </row>
    <row r="498" spans="1:10" x14ac:dyDescent="0.3">
      <c r="A498" t="s">
        <v>10</v>
      </c>
      <c r="B498" t="s">
        <v>31</v>
      </c>
      <c r="C498" t="s">
        <v>12</v>
      </c>
      <c r="D498" t="s">
        <v>128</v>
      </c>
      <c r="E498" s="36">
        <v>45789</v>
      </c>
      <c r="F498" t="s">
        <v>33</v>
      </c>
      <c r="G498">
        <v>3</v>
      </c>
      <c r="H498">
        <v>45000</v>
      </c>
      <c r="I498">
        <v>128473</v>
      </c>
      <c r="J498">
        <v>23125</v>
      </c>
    </row>
    <row r="499" spans="1:10" x14ac:dyDescent="0.3">
      <c r="A499" t="s">
        <v>10</v>
      </c>
      <c r="B499" t="s">
        <v>51</v>
      </c>
      <c r="C499" t="s">
        <v>12</v>
      </c>
      <c r="D499" t="s">
        <v>153</v>
      </c>
      <c r="E499" s="36">
        <v>46008</v>
      </c>
      <c r="F499" t="s">
        <v>33</v>
      </c>
      <c r="G499">
        <v>2</v>
      </c>
      <c r="H499">
        <v>45000</v>
      </c>
      <c r="I499">
        <v>86483</v>
      </c>
      <c r="J499">
        <v>15567</v>
      </c>
    </row>
    <row r="500" spans="1:10" x14ac:dyDescent="0.3">
      <c r="A500" t="s">
        <v>10</v>
      </c>
      <c r="B500" t="s">
        <v>77</v>
      </c>
      <c r="C500" t="s">
        <v>12</v>
      </c>
      <c r="D500" t="s">
        <v>225</v>
      </c>
      <c r="E500" s="36">
        <v>45818</v>
      </c>
      <c r="F500" t="s">
        <v>40</v>
      </c>
      <c r="G500">
        <v>8</v>
      </c>
      <c r="H500">
        <v>15000</v>
      </c>
      <c r="I500">
        <v>120020</v>
      </c>
      <c r="J500">
        <v>12002</v>
      </c>
    </row>
    <row r="501" spans="1:10" x14ac:dyDescent="0.3">
      <c r="A501" t="s">
        <v>10</v>
      </c>
      <c r="B501" t="s">
        <v>88</v>
      </c>
      <c r="C501" t="s">
        <v>12</v>
      </c>
      <c r="D501" t="s">
        <v>107</v>
      </c>
      <c r="E501" s="36">
        <v>45711</v>
      </c>
      <c r="F501" t="s">
        <v>14</v>
      </c>
      <c r="G501">
        <v>1</v>
      </c>
      <c r="H501">
        <v>18500</v>
      </c>
      <c r="I501">
        <v>18979</v>
      </c>
      <c r="J501">
        <v>2277</v>
      </c>
    </row>
    <row r="502" spans="1:10" x14ac:dyDescent="0.3">
      <c r="A502" t="s">
        <v>10</v>
      </c>
      <c r="B502" t="s">
        <v>51</v>
      </c>
      <c r="C502" t="s">
        <v>12</v>
      </c>
      <c r="D502" t="s">
        <v>156</v>
      </c>
      <c r="E502" s="36">
        <v>45666</v>
      </c>
      <c r="F502" t="s">
        <v>14</v>
      </c>
      <c r="G502">
        <v>5</v>
      </c>
      <c r="H502">
        <v>18500</v>
      </c>
      <c r="I502">
        <v>84232</v>
      </c>
      <c r="J502">
        <v>10108</v>
      </c>
    </row>
    <row r="503" spans="1:10" x14ac:dyDescent="0.3">
      <c r="A503" t="s">
        <v>10</v>
      </c>
      <c r="B503" t="s">
        <v>84</v>
      </c>
      <c r="C503" t="s">
        <v>12</v>
      </c>
      <c r="D503" t="s">
        <v>184</v>
      </c>
      <c r="E503" s="36">
        <v>45934</v>
      </c>
      <c r="F503" t="s">
        <v>33</v>
      </c>
      <c r="G503">
        <v>10</v>
      </c>
      <c r="H503">
        <v>45000</v>
      </c>
      <c r="I503">
        <v>476646</v>
      </c>
      <c r="J503">
        <v>85796</v>
      </c>
    </row>
    <row r="504" spans="1:10" x14ac:dyDescent="0.3">
      <c r="A504" t="s">
        <v>10</v>
      </c>
      <c r="B504" t="s">
        <v>84</v>
      </c>
      <c r="C504" t="s">
        <v>12</v>
      </c>
      <c r="D504" t="s">
        <v>173</v>
      </c>
      <c r="E504" s="36">
        <v>45775</v>
      </c>
      <c r="F504" t="s">
        <v>36</v>
      </c>
      <c r="G504">
        <v>9</v>
      </c>
      <c r="H504">
        <v>55000</v>
      </c>
      <c r="I504">
        <v>522658</v>
      </c>
      <c r="J504">
        <v>114985</v>
      </c>
    </row>
    <row r="505" spans="1:10" x14ac:dyDescent="0.3">
      <c r="A505" t="s">
        <v>10</v>
      </c>
      <c r="B505" t="s">
        <v>77</v>
      </c>
      <c r="C505" t="s">
        <v>12</v>
      </c>
      <c r="D505" t="s">
        <v>111</v>
      </c>
      <c r="E505" s="36">
        <v>45732</v>
      </c>
      <c r="F505" t="s">
        <v>40</v>
      </c>
      <c r="G505">
        <v>1</v>
      </c>
      <c r="H505">
        <v>15000</v>
      </c>
      <c r="I505">
        <v>13944</v>
      </c>
      <c r="J505">
        <v>1394</v>
      </c>
    </row>
    <row r="506" spans="1:10" x14ac:dyDescent="0.3">
      <c r="A506" t="s">
        <v>10</v>
      </c>
      <c r="B506" t="s">
        <v>19</v>
      </c>
      <c r="C506" t="s">
        <v>12</v>
      </c>
      <c r="D506" t="s">
        <v>241</v>
      </c>
      <c r="E506" s="36">
        <v>45851</v>
      </c>
      <c r="F506" t="s">
        <v>36</v>
      </c>
      <c r="G506">
        <v>5</v>
      </c>
      <c r="H506">
        <v>55000</v>
      </c>
      <c r="I506">
        <v>265258</v>
      </c>
      <c r="J506">
        <v>58357</v>
      </c>
    </row>
    <row r="507" spans="1:10" x14ac:dyDescent="0.3">
      <c r="A507" t="s">
        <v>10</v>
      </c>
      <c r="B507" t="s">
        <v>19</v>
      </c>
      <c r="C507" t="s">
        <v>12</v>
      </c>
      <c r="D507" t="s">
        <v>242</v>
      </c>
      <c r="E507" s="36">
        <v>45847</v>
      </c>
      <c r="F507" t="s">
        <v>14</v>
      </c>
      <c r="G507">
        <v>7</v>
      </c>
      <c r="H507">
        <v>18500</v>
      </c>
      <c r="I507">
        <v>125535</v>
      </c>
      <c r="J507">
        <v>15064</v>
      </c>
    </row>
    <row r="508" spans="1:10" x14ac:dyDescent="0.3">
      <c r="A508" t="s">
        <v>10</v>
      </c>
      <c r="B508" t="s">
        <v>16</v>
      </c>
      <c r="C508" t="s">
        <v>12</v>
      </c>
      <c r="D508" t="s">
        <v>173</v>
      </c>
      <c r="E508" s="36">
        <v>45726</v>
      </c>
      <c r="F508" t="s">
        <v>33</v>
      </c>
      <c r="G508">
        <v>2</v>
      </c>
      <c r="H508">
        <v>45000</v>
      </c>
      <c r="I508">
        <v>96658</v>
      </c>
      <c r="J508">
        <v>17398</v>
      </c>
    </row>
    <row r="509" spans="1:10" x14ac:dyDescent="0.3">
      <c r="A509" t="s">
        <v>10</v>
      </c>
      <c r="B509" t="s">
        <v>84</v>
      </c>
      <c r="C509" t="s">
        <v>12</v>
      </c>
      <c r="D509" t="s">
        <v>92</v>
      </c>
      <c r="E509" s="36">
        <v>46014</v>
      </c>
      <c r="F509" t="s">
        <v>33</v>
      </c>
      <c r="G509">
        <v>7</v>
      </c>
      <c r="H509">
        <v>45000</v>
      </c>
      <c r="I509">
        <v>342224</v>
      </c>
      <c r="J509">
        <v>61600</v>
      </c>
    </row>
    <row r="510" spans="1:10" x14ac:dyDescent="0.3">
      <c r="A510" t="s">
        <v>10</v>
      </c>
      <c r="B510" t="s">
        <v>31</v>
      </c>
      <c r="C510" t="s">
        <v>12</v>
      </c>
      <c r="D510" t="s">
        <v>114</v>
      </c>
      <c r="E510" s="36">
        <v>45939</v>
      </c>
      <c r="F510" t="s">
        <v>40</v>
      </c>
      <c r="G510">
        <v>8</v>
      </c>
      <c r="H510">
        <v>15000</v>
      </c>
      <c r="I510">
        <v>116795</v>
      </c>
      <c r="J510">
        <v>11680</v>
      </c>
    </row>
    <row r="511" spans="1:10" x14ac:dyDescent="0.3">
      <c r="A511" t="s">
        <v>10</v>
      </c>
      <c r="B511" t="s">
        <v>84</v>
      </c>
      <c r="C511" t="s">
        <v>12</v>
      </c>
      <c r="D511" t="s">
        <v>106</v>
      </c>
      <c r="E511" s="36">
        <v>46019</v>
      </c>
      <c r="F511" t="s">
        <v>33</v>
      </c>
      <c r="G511">
        <v>10</v>
      </c>
      <c r="H511">
        <v>45000</v>
      </c>
      <c r="I511">
        <v>477107</v>
      </c>
      <c r="J511">
        <v>85879</v>
      </c>
    </row>
    <row r="512" spans="1:10" x14ac:dyDescent="0.3">
      <c r="A512" t="s">
        <v>10</v>
      </c>
      <c r="B512" t="s">
        <v>31</v>
      </c>
      <c r="C512" t="s">
        <v>12</v>
      </c>
      <c r="D512" t="s">
        <v>219</v>
      </c>
      <c r="E512" s="36">
        <v>45751</v>
      </c>
      <c r="F512" t="s">
        <v>36</v>
      </c>
      <c r="G512">
        <v>7</v>
      </c>
      <c r="H512">
        <v>55000</v>
      </c>
      <c r="I512">
        <v>383896</v>
      </c>
      <c r="J512">
        <v>84457</v>
      </c>
    </row>
    <row r="513" spans="1:10" x14ac:dyDescent="0.3">
      <c r="A513" t="s">
        <v>10</v>
      </c>
      <c r="B513" t="s">
        <v>31</v>
      </c>
      <c r="C513" t="s">
        <v>12</v>
      </c>
      <c r="D513" t="s">
        <v>159</v>
      </c>
      <c r="E513" s="36">
        <v>45872</v>
      </c>
      <c r="F513" t="s">
        <v>14</v>
      </c>
      <c r="G513">
        <v>3</v>
      </c>
      <c r="H513">
        <v>18500</v>
      </c>
      <c r="I513">
        <v>58685</v>
      </c>
      <c r="J513">
        <v>7042</v>
      </c>
    </row>
    <row r="514" spans="1:10" x14ac:dyDescent="0.3">
      <c r="A514" t="s">
        <v>10</v>
      </c>
      <c r="B514" t="s">
        <v>19</v>
      </c>
      <c r="C514" t="s">
        <v>12</v>
      </c>
      <c r="D514" t="s">
        <v>201</v>
      </c>
      <c r="E514" s="36">
        <v>45800</v>
      </c>
      <c r="F514" t="s">
        <v>14</v>
      </c>
      <c r="G514">
        <v>10</v>
      </c>
      <c r="H514">
        <v>18500</v>
      </c>
      <c r="I514">
        <v>190344</v>
      </c>
      <c r="J514">
        <v>22841</v>
      </c>
    </row>
    <row r="515" spans="1:10" x14ac:dyDescent="0.3">
      <c r="A515" t="s">
        <v>10</v>
      </c>
      <c r="B515" t="s">
        <v>88</v>
      </c>
      <c r="C515" t="s">
        <v>12</v>
      </c>
      <c r="D515" t="s">
        <v>215</v>
      </c>
      <c r="E515" s="36">
        <v>45865</v>
      </c>
      <c r="F515" t="s">
        <v>36</v>
      </c>
      <c r="G515">
        <v>10</v>
      </c>
      <c r="H515">
        <v>55000</v>
      </c>
      <c r="I515">
        <v>565289</v>
      </c>
      <c r="J515">
        <v>124364</v>
      </c>
    </row>
    <row r="516" spans="1:10" x14ac:dyDescent="0.3">
      <c r="A516" t="s">
        <v>10</v>
      </c>
      <c r="B516" t="s">
        <v>16</v>
      </c>
      <c r="C516" t="s">
        <v>12</v>
      </c>
      <c r="D516" t="s">
        <v>150</v>
      </c>
      <c r="E516" s="36">
        <v>45998</v>
      </c>
      <c r="F516" t="s">
        <v>36</v>
      </c>
      <c r="G516">
        <v>5</v>
      </c>
      <c r="H516">
        <v>55000</v>
      </c>
      <c r="I516">
        <v>252320</v>
      </c>
      <c r="J516">
        <v>55510</v>
      </c>
    </row>
    <row r="517" spans="1:10" x14ac:dyDescent="0.3">
      <c r="A517" t="s">
        <v>10</v>
      </c>
      <c r="B517" t="s">
        <v>84</v>
      </c>
      <c r="C517" t="s">
        <v>12</v>
      </c>
      <c r="D517" t="s">
        <v>251</v>
      </c>
      <c r="E517" s="36">
        <v>45727</v>
      </c>
      <c r="F517" t="s">
        <v>40</v>
      </c>
      <c r="G517">
        <v>6</v>
      </c>
      <c r="H517">
        <v>15000</v>
      </c>
      <c r="I517">
        <v>86191</v>
      </c>
      <c r="J517">
        <v>8619</v>
      </c>
    </row>
    <row r="518" spans="1:10" x14ac:dyDescent="0.3">
      <c r="A518" t="s">
        <v>10</v>
      </c>
      <c r="B518" t="s">
        <v>88</v>
      </c>
      <c r="C518" t="s">
        <v>12</v>
      </c>
      <c r="D518" t="s">
        <v>186</v>
      </c>
      <c r="E518" s="36">
        <v>45923</v>
      </c>
      <c r="F518" t="s">
        <v>40</v>
      </c>
      <c r="G518">
        <v>4</v>
      </c>
      <c r="H518">
        <v>15000</v>
      </c>
      <c r="I518">
        <v>62331</v>
      </c>
      <c r="J518">
        <v>6233</v>
      </c>
    </row>
    <row r="519" spans="1:10" x14ac:dyDescent="0.3">
      <c r="A519" t="s">
        <v>10</v>
      </c>
      <c r="B519" t="s">
        <v>77</v>
      </c>
      <c r="C519" t="s">
        <v>12</v>
      </c>
      <c r="D519" t="s">
        <v>218</v>
      </c>
      <c r="E519" s="36">
        <v>45699</v>
      </c>
      <c r="F519" t="s">
        <v>40</v>
      </c>
      <c r="G519">
        <v>1</v>
      </c>
      <c r="H519">
        <v>15000</v>
      </c>
      <c r="I519">
        <v>14674</v>
      </c>
      <c r="J519">
        <v>1467</v>
      </c>
    </row>
    <row r="520" spans="1:10" x14ac:dyDescent="0.3">
      <c r="A520" t="s">
        <v>10</v>
      </c>
      <c r="B520" t="s">
        <v>84</v>
      </c>
      <c r="C520" t="s">
        <v>12</v>
      </c>
      <c r="D520" t="s">
        <v>176</v>
      </c>
      <c r="E520" s="36">
        <v>45801</v>
      </c>
      <c r="F520" t="s">
        <v>33</v>
      </c>
      <c r="G520">
        <v>3</v>
      </c>
      <c r="H520">
        <v>45000</v>
      </c>
      <c r="I520">
        <v>141077</v>
      </c>
      <c r="J520">
        <v>25394</v>
      </c>
    </row>
    <row r="521" spans="1:10" x14ac:dyDescent="0.3">
      <c r="A521" t="s">
        <v>10</v>
      </c>
      <c r="B521" t="s">
        <v>77</v>
      </c>
      <c r="C521" t="s">
        <v>12</v>
      </c>
      <c r="D521" t="s">
        <v>198</v>
      </c>
      <c r="E521" s="36">
        <v>45752</v>
      </c>
      <c r="F521" t="s">
        <v>40</v>
      </c>
      <c r="G521">
        <v>7</v>
      </c>
      <c r="H521">
        <v>15000</v>
      </c>
      <c r="I521">
        <v>105493</v>
      </c>
      <c r="J521">
        <v>10549</v>
      </c>
    </row>
    <row r="522" spans="1:10" x14ac:dyDescent="0.3">
      <c r="A522" t="s">
        <v>10</v>
      </c>
      <c r="B522" t="s">
        <v>77</v>
      </c>
      <c r="C522" t="s">
        <v>12</v>
      </c>
      <c r="D522" t="s">
        <v>52</v>
      </c>
      <c r="E522" s="36">
        <v>45693</v>
      </c>
      <c r="F522" t="s">
        <v>36</v>
      </c>
      <c r="G522">
        <v>7</v>
      </c>
      <c r="H522">
        <v>55000</v>
      </c>
      <c r="I522">
        <v>382965</v>
      </c>
      <c r="J522">
        <v>84252</v>
      </c>
    </row>
    <row r="523" spans="1:10" x14ac:dyDescent="0.3">
      <c r="A523" t="s">
        <v>10</v>
      </c>
      <c r="B523" t="s">
        <v>84</v>
      </c>
      <c r="C523" t="s">
        <v>12</v>
      </c>
      <c r="D523" t="s">
        <v>125</v>
      </c>
      <c r="E523" s="36">
        <v>45754</v>
      </c>
      <c r="F523" t="s">
        <v>40</v>
      </c>
      <c r="G523">
        <v>2</v>
      </c>
      <c r="H523">
        <v>15000</v>
      </c>
      <c r="I523">
        <v>29000</v>
      </c>
      <c r="J523">
        <v>2900</v>
      </c>
    </row>
    <row r="524" spans="1:10" x14ac:dyDescent="0.3">
      <c r="A524" t="s">
        <v>10</v>
      </c>
      <c r="B524" t="s">
        <v>84</v>
      </c>
      <c r="C524" t="s">
        <v>12</v>
      </c>
      <c r="D524" t="s">
        <v>55</v>
      </c>
      <c r="E524" s="36">
        <v>45809</v>
      </c>
      <c r="F524" t="s">
        <v>40</v>
      </c>
      <c r="G524">
        <v>6</v>
      </c>
      <c r="H524">
        <v>15000</v>
      </c>
      <c r="I524">
        <v>88382</v>
      </c>
      <c r="J524">
        <v>8838</v>
      </c>
    </row>
    <row r="525" spans="1:10" x14ac:dyDescent="0.3">
      <c r="A525" t="s">
        <v>10</v>
      </c>
      <c r="B525" t="s">
        <v>51</v>
      </c>
      <c r="C525" t="s">
        <v>12</v>
      </c>
      <c r="D525" t="s">
        <v>162</v>
      </c>
      <c r="E525" s="36">
        <v>45659</v>
      </c>
      <c r="F525" t="s">
        <v>14</v>
      </c>
      <c r="G525">
        <v>1</v>
      </c>
      <c r="H525">
        <v>18500</v>
      </c>
      <c r="I525">
        <v>16959</v>
      </c>
      <c r="J525">
        <v>2035</v>
      </c>
    </row>
    <row r="526" spans="1:10" x14ac:dyDescent="0.3">
      <c r="A526" t="s">
        <v>10</v>
      </c>
      <c r="B526" t="s">
        <v>84</v>
      </c>
      <c r="C526" t="s">
        <v>12</v>
      </c>
      <c r="D526" t="s">
        <v>121</v>
      </c>
      <c r="E526" s="36">
        <v>45800</v>
      </c>
      <c r="F526" t="s">
        <v>14</v>
      </c>
      <c r="G526">
        <v>6</v>
      </c>
      <c r="H526">
        <v>18500</v>
      </c>
      <c r="I526">
        <v>111787</v>
      </c>
      <c r="J526">
        <v>13414</v>
      </c>
    </row>
    <row r="527" spans="1:10" x14ac:dyDescent="0.3">
      <c r="A527" t="s">
        <v>10</v>
      </c>
      <c r="B527" t="s">
        <v>19</v>
      </c>
      <c r="C527" t="s">
        <v>12</v>
      </c>
      <c r="D527" t="s">
        <v>146</v>
      </c>
      <c r="E527" s="36">
        <v>45919</v>
      </c>
      <c r="F527" t="s">
        <v>36</v>
      </c>
      <c r="G527">
        <v>5</v>
      </c>
      <c r="H527">
        <v>55000</v>
      </c>
      <c r="I527">
        <v>279637</v>
      </c>
      <c r="J527">
        <v>61520</v>
      </c>
    </row>
    <row r="528" spans="1:10" x14ac:dyDescent="0.3">
      <c r="A528" t="s">
        <v>10</v>
      </c>
      <c r="B528" t="s">
        <v>88</v>
      </c>
      <c r="C528" t="s">
        <v>12</v>
      </c>
      <c r="D528" t="s">
        <v>55</v>
      </c>
      <c r="E528" s="36">
        <v>45664</v>
      </c>
      <c r="F528" t="s">
        <v>40</v>
      </c>
      <c r="G528">
        <v>4</v>
      </c>
      <c r="H528">
        <v>15000</v>
      </c>
      <c r="I528">
        <v>55857</v>
      </c>
      <c r="J528">
        <v>5586</v>
      </c>
    </row>
    <row r="529" spans="1:10" x14ac:dyDescent="0.3">
      <c r="A529" t="s">
        <v>10</v>
      </c>
      <c r="B529" t="s">
        <v>84</v>
      </c>
      <c r="C529" t="s">
        <v>12</v>
      </c>
      <c r="D529" t="s">
        <v>92</v>
      </c>
      <c r="E529" s="36">
        <v>45901</v>
      </c>
      <c r="F529" t="s">
        <v>14</v>
      </c>
      <c r="G529">
        <v>5</v>
      </c>
      <c r="H529">
        <v>18500</v>
      </c>
      <c r="I529">
        <v>84071</v>
      </c>
      <c r="J529">
        <v>10089</v>
      </c>
    </row>
    <row r="530" spans="1:10" x14ac:dyDescent="0.3">
      <c r="A530" t="s">
        <v>10</v>
      </c>
      <c r="B530" t="s">
        <v>88</v>
      </c>
      <c r="C530" t="s">
        <v>12</v>
      </c>
      <c r="D530" t="s">
        <v>67</v>
      </c>
      <c r="E530" s="36">
        <v>45679</v>
      </c>
      <c r="F530" t="s">
        <v>14</v>
      </c>
      <c r="G530">
        <v>1</v>
      </c>
      <c r="H530">
        <v>18500</v>
      </c>
      <c r="I530">
        <v>18595</v>
      </c>
      <c r="J530">
        <v>2231</v>
      </c>
    </row>
    <row r="531" spans="1:10" x14ac:dyDescent="0.3">
      <c r="A531" t="s">
        <v>10</v>
      </c>
      <c r="B531" t="s">
        <v>11</v>
      </c>
      <c r="C531" t="s">
        <v>12</v>
      </c>
      <c r="D531" t="s">
        <v>164</v>
      </c>
      <c r="E531" s="36">
        <v>45727</v>
      </c>
      <c r="F531" t="s">
        <v>14</v>
      </c>
      <c r="G531">
        <v>6</v>
      </c>
      <c r="H531">
        <v>18500</v>
      </c>
      <c r="I531">
        <v>121685</v>
      </c>
      <c r="J531">
        <v>14602</v>
      </c>
    </row>
    <row r="532" spans="1:10" x14ac:dyDescent="0.3">
      <c r="A532" t="s">
        <v>10</v>
      </c>
      <c r="B532" t="s">
        <v>84</v>
      </c>
      <c r="C532" t="s">
        <v>12</v>
      </c>
      <c r="D532" t="s">
        <v>209</v>
      </c>
      <c r="E532" s="36">
        <v>45796</v>
      </c>
      <c r="F532" t="s">
        <v>33</v>
      </c>
      <c r="G532">
        <v>8</v>
      </c>
      <c r="H532">
        <v>45000</v>
      </c>
      <c r="I532">
        <v>366838</v>
      </c>
      <c r="J532">
        <v>66031</v>
      </c>
    </row>
    <row r="533" spans="1:10" x14ac:dyDescent="0.3">
      <c r="A533" t="s">
        <v>10</v>
      </c>
      <c r="B533" t="s">
        <v>88</v>
      </c>
      <c r="C533" t="s">
        <v>12</v>
      </c>
      <c r="D533" t="s">
        <v>227</v>
      </c>
      <c r="E533" s="36">
        <v>45868</v>
      </c>
      <c r="F533" t="s">
        <v>40</v>
      </c>
      <c r="G533">
        <v>2</v>
      </c>
      <c r="H533">
        <v>15000</v>
      </c>
      <c r="I533">
        <v>27079</v>
      </c>
      <c r="J533">
        <v>2708</v>
      </c>
    </row>
    <row r="534" spans="1:10" x14ac:dyDescent="0.3">
      <c r="A534" t="s">
        <v>10</v>
      </c>
      <c r="B534" t="s">
        <v>77</v>
      </c>
      <c r="C534" t="s">
        <v>12</v>
      </c>
      <c r="D534" t="s">
        <v>145</v>
      </c>
      <c r="E534" s="36">
        <v>45968</v>
      </c>
      <c r="F534" t="s">
        <v>36</v>
      </c>
      <c r="G534">
        <v>3</v>
      </c>
      <c r="H534">
        <v>55000</v>
      </c>
      <c r="I534">
        <v>162335</v>
      </c>
      <c r="J534">
        <v>35714</v>
      </c>
    </row>
    <row r="535" spans="1:10" x14ac:dyDescent="0.3">
      <c r="A535" t="s">
        <v>10</v>
      </c>
      <c r="B535" t="s">
        <v>19</v>
      </c>
      <c r="C535" t="s">
        <v>12</v>
      </c>
      <c r="D535" t="s">
        <v>67</v>
      </c>
      <c r="E535" s="36">
        <v>45863</v>
      </c>
      <c r="F535" t="s">
        <v>36</v>
      </c>
      <c r="G535">
        <v>7</v>
      </c>
      <c r="H535">
        <v>55000</v>
      </c>
      <c r="I535">
        <v>363486</v>
      </c>
      <c r="J535">
        <v>79967</v>
      </c>
    </row>
    <row r="536" spans="1:10" x14ac:dyDescent="0.3">
      <c r="A536" t="s">
        <v>10</v>
      </c>
      <c r="B536" t="s">
        <v>77</v>
      </c>
      <c r="C536" t="s">
        <v>12</v>
      </c>
      <c r="D536" t="s">
        <v>190</v>
      </c>
      <c r="E536" s="36">
        <v>45975</v>
      </c>
      <c r="F536" t="s">
        <v>36</v>
      </c>
      <c r="G536">
        <v>9</v>
      </c>
      <c r="H536">
        <v>55000</v>
      </c>
      <c r="I536">
        <v>497719</v>
      </c>
      <c r="J536">
        <v>109498</v>
      </c>
    </row>
    <row r="537" spans="1:10" x14ac:dyDescent="0.3">
      <c r="A537" t="s">
        <v>10</v>
      </c>
      <c r="B537" t="s">
        <v>84</v>
      </c>
      <c r="C537" t="s">
        <v>12</v>
      </c>
      <c r="D537" t="s">
        <v>47</v>
      </c>
      <c r="E537" s="36">
        <v>45689</v>
      </c>
      <c r="F537" t="s">
        <v>33</v>
      </c>
      <c r="G537">
        <v>8</v>
      </c>
      <c r="H537">
        <v>45000</v>
      </c>
      <c r="I537">
        <v>357540</v>
      </c>
      <c r="J537">
        <v>64357</v>
      </c>
    </row>
    <row r="538" spans="1:10" x14ac:dyDescent="0.3">
      <c r="A538" t="s">
        <v>10</v>
      </c>
      <c r="B538" t="s">
        <v>84</v>
      </c>
      <c r="C538" t="s">
        <v>12</v>
      </c>
      <c r="D538" t="s">
        <v>85</v>
      </c>
      <c r="E538" s="36">
        <v>45668</v>
      </c>
      <c r="F538" t="s">
        <v>36</v>
      </c>
      <c r="G538">
        <v>9</v>
      </c>
      <c r="H538">
        <v>55000</v>
      </c>
      <c r="I538">
        <v>497408</v>
      </c>
      <c r="J538">
        <v>109430</v>
      </c>
    </row>
    <row r="539" spans="1:10" x14ac:dyDescent="0.3">
      <c r="A539" t="s">
        <v>10</v>
      </c>
      <c r="B539" t="s">
        <v>31</v>
      </c>
      <c r="C539" t="s">
        <v>12</v>
      </c>
      <c r="D539" t="s">
        <v>115</v>
      </c>
      <c r="E539" s="36">
        <v>46022</v>
      </c>
      <c r="F539" t="s">
        <v>14</v>
      </c>
      <c r="G539">
        <v>7</v>
      </c>
      <c r="H539">
        <v>18500</v>
      </c>
      <c r="I539">
        <v>117509</v>
      </c>
      <c r="J539">
        <v>14101</v>
      </c>
    </row>
    <row r="540" spans="1:10" x14ac:dyDescent="0.3">
      <c r="A540" t="s">
        <v>10</v>
      </c>
      <c r="B540" t="s">
        <v>19</v>
      </c>
      <c r="C540" t="s">
        <v>12</v>
      </c>
      <c r="D540" t="s">
        <v>191</v>
      </c>
      <c r="E540" s="36">
        <v>45909</v>
      </c>
      <c r="F540" t="s">
        <v>14</v>
      </c>
      <c r="G540">
        <v>5</v>
      </c>
      <c r="H540">
        <v>18500</v>
      </c>
      <c r="I540">
        <v>84028</v>
      </c>
      <c r="J540">
        <v>10083</v>
      </c>
    </row>
    <row r="541" spans="1:10" x14ac:dyDescent="0.3">
      <c r="A541" t="s">
        <v>10</v>
      </c>
      <c r="B541" t="s">
        <v>19</v>
      </c>
      <c r="C541" t="s">
        <v>12</v>
      </c>
      <c r="D541" t="s">
        <v>223</v>
      </c>
      <c r="E541" s="36">
        <v>45735</v>
      </c>
      <c r="F541" t="s">
        <v>33</v>
      </c>
      <c r="G541">
        <v>4</v>
      </c>
      <c r="H541">
        <v>45000</v>
      </c>
      <c r="I541">
        <v>169903</v>
      </c>
      <c r="J541">
        <v>30583</v>
      </c>
    </row>
    <row r="542" spans="1:10" x14ac:dyDescent="0.3">
      <c r="A542" t="s">
        <v>10</v>
      </c>
      <c r="B542" t="s">
        <v>16</v>
      </c>
      <c r="C542" t="s">
        <v>12</v>
      </c>
      <c r="D542" t="s">
        <v>74</v>
      </c>
      <c r="E542" s="36">
        <v>45814</v>
      </c>
      <c r="F542" t="s">
        <v>36</v>
      </c>
      <c r="G542">
        <v>2</v>
      </c>
      <c r="H542">
        <v>55000</v>
      </c>
      <c r="I542">
        <v>102670</v>
      </c>
      <c r="J542">
        <v>22587</v>
      </c>
    </row>
    <row r="543" spans="1:10" x14ac:dyDescent="0.3">
      <c r="A543" t="s">
        <v>10</v>
      </c>
      <c r="B543" t="s">
        <v>16</v>
      </c>
      <c r="C543" t="s">
        <v>12</v>
      </c>
      <c r="D543" t="s">
        <v>169</v>
      </c>
      <c r="E543" s="36">
        <v>45810</v>
      </c>
      <c r="F543" t="s">
        <v>40</v>
      </c>
      <c r="G543">
        <v>2</v>
      </c>
      <c r="H543">
        <v>15000</v>
      </c>
      <c r="I543">
        <v>30397</v>
      </c>
      <c r="J543">
        <v>3040</v>
      </c>
    </row>
    <row r="544" spans="1:10" x14ac:dyDescent="0.3">
      <c r="A544" t="s">
        <v>10</v>
      </c>
      <c r="B544" t="s">
        <v>84</v>
      </c>
      <c r="C544" t="s">
        <v>12</v>
      </c>
      <c r="D544" t="s">
        <v>212</v>
      </c>
      <c r="E544" s="36">
        <v>45762</v>
      </c>
      <c r="F544" t="s">
        <v>33</v>
      </c>
      <c r="G544">
        <v>2</v>
      </c>
      <c r="H544">
        <v>45000</v>
      </c>
      <c r="I544">
        <v>87439</v>
      </c>
      <c r="J544">
        <v>15739</v>
      </c>
    </row>
    <row r="545" spans="1:10" x14ac:dyDescent="0.3">
      <c r="A545" t="s">
        <v>10</v>
      </c>
      <c r="B545" t="s">
        <v>51</v>
      </c>
      <c r="C545" t="s">
        <v>12</v>
      </c>
      <c r="D545" t="s">
        <v>210</v>
      </c>
      <c r="E545" s="36">
        <v>45910</v>
      </c>
      <c r="F545" t="s">
        <v>36</v>
      </c>
      <c r="G545">
        <v>10</v>
      </c>
      <c r="H545">
        <v>55000</v>
      </c>
      <c r="I545">
        <v>538934</v>
      </c>
      <c r="J545">
        <v>118565</v>
      </c>
    </row>
    <row r="546" spans="1:10" x14ac:dyDescent="0.3">
      <c r="A546" t="s">
        <v>10</v>
      </c>
      <c r="B546" t="s">
        <v>19</v>
      </c>
      <c r="C546" t="s">
        <v>12</v>
      </c>
      <c r="D546" t="s">
        <v>221</v>
      </c>
      <c r="E546" s="36">
        <v>45786</v>
      </c>
      <c r="F546" t="s">
        <v>36</v>
      </c>
      <c r="G546">
        <v>5</v>
      </c>
      <c r="H546">
        <v>55000</v>
      </c>
      <c r="I546">
        <v>267838</v>
      </c>
      <c r="J546">
        <v>58924</v>
      </c>
    </row>
    <row r="547" spans="1:10" x14ac:dyDescent="0.3">
      <c r="A547" t="s">
        <v>10</v>
      </c>
      <c r="B547" t="s">
        <v>31</v>
      </c>
      <c r="C547" t="s">
        <v>12</v>
      </c>
      <c r="D547" t="s">
        <v>114</v>
      </c>
      <c r="E547" s="36">
        <v>45956</v>
      </c>
      <c r="F547" t="s">
        <v>36</v>
      </c>
      <c r="G547">
        <v>6</v>
      </c>
      <c r="H547">
        <v>55000</v>
      </c>
      <c r="I547">
        <v>343221</v>
      </c>
      <c r="J547">
        <v>75509</v>
      </c>
    </row>
    <row r="548" spans="1:10" x14ac:dyDescent="0.3">
      <c r="A548" t="s">
        <v>10</v>
      </c>
      <c r="B548" t="s">
        <v>51</v>
      </c>
      <c r="C548" t="s">
        <v>12</v>
      </c>
      <c r="D548" t="s">
        <v>110</v>
      </c>
      <c r="E548" s="36">
        <v>46004</v>
      </c>
      <c r="F548" t="s">
        <v>14</v>
      </c>
      <c r="G548">
        <v>4</v>
      </c>
      <c r="H548">
        <v>18500</v>
      </c>
      <c r="I548">
        <v>76417</v>
      </c>
      <c r="J548">
        <v>9170</v>
      </c>
    </row>
    <row r="549" spans="1:10" x14ac:dyDescent="0.3">
      <c r="A549" t="s">
        <v>10</v>
      </c>
      <c r="B549" t="s">
        <v>11</v>
      </c>
      <c r="C549" t="s">
        <v>12</v>
      </c>
      <c r="D549" t="s">
        <v>200</v>
      </c>
      <c r="E549" s="36">
        <v>45763</v>
      </c>
      <c r="F549" t="s">
        <v>33</v>
      </c>
      <c r="G549">
        <v>3</v>
      </c>
      <c r="H549">
        <v>45000</v>
      </c>
      <c r="I549">
        <v>148307</v>
      </c>
      <c r="J549">
        <v>26695</v>
      </c>
    </row>
    <row r="550" spans="1:10" x14ac:dyDescent="0.3">
      <c r="A550" t="s">
        <v>10</v>
      </c>
      <c r="B550" t="s">
        <v>88</v>
      </c>
      <c r="C550" t="s">
        <v>12</v>
      </c>
      <c r="D550" t="s">
        <v>152</v>
      </c>
      <c r="E550" s="36">
        <v>45716</v>
      </c>
      <c r="F550" t="s">
        <v>33</v>
      </c>
      <c r="G550">
        <v>4</v>
      </c>
      <c r="H550">
        <v>45000</v>
      </c>
      <c r="I550">
        <v>175303</v>
      </c>
      <c r="J550">
        <v>31555</v>
      </c>
    </row>
    <row r="551" spans="1:10" x14ac:dyDescent="0.3">
      <c r="A551" t="s">
        <v>10</v>
      </c>
      <c r="B551" t="s">
        <v>84</v>
      </c>
      <c r="C551" t="s">
        <v>12</v>
      </c>
      <c r="D551" t="s">
        <v>168</v>
      </c>
      <c r="E551" s="36">
        <v>45757</v>
      </c>
      <c r="F551" t="s">
        <v>36</v>
      </c>
      <c r="G551">
        <v>8</v>
      </c>
      <c r="H551">
        <v>55000</v>
      </c>
      <c r="I551">
        <v>406291</v>
      </c>
      <c r="J551">
        <v>89384</v>
      </c>
    </row>
    <row r="552" spans="1:10" x14ac:dyDescent="0.3">
      <c r="A552" t="s">
        <v>10</v>
      </c>
      <c r="B552" t="s">
        <v>84</v>
      </c>
      <c r="C552" t="s">
        <v>12</v>
      </c>
      <c r="D552" t="s">
        <v>249</v>
      </c>
      <c r="E552" s="36">
        <v>45721</v>
      </c>
      <c r="F552" t="s">
        <v>36</v>
      </c>
      <c r="G552">
        <v>3</v>
      </c>
      <c r="H552">
        <v>55000</v>
      </c>
      <c r="I552">
        <v>171812</v>
      </c>
      <c r="J552">
        <v>37799</v>
      </c>
    </row>
    <row r="553" spans="1:10" x14ac:dyDescent="0.3">
      <c r="A553" t="s">
        <v>10</v>
      </c>
      <c r="B553" t="s">
        <v>19</v>
      </c>
      <c r="C553" t="s">
        <v>12</v>
      </c>
      <c r="D553" t="s">
        <v>110</v>
      </c>
      <c r="E553" s="36">
        <v>45689</v>
      </c>
      <c r="F553" t="s">
        <v>14</v>
      </c>
      <c r="G553">
        <v>2</v>
      </c>
      <c r="H553">
        <v>18500</v>
      </c>
      <c r="I553">
        <v>35939</v>
      </c>
      <c r="J553">
        <v>4313</v>
      </c>
    </row>
    <row r="554" spans="1:10" x14ac:dyDescent="0.3">
      <c r="A554" t="s">
        <v>10</v>
      </c>
      <c r="B554" t="s">
        <v>88</v>
      </c>
      <c r="C554" t="s">
        <v>12</v>
      </c>
      <c r="D554" t="s">
        <v>244</v>
      </c>
      <c r="E554" s="36">
        <v>45696</v>
      </c>
      <c r="F554" t="s">
        <v>40</v>
      </c>
      <c r="G554">
        <v>5</v>
      </c>
      <c r="H554">
        <v>15000</v>
      </c>
      <c r="I554">
        <v>72370</v>
      </c>
      <c r="J554">
        <v>7237</v>
      </c>
    </row>
    <row r="555" spans="1:10" x14ac:dyDescent="0.3">
      <c r="A555" t="s">
        <v>10</v>
      </c>
      <c r="B555" t="s">
        <v>11</v>
      </c>
      <c r="C555" t="s">
        <v>12</v>
      </c>
      <c r="D555" t="s">
        <v>158</v>
      </c>
      <c r="E555" s="36">
        <v>46000</v>
      </c>
      <c r="F555" t="s">
        <v>40</v>
      </c>
      <c r="G555">
        <v>2</v>
      </c>
      <c r="H555">
        <v>15000</v>
      </c>
      <c r="I555">
        <v>30431</v>
      </c>
      <c r="J555">
        <v>3043</v>
      </c>
    </row>
    <row r="556" spans="1:10" x14ac:dyDescent="0.3">
      <c r="A556" t="s">
        <v>10</v>
      </c>
      <c r="B556" t="s">
        <v>88</v>
      </c>
      <c r="C556" t="s">
        <v>12</v>
      </c>
      <c r="D556" t="s">
        <v>87</v>
      </c>
      <c r="E556" s="36">
        <v>45732</v>
      </c>
      <c r="F556" t="s">
        <v>40</v>
      </c>
      <c r="G556">
        <v>2</v>
      </c>
      <c r="H556">
        <v>15000</v>
      </c>
      <c r="I556">
        <v>30497</v>
      </c>
      <c r="J556">
        <v>3050</v>
      </c>
    </row>
    <row r="557" spans="1:10" x14ac:dyDescent="0.3">
      <c r="A557" t="s">
        <v>10</v>
      </c>
      <c r="B557" t="s">
        <v>11</v>
      </c>
      <c r="C557" t="s">
        <v>12</v>
      </c>
      <c r="D557" t="s">
        <v>176</v>
      </c>
      <c r="E557" s="36">
        <v>45874</v>
      </c>
      <c r="F557" t="s">
        <v>14</v>
      </c>
      <c r="G557">
        <v>5</v>
      </c>
      <c r="H557">
        <v>18500</v>
      </c>
      <c r="I557">
        <v>96666</v>
      </c>
      <c r="J557">
        <v>11600</v>
      </c>
    </row>
    <row r="558" spans="1:10" x14ac:dyDescent="0.3">
      <c r="A558" t="s">
        <v>10</v>
      </c>
      <c r="B558" t="s">
        <v>88</v>
      </c>
      <c r="C558" t="s">
        <v>12</v>
      </c>
      <c r="D558" t="s">
        <v>240</v>
      </c>
      <c r="E558" s="36">
        <v>45932</v>
      </c>
      <c r="F558" t="s">
        <v>33</v>
      </c>
      <c r="G558">
        <v>5</v>
      </c>
      <c r="H558">
        <v>45000</v>
      </c>
      <c r="I558">
        <v>212691</v>
      </c>
      <c r="J558">
        <v>38284</v>
      </c>
    </row>
    <row r="559" spans="1:10" x14ac:dyDescent="0.3">
      <c r="A559" t="s">
        <v>10</v>
      </c>
      <c r="B559" t="s">
        <v>77</v>
      </c>
      <c r="C559" t="s">
        <v>12</v>
      </c>
      <c r="D559" t="s">
        <v>124</v>
      </c>
      <c r="E559" s="36">
        <v>45847</v>
      </c>
      <c r="F559" t="s">
        <v>36</v>
      </c>
      <c r="G559">
        <v>8</v>
      </c>
      <c r="H559">
        <v>55000</v>
      </c>
      <c r="I559">
        <v>420567</v>
      </c>
      <c r="J559">
        <v>92525</v>
      </c>
    </row>
    <row r="560" spans="1:10" x14ac:dyDescent="0.3">
      <c r="A560" t="s">
        <v>10</v>
      </c>
      <c r="B560" t="s">
        <v>88</v>
      </c>
      <c r="C560" t="s">
        <v>12</v>
      </c>
      <c r="D560" t="s">
        <v>112</v>
      </c>
      <c r="E560" s="36">
        <v>45775</v>
      </c>
      <c r="F560" t="s">
        <v>40</v>
      </c>
      <c r="G560">
        <v>8</v>
      </c>
      <c r="H560">
        <v>15000</v>
      </c>
      <c r="I560">
        <v>109023</v>
      </c>
      <c r="J560">
        <v>10902</v>
      </c>
    </row>
    <row r="561" spans="1:10" x14ac:dyDescent="0.3">
      <c r="A561" t="s">
        <v>10</v>
      </c>
      <c r="B561" t="s">
        <v>16</v>
      </c>
      <c r="C561" t="s">
        <v>12</v>
      </c>
      <c r="D561" t="s">
        <v>262</v>
      </c>
      <c r="E561" s="36">
        <v>46014</v>
      </c>
      <c r="F561" t="s">
        <v>33</v>
      </c>
      <c r="G561">
        <v>8</v>
      </c>
      <c r="H561">
        <v>45000</v>
      </c>
      <c r="I561">
        <v>345453</v>
      </c>
      <c r="J561">
        <v>62182</v>
      </c>
    </row>
    <row r="562" spans="1:10" x14ac:dyDescent="0.3">
      <c r="A562" t="s">
        <v>10</v>
      </c>
      <c r="B562" t="s">
        <v>51</v>
      </c>
      <c r="C562" t="s">
        <v>12</v>
      </c>
      <c r="D562" t="s">
        <v>86</v>
      </c>
      <c r="E562" s="36">
        <v>45789</v>
      </c>
      <c r="F562" t="s">
        <v>33</v>
      </c>
      <c r="G562">
        <v>4</v>
      </c>
      <c r="H562">
        <v>45000</v>
      </c>
      <c r="I562">
        <v>196765</v>
      </c>
      <c r="J562">
        <v>35418</v>
      </c>
    </row>
    <row r="563" spans="1:10" x14ac:dyDescent="0.3">
      <c r="A563" t="s">
        <v>10</v>
      </c>
      <c r="B563" t="s">
        <v>19</v>
      </c>
      <c r="C563" t="s">
        <v>12</v>
      </c>
      <c r="D563" t="s">
        <v>50</v>
      </c>
      <c r="E563" s="36">
        <v>45993</v>
      </c>
      <c r="F563" t="s">
        <v>14</v>
      </c>
      <c r="G563">
        <v>6</v>
      </c>
      <c r="H563">
        <v>18500</v>
      </c>
      <c r="I563">
        <v>114462</v>
      </c>
      <c r="J563">
        <v>13735</v>
      </c>
    </row>
    <row r="564" spans="1:10" x14ac:dyDescent="0.3">
      <c r="A564" t="s">
        <v>10</v>
      </c>
      <c r="B564" t="s">
        <v>19</v>
      </c>
      <c r="C564" t="s">
        <v>12</v>
      </c>
      <c r="D564" t="s">
        <v>226</v>
      </c>
      <c r="E564" s="36">
        <v>45777</v>
      </c>
      <c r="F564" t="s">
        <v>33</v>
      </c>
      <c r="G564">
        <v>6</v>
      </c>
      <c r="H564">
        <v>45000</v>
      </c>
      <c r="I564">
        <v>291658</v>
      </c>
      <c r="J564">
        <v>52498</v>
      </c>
    </row>
    <row r="565" spans="1:10" x14ac:dyDescent="0.3">
      <c r="A565" t="s">
        <v>10</v>
      </c>
      <c r="B565" t="s">
        <v>84</v>
      </c>
      <c r="C565" t="s">
        <v>12</v>
      </c>
      <c r="D565" t="s">
        <v>123</v>
      </c>
      <c r="E565" s="36">
        <v>45694</v>
      </c>
      <c r="F565" t="s">
        <v>36</v>
      </c>
      <c r="G565">
        <v>6</v>
      </c>
      <c r="H565">
        <v>55000</v>
      </c>
      <c r="I565">
        <v>319988</v>
      </c>
      <c r="J565">
        <v>70397</v>
      </c>
    </row>
    <row r="566" spans="1:10" x14ac:dyDescent="0.3">
      <c r="A566" t="s">
        <v>10</v>
      </c>
      <c r="B566" t="s">
        <v>77</v>
      </c>
      <c r="C566" t="s">
        <v>12</v>
      </c>
      <c r="D566" t="s">
        <v>237</v>
      </c>
      <c r="E566" s="36">
        <v>45931</v>
      </c>
      <c r="F566" t="s">
        <v>40</v>
      </c>
      <c r="G566">
        <v>9</v>
      </c>
      <c r="H566">
        <v>15000</v>
      </c>
      <c r="I566">
        <v>130944</v>
      </c>
      <c r="J566">
        <v>13094</v>
      </c>
    </row>
    <row r="567" spans="1:10" x14ac:dyDescent="0.3">
      <c r="A567" t="s">
        <v>41</v>
      </c>
      <c r="B567" t="s">
        <v>31</v>
      </c>
      <c r="C567" t="s">
        <v>12</v>
      </c>
      <c r="D567" t="s">
        <v>42</v>
      </c>
      <c r="E567" s="36">
        <v>45681</v>
      </c>
      <c r="F567" t="s">
        <v>40</v>
      </c>
      <c r="G567">
        <v>8</v>
      </c>
      <c r="H567">
        <v>15000</v>
      </c>
      <c r="I567">
        <v>129776</v>
      </c>
      <c r="J567">
        <v>12978</v>
      </c>
    </row>
    <row r="568" spans="1:10" x14ac:dyDescent="0.3">
      <c r="A568" t="s">
        <v>41</v>
      </c>
      <c r="B568" t="s">
        <v>11</v>
      </c>
      <c r="C568" t="s">
        <v>12</v>
      </c>
      <c r="D568" t="s">
        <v>55</v>
      </c>
      <c r="E568" s="36">
        <v>45693</v>
      </c>
      <c r="F568" t="s">
        <v>40</v>
      </c>
      <c r="G568">
        <v>1</v>
      </c>
      <c r="H568">
        <v>15000</v>
      </c>
      <c r="I568">
        <v>15144</v>
      </c>
      <c r="J568">
        <v>1514</v>
      </c>
    </row>
    <row r="569" spans="1:10" x14ac:dyDescent="0.3">
      <c r="A569" t="s">
        <v>41</v>
      </c>
      <c r="B569" t="s">
        <v>51</v>
      </c>
      <c r="C569" t="s">
        <v>12</v>
      </c>
      <c r="D569" t="s">
        <v>64</v>
      </c>
      <c r="E569" s="36">
        <v>45659</v>
      </c>
      <c r="F569" t="s">
        <v>33</v>
      </c>
      <c r="G569">
        <v>8</v>
      </c>
      <c r="H569">
        <v>45000</v>
      </c>
      <c r="I569">
        <v>375984</v>
      </c>
      <c r="J569">
        <v>67677</v>
      </c>
    </row>
    <row r="570" spans="1:10" x14ac:dyDescent="0.3">
      <c r="A570" t="s">
        <v>41</v>
      </c>
      <c r="B570" t="s">
        <v>16</v>
      </c>
      <c r="C570" t="s">
        <v>12</v>
      </c>
      <c r="D570" t="s">
        <v>20</v>
      </c>
      <c r="E570" s="36">
        <v>46010</v>
      </c>
      <c r="F570" t="s">
        <v>14</v>
      </c>
      <c r="G570">
        <v>7</v>
      </c>
      <c r="H570">
        <v>18500</v>
      </c>
      <c r="I570">
        <v>137559</v>
      </c>
      <c r="J570">
        <v>16507</v>
      </c>
    </row>
    <row r="571" spans="1:10" x14ac:dyDescent="0.3">
      <c r="A571" t="s">
        <v>41</v>
      </c>
      <c r="B571" t="s">
        <v>16</v>
      </c>
      <c r="C571" t="s">
        <v>12</v>
      </c>
      <c r="D571" t="s">
        <v>107</v>
      </c>
      <c r="E571" s="36">
        <v>45699</v>
      </c>
      <c r="F571" t="s">
        <v>33</v>
      </c>
      <c r="G571">
        <v>5</v>
      </c>
      <c r="H571">
        <v>45000</v>
      </c>
      <c r="I571">
        <v>241128</v>
      </c>
      <c r="J571">
        <v>43403</v>
      </c>
    </row>
    <row r="572" spans="1:10" x14ac:dyDescent="0.3">
      <c r="A572" t="s">
        <v>41</v>
      </c>
      <c r="B572" t="s">
        <v>11</v>
      </c>
      <c r="C572" t="s">
        <v>12</v>
      </c>
      <c r="D572" t="s">
        <v>126</v>
      </c>
      <c r="E572" s="36">
        <v>46003</v>
      </c>
      <c r="F572" t="s">
        <v>33</v>
      </c>
      <c r="G572">
        <v>4</v>
      </c>
      <c r="H572">
        <v>45000</v>
      </c>
      <c r="I572">
        <v>166120</v>
      </c>
      <c r="J572">
        <v>29902</v>
      </c>
    </row>
    <row r="573" spans="1:10" x14ac:dyDescent="0.3">
      <c r="A573" t="s">
        <v>41</v>
      </c>
      <c r="B573" t="s">
        <v>16</v>
      </c>
      <c r="C573" t="s">
        <v>12</v>
      </c>
      <c r="D573" t="s">
        <v>130</v>
      </c>
      <c r="E573" s="36">
        <v>46006</v>
      </c>
      <c r="F573" t="s">
        <v>33</v>
      </c>
      <c r="G573">
        <v>4</v>
      </c>
      <c r="H573">
        <v>45000</v>
      </c>
      <c r="I573">
        <v>182794</v>
      </c>
      <c r="J573">
        <v>32903</v>
      </c>
    </row>
    <row r="574" spans="1:10" x14ac:dyDescent="0.3">
      <c r="A574" t="s">
        <v>41</v>
      </c>
      <c r="B574" t="s">
        <v>88</v>
      </c>
      <c r="C574" t="s">
        <v>12</v>
      </c>
      <c r="D574" t="s">
        <v>132</v>
      </c>
      <c r="E574" s="36">
        <v>45690</v>
      </c>
      <c r="F574" t="s">
        <v>14</v>
      </c>
      <c r="G574">
        <v>6</v>
      </c>
      <c r="H574">
        <v>18500</v>
      </c>
      <c r="I574">
        <v>110973</v>
      </c>
      <c r="J574">
        <v>13317</v>
      </c>
    </row>
    <row r="575" spans="1:10" x14ac:dyDescent="0.3">
      <c r="A575" t="s">
        <v>41</v>
      </c>
      <c r="B575" t="s">
        <v>19</v>
      </c>
      <c r="C575" t="s">
        <v>12</v>
      </c>
      <c r="D575" t="s">
        <v>104</v>
      </c>
      <c r="E575" s="36">
        <v>45755</v>
      </c>
      <c r="F575" t="s">
        <v>36</v>
      </c>
      <c r="G575">
        <v>2</v>
      </c>
      <c r="H575">
        <v>55000</v>
      </c>
      <c r="I575">
        <v>106945</v>
      </c>
      <c r="J575">
        <v>23528</v>
      </c>
    </row>
    <row r="576" spans="1:10" x14ac:dyDescent="0.3">
      <c r="A576" t="s">
        <v>41</v>
      </c>
      <c r="B576" t="s">
        <v>16</v>
      </c>
      <c r="C576" t="s">
        <v>12</v>
      </c>
      <c r="D576" t="s">
        <v>115</v>
      </c>
      <c r="E576" s="36">
        <v>45688</v>
      </c>
      <c r="F576" t="s">
        <v>14</v>
      </c>
      <c r="G576">
        <v>3</v>
      </c>
      <c r="H576">
        <v>18500</v>
      </c>
      <c r="I576">
        <v>60474</v>
      </c>
      <c r="J576">
        <v>7257</v>
      </c>
    </row>
    <row r="577" spans="1:10" x14ac:dyDescent="0.3">
      <c r="A577" t="s">
        <v>41</v>
      </c>
      <c r="B577" t="s">
        <v>19</v>
      </c>
      <c r="C577" t="s">
        <v>12</v>
      </c>
      <c r="D577" t="s">
        <v>140</v>
      </c>
      <c r="E577" s="36">
        <v>45846</v>
      </c>
      <c r="F577" t="s">
        <v>36</v>
      </c>
      <c r="G577">
        <v>2</v>
      </c>
      <c r="H577">
        <v>55000</v>
      </c>
      <c r="I577">
        <v>114676</v>
      </c>
      <c r="J577">
        <v>25229</v>
      </c>
    </row>
    <row r="578" spans="1:10" x14ac:dyDescent="0.3">
      <c r="A578" t="s">
        <v>41</v>
      </c>
      <c r="B578" t="s">
        <v>11</v>
      </c>
      <c r="C578" t="s">
        <v>12</v>
      </c>
      <c r="D578" t="s">
        <v>160</v>
      </c>
      <c r="E578" s="36">
        <v>45977</v>
      </c>
      <c r="F578" t="s">
        <v>14</v>
      </c>
      <c r="G578">
        <v>3</v>
      </c>
      <c r="H578">
        <v>18500</v>
      </c>
      <c r="I578">
        <v>55628</v>
      </c>
      <c r="J578">
        <v>6675</v>
      </c>
    </row>
    <row r="579" spans="1:10" x14ac:dyDescent="0.3">
      <c r="A579" t="s">
        <v>41</v>
      </c>
      <c r="B579" t="s">
        <v>16</v>
      </c>
      <c r="C579" t="s">
        <v>12</v>
      </c>
      <c r="D579" t="s">
        <v>102</v>
      </c>
      <c r="E579" s="36">
        <v>45995</v>
      </c>
      <c r="F579" t="s">
        <v>33</v>
      </c>
      <c r="G579">
        <v>1</v>
      </c>
      <c r="H579">
        <v>45000</v>
      </c>
      <c r="I579">
        <v>40969</v>
      </c>
      <c r="J579">
        <v>7374</v>
      </c>
    </row>
    <row r="580" spans="1:10" x14ac:dyDescent="0.3">
      <c r="A580" t="s">
        <v>41</v>
      </c>
      <c r="B580" t="s">
        <v>77</v>
      </c>
      <c r="C580" t="s">
        <v>12</v>
      </c>
      <c r="D580" t="s">
        <v>110</v>
      </c>
      <c r="E580" s="36">
        <v>45788</v>
      </c>
      <c r="F580" t="s">
        <v>36</v>
      </c>
      <c r="G580">
        <v>10</v>
      </c>
      <c r="H580">
        <v>55000</v>
      </c>
      <c r="I580">
        <v>502811</v>
      </c>
      <c r="J580">
        <v>110618</v>
      </c>
    </row>
    <row r="581" spans="1:10" x14ac:dyDescent="0.3">
      <c r="A581" t="s">
        <v>41</v>
      </c>
      <c r="B581" t="s">
        <v>84</v>
      </c>
      <c r="C581" t="s">
        <v>12</v>
      </c>
      <c r="D581" t="s">
        <v>167</v>
      </c>
      <c r="E581" s="36">
        <v>45865</v>
      </c>
      <c r="F581" t="s">
        <v>40</v>
      </c>
      <c r="G581">
        <v>2</v>
      </c>
      <c r="H581">
        <v>15000</v>
      </c>
      <c r="I581">
        <v>31777</v>
      </c>
      <c r="J581">
        <v>3178</v>
      </c>
    </row>
    <row r="582" spans="1:10" x14ac:dyDescent="0.3">
      <c r="A582" t="s">
        <v>41</v>
      </c>
      <c r="B582" t="s">
        <v>31</v>
      </c>
      <c r="C582" t="s">
        <v>12</v>
      </c>
      <c r="D582" t="s">
        <v>147</v>
      </c>
      <c r="E582" s="36">
        <v>45918</v>
      </c>
      <c r="F582" t="s">
        <v>14</v>
      </c>
      <c r="G582">
        <v>5</v>
      </c>
      <c r="H582">
        <v>18500</v>
      </c>
      <c r="I582">
        <v>90065</v>
      </c>
      <c r="J582">
        <v>10808</v>
      </c>
    </row>
    <row r="583" spans="1:10" x14ac:dyDescent="0.3">
      <c r="A583" t="s">
        <v>41</v>
      </c>
      <c r="B583" t="s">
        <v>11</v>
      </c>
      <c r="C583" t="s">
        <v>12</v>
      </c>
      <c r="D583" t="s">
        <v>149</v>
      </c>
      <c r="E583" s="36">
        <v>45791</v>
      </c>
      <c r="F583" t="s">
        <v>14</v>
      </c>
      <c r="G583">
        <v>7</v>
      </c>
      <c r="H583">
        <v>18500</v>
      </c>
      <c r="I583">
        <v>139923</v>
      </c>
      <c r="J583">
        <v>16791</v>
      </c>
    </row>
    <row r="584" spans="1:10" x14ac:dyDescent="0.3">
      <c r="A584" t="s">
        <v>41</v>
      </c>
      <c r="B584" t="s">
        <v>77</v>
      </c>
      <c r="C584" t="s">
        <v>12</v>
      </c>
      <c r="D584" t="s">
        <v>76</v>
      </c>
      <c r="E584" s="36">
        <v>45759</v>
      </c>
      <c r="F584" t="s">
        <v>14</v>
      </c>
      <c r="G584">
        <v>4</v>
      </c>
      <c r="H584">
        <v>18500</v>
      </c>
      <c r="I584">
        <v>78889</v>
      </c>
      <c r="J584">
        <v>9467</v>
      </c>
    </row>
    <row r="585" spans="1:10" x14ac:dyDescent="0.3">
      <c r="A585" t="s">
        <v>41</v>
      </c>
      <c r="B585" t="s">
        <v>31</v>
      </c>
      <c r="C585" t="s">
        <v>12</v>
      </c>
      <c r="D585" t="s">
        <v>178</v>
      </c>
      <c r="E585" s="36">
        <v>45834</v>
      </c>
      <c r="F585" t="s">
        <v>40</v>
      </c>
      <c r="G585">
        <v>5</v>
      </c>
      <c r="H585">
        <v>15000</v>
      </c>
      <c r="I585">
        <v>71120</v>
      </c>
      <c r="J585">
        <v>7112</v>
      </c>
    </row>
    <row r="586" spans="1:10" x14ac:dyDescent="0.3">
      <c r="A586" t="s">
        <v>41</v>
      </c>
      <c r="B586" t="s">
        <v>11</v>
      </c>
      <c r="C586" t="s">
        <v>12</v>
      </c>
      <c r="D586" t="s">
        <v>90</v>
      </c>
      <c r="E586" s="36">
        <v>45721</v>
      </c>
      <c r="F586" t="s">
        <v>33</v>
      </c>
      <c r="G586">
        <v>8</v>
      </c>
      <c r="H586">
        <v>45000</v>
      </c>
      <c r="I586">
        <v>377091</v>
      </c>
      <c r="J586">
        <v>67876</v>
      </c>
    </row>
    <row r="587" spans="1:10" x14ac:dyDescent="0.3">
      <c r="A587" t="s">
        <v>41</v>
      </c>
      <c r="B587" t="s">
        <v>16</v>
      </c>
      <c r="C587" t="s">
        <v>12</v>
      </c>
      <c r="D587" t="s">
        <v>114</v>
      </c>
      <c r="E587" s="36">
        <v>45700</v>
      </c>
      <c r="F587" t="s">
        <v>40</v>
      </c>
      <c r="G587">
        <v>7</v>
      </c>
      <c r="H587">
        <v>15000</v>
      </c>
      <c r="I587">
        <v>98487</v>
      </c>
      <c r="J587">
        <v>9849</v>
      </c>
    </row>
    <row r="588" spans="1:10" x14ac:dyDescent="0.3">
      <c r="A588" t="s">
        <v>41</v>
      </c>
      <c r="B588" t="s">
        <v>84</v>
      </c>
      <c r="C588" t="s">
        <v>12</v>
      </c>
      <c r="D588" t="s">
        <v>186</v>
      </c>
      <c r="E588" s="36">
        <v>45835</v>
      </c>
      <c r="F588" t="s">
        <v>14</v>
      </c>
      <c r="G588">
        <v>6</v>
      </c>
      <c r="H588">
        <v>18500</v>
      </c>
      <c r="I588">
        <v>110686</v>
      </c>
      <c r="J588">
        <v>13282</v>
      </c>
    </row>
    <row r="589" spans="1:10" x14ac:dyDescent="0.3">
      <c r="A589" t="s">
        <v>41</v>
      </c>
      <c r="B589" t="s">
        <v>19</v>
      </c>
      <c r="C589" t="s">
        <v>12</v>
      </c>
      <c r="D589" t="s">
        <v>143</v>
      </c>
      <c r="E589" s="36">
        <v>45727</v>
      </c>
      <c r="F589" t="s">
        <v>14</v>
      </c>
      <c r="G589">
        <v>9</v>
      </c>
      <c r="H589">
        <v>18500</v>
      </c>
      <c r="I589">
        <v>174103</v>
      </c>
      <c r="J589">
        <v>20892</v>
      </c>
    </row>
    <row r="590" spans="1:10" x14ac:dyDescent="0.3">
      <c r="A590" t="s">
        <v>41</v>
      </c>
      <c r="B590" t="s">
        <v>84</v>
      </c>
      <c r="C590" t="s">
        <v>12</v>
      </c>
      <c r="D590" t="s">
        <v>79</v>
      </c>
      <c r="E590" s="36">
        <v>45753</v>
      </c>
      <c r="F590" t="s">
        <v>14</v>
      </c>
      <c r="G590">
        <v>7</v>
      </c>
      <c r="H590">
        <v>18500</v>
      </c>
      <c r="I590">
        <v>119157</v>
      </c>
      <c r="J590">
        <v>14299</v>
      </c>
    </row>
    <row r="591" spans="1:10" x14ac:dyDescent="0.3">
      <c r="A591" t="s">
        <v>41</v>
      </c>
      <c r="B591" t="s">
        <v>51</v>
      </c>
      <c r="C591" t="s">
        <v>12</v>
      </c>
      <c r="D591" t="s">
        <v>199</v>
      </c>
      <c r="E591" s="36">
        <v>45835</v>
      </c>
      <c r="F591" t="s">
        <v>36</v>
      </c>
      <c r="G591">
        <v>7</v>
      </c>
      <c r="H591">
        <v>55000</v>
      </c>
      <c r="I591">
        <v>359627</v>
      </c>
      <c r="J591">
        <v>79118</v>
      </c>
    </row>
    <row r="592" spans="1:10" x14ac:dyDescent="0.3">
      <c r="A592" t="s">
        <v>41</v>
      </c>
      <c r="B592" t="s">
        <v>16</v>
      </c>
      <c r="C592" t="s">
        <v>12</v>
      </c>
      <c r="D592" t="s">
        <v>71</v>
      </c>
      <c r="E592" s="36">
        <v>45826</v>
      </c>
      <c r="F592" t="s">
        <v>40</v>
      </c>
      <c r="G592">
        <v>9</v>
      </c>
      <c r="H592">
        <v>15000</v>
      </c>
      <c r="I592">
        <v>144684</v>
      </c>
      <c r="J592">
        <v>14468</v>
      </c>
    </row>
    <row r="593" spans="1:10" x14ac:dyDescent="0.3">
      <c r="A593" t="s">
        <v>41</v>
      </c>
      <c r="B593" t="s">
        <v>31</v>
      </c>
      <c r="C593" t="s">
        <v>12</v>
      </c>
      <c r="D593" t="s">
        <v>160</v>
      </c>
      <c r="E593" s="36">
        <v>45814</v>
      </c>
      <c r="F593" t="s">
        <v>36</v>
      </c>
      <c r="G593">
        <v>1</v>
      </c>
      <c r="H593">
        <v>55000</v>
      </c>
      <c r="I593">
        <v>51554</v>
      </c>
      <c r="J593">
        <v>11342</v>
      </c>
    </row>
    <row r="594" spans="1:10" x14ac:dyDescent="0.3">
      <c r="A594" t="s">
        <v>41</v>
      </c>
      <c r="B594" t="s">
        <v>88</v>
      </c>
      <c r="C594" t="s">
        <v>12</v>
      </c>
      <c r="D594" t="s">
        <v>204</v>
      </c>
      <c r="E594" s="36">
        <v>45818</v>
      </c>
      <c r="F594" t="s">
        <v>14</v>
      </c>
      <c r="G594">
        <v>2</v>
      </c>
      <c r="H594">
        <v>18500</v>
      </c>
      <c r="I594">
        <v>34611</v>
      </c>
      <c r="J594">
        <v>4153</v>
      </c>
    </row>
    <row r="595" spans="1:10" x14ac:dyDescent="0.3">
      <c r="A595" t="s">
        <v>41</v>
      </c>
      <c r="B595" t="s">
        <v>88</v>
      </c>
      <c r="C595" t="s">
        <v>12</v>
      </c>
      <c r="D595" t="s">
        <v>201</v>
      </c>
      <c r="E595" s="36">
        <v>45729</v>
      </c>
      <c r="F595" t="s">
        <v>36</v>
      </c>
      <c r="G595">
        <v>5</v>
      </c>
      <c r="H595">
        <v>55000</v>
      </c>
      <c r="I595">
        <v>283759</v>
      </c>
      <c r="J595">
        <v>62427</v>
      </c>
    </row>
    <row r="596" spans="1:10" x14ac:dyDescent="0.3">
      <c r="A596" t="s">
        <v>41</v>
      </c>
      <c r="B596" t="s">
        <v>19</v>
      </c>
      <c r="C596" t="s">
        <v>12</v>
      </c>
      <c r="D596" t="s">
        <v>189</v>
      </c>
      <c r="E596" s="36">
        <v>45952</v>
      </c>
      <c r="F596" t="s">
        <v>14</v>
      </c>
      <c r="G596">
        <v>9</v>
      </c>
      <c r="H596">
        <v>18500</v>
      </c>
      <c r="I596">
        <v>178011</v>
      </c>
      <c r="J596">
        <v>21361</v>
      </c>
    </row>
    <row r="597" spans="1:10" x14ac:dyDescent="0.3">
      <c r="A597" t="s">
        <v>41</v>
      </c>
      <c r="B597" t="s">
        <v>88</v>
      </c>
      <c r="C597" t="s">
        <v>12</v>
      </c>
      <c r="D597" t="s">
        <v>149</v>
      </c>
      <c r="E597" s="36">
        <v>45764</v>
      </c>
      <c r="F597" t="s">
        <v>36</v>
      </c>
      <c r="G597">
        <v>5</v>
      </c>
      <c r="H597">
        <v>55000</v>
      </c>
      <c r="I597">
        <v>268133</v>
      </c>
      <c r="J597">
        <v>58989</v>
      </c>
    </row>
    <row r="598" spans="1:10" x14ac:dyDescent="0.3">
      <c r="A598" t="s">
        <v>41</v>
      </c>
      <c r="B598" t="s">
        <v>51</v>
      </c>
      <c r="C598" t="s">
        <v>12</v>
      </c>
      <c r="D598" t="s">
        <v>20</v>
      </c>
      <c r="E598" s="36">
        <v>45754</v>
      </c>
      <c r="F598" t="s">
        <v>14</v>
      </c>
      <c r="G598">
        <v>1</v>
      </c>
      <c r="H598">
        <v>18500</v>
      </c>
      <c r="I598">
        <v>18930</v>
      </c>
      <c r="J598">
        <v>2272</v>
      </c>
    </row>
    <row r="599" spans="1:10" x14ac:dyDescent="0.3">
      <c r="A599" t="s">
        <v>41</v>
      </c>
      <c r="B599" t="s">
        <v>51</v>
      </c>
      <c r="C599" t="s">
        <v>12</v>
      </c>
      <c r="D599" t="s">
        <v>225</v>
      </c>
      <c r="E599" s="36">
        <v>45845</v>
      </c>
      <c r="F599" t="s">
        <v>40</v>
      </c>
      <c r="G599">
        <v>10</v>
      </c>
      <c r="H599">
        <v>15000</v>
      </c>
      <c r="I599">
        <v>155690</v>
      </c>
      <c r="J599">
        <v>15569</v>
      </c>
    </row>
    <row r="600" spans="1:10" x14ac:dyDescent="0.3">
      <c r="A600" t="s">
        <v>41</v>
      </c>
      <c r="B600" t="s">
        <v>88</v>
      </c>
      <c r="C600" t="s">
        <v>12</v>
      </c>
      <c r="D600" t="s">
        <v>217</v>
      </c>
      <c r="E600" s="36">
        <v>45873</v>
      </c>
      <c r="F600" t="s">
        <v>33</v>
      </c>
      <c r="G600">
        <v>4</v>
      </c>
      <c r="H600">
        <v>45000</v>
      </c>
      <c r="I600">
        <v>185992</v>
      </c>
      <c r="J600">
        <v>33479</v>
      </c>
    </row>
    <row r="601" spans="1:10" x14ac:dyDescent="0.3">
      <c r="A601" t="s">
        <v>41</v>
      </c>
      <c r="B601" t="s">
        <v>77</v>
      </c>
      <c r="C601" t="s">
        <v>12</v>
      </c>
      <c r="D601" t="s">
        <v>231</v>
      </c>
      <c r="E601" s="36">
        <v>45992</v>
      </c>
      <c r="F601" t="s">
        <v>40</v>
      </c>
      <c r="G601">
        <v>9</v>
      </c>
      <c r="H601">
        <v>15000</v>
      </c>
      <c r="I601">
        <v>124688</v>
      </c>
      <c r="J601">
        <v>12469</v>
      </c>
    </row>
    <row r="602" spans="1:10" x14ac:dyDescent="0.3">
      <c r="A602" t="s">
        <v>41</v>
      </c>
      <c r="B602" t="s">
        <v>77</v>
      </c>
      <c r="C602" t="s">
        <v>12</v>
      </c>
      <c r="D602" t="s">
        <v>147</v>
      </c>
      <c r="E602" s="36">
        <v>46005</v>
      </c>
      <c r="F602" t="s">
        <v>14</v>
      </c>
      <c r="G602">
        <v>3</v>
      </c>
      <c r="H602">
        <v>18500</v>
      </c>
      <c r="I602">
        <v>59742</v>
      </c>
      <c r="J602">
        <v>7169</v>
      </c>
    </row>
    <row r="603" spans="1:10" x14ac:dyDescent="0.3">
      <c r="A603" t="s">
        <v>41</v>
      </c>
      <c r="B603" t="s">
        <v>31</v>
      </c>
      <c r="C603" t="s">
        <v>12</v>
      </c>
      <c r="D603" t="s">
        <v>87</v>
      </c>
      <c r="E603" s="36">
        <v>45919</v>
      </c>
      <c r="F603" t="s">
        <v>40</v>
      </c>
      <c r="G603">
        <v>5</v>
      </c>
      <c r="H603">
        <v>15000</v>
      </c>
      <c r="I603">
        <v>69739</v>
      </c>
      <c r="J603">
        <v>6974</v>
      </c>
    </row>
    <row r="604" spans="1:10" x14ac:dyDescent="0.3">
      <c r="A604" t="s">
        <v>41</v>
      </c>
      <c r="B604" t="s">
        <v>31</v>
      </c>
      <c r="C604" t="s">
        <v>12</v>
      </c>
      <c r="D604" t="s">
        <v>237</v>
      </c>
      <c r="E604" s="36">
        <v>45849</v>
      </c>
      <c r="F604" t="s">
        <v>36</v>
      </c>
      <c r="G604">
        <v>1</v>
      </c>
      <c r="H604">
        <v>55000</v>
      </c>
      <c r="I604">
        <v>50889</v>
      </c>
      <c r="J604">
        <v>11196</v>
      </c>
    </row>
    <row r="605" spans="1:10" x14ac:dyDescent="0.3">
      <c r="A605" t="s">
        <v>41</v>
      </c>
      <c r="B605" t="s">
        <v>16</v>
      </c>
      <c r="C605" t="s">
        <v>12</v>
      </c>
      <c r="D605" t="s">
        <v>42</v>
      </c>
      <c r="E605" s="36">
        <v>45961</v>
      </c>
      <c r="F605" t="s">
        <v>40</v>
      </c>
      <c r="G605">
        <v>3</v>
      </c>
      <c r="H605">
        <v>15000</v>
      </c>
      <c r="I605">
        <v>46929</v>
      </c>
      <c r="J605">
        <v>4693</v>
      </c>
    </row>
    <row r="606" spans="1:10" x14ac:dyDescent="0.3">
      <c r="A606" t="s">
        <v>41</v>
      </c>
      <c r="B606" t="s">
        <v>31</v>
      </c>
      <c r="C606" t="s">
        <v>12</v>
      </c>
      <c r="D606" t="s">
        <v>240</v>
      </c>
      <c r="E606" s="36">
        <v>45701</v>
      </c>
      <c r="F606" t="s">
        <v>14</v>
      </c>
      <c r="G606">
        <v>1</v>
      </c>
      <c r="H606">
        <v>18500</v>
      </c>
      <c r="I606">
        <v>17424</v>
      </c>
      <c r="J606">
        <v>2091</v>
      </c>
    </row>
    <row r="607" spans="1:10" x14ac:dyDescent="0.3">
      <c r="A607" t="s">
        <v>41</v>
      </c>
      <c r="B607" t="s">
        <v>19</v>
      </c>
      <c r="C607" t="s">
        <v>12</v>
      </c>
      <c r="D607" t="s">
        <v>142</v>
      </c>
      <c r="E607" s="36">
        <v>45854</v>
      </c>
      <c r="F607" t="s">
        <v>40</v>
      </c>
      <c r="G607">
        <v>6</v>
      </c>
      <c r="H607">
        <v>15000</v>
      </c>
      <c r="I607">
        <v>97108</v>
      </c>
      <c r="J607">
        <v>9711</v>
      </c>
    </row>
    <row r="608" spans="1:10" x14ac:dyDescent="0.3">
      <c r="A608" t="s">
        <v>41</v>
      </c>
      <c r="B608" t="s">
        <v>77</v>
      </c>
      <c r="C608" t="s">
        <v>12</v>
      </c>
      <c r="D608" t="s">
        <v>136</v>
      </c>
      <c r="E608" s="36">
        <v>45882</v>
      </c>
      <c r="F608" t="s">
        <v>14</v>
      </c>
      <c r="G608">
        <v>9</v>
      </c>
      <c r="H608">
        <v>18500</v>
      </c>
      <c r="I608">
        <v>175174</v>
      </c>
      <c r="J608">
        <v>21021</v>
      </c>
    </row>
    <row r="609" spans="1:10" x14ac:dyDescent="0.3">
      <c r="A609" t="s">
        <v>41</v>
      </c>
      <c r="B609" t="s">
        <v>19</v>
      </c>
      <c r="C609" t="s">
        <v>12</v>
      </c>
      <c r="D609" t="s">
        <v>184</v>
      </c>
      <c r="E609" s="36">
        <v>45912</v>
      </c>
      <c r="F609" t="s">
        <v>36</v>
      </c>
      <c r="G609">
        <v>1</v>
      </c>
      <c r="H609">
        <v>55000</v>
      </c>
      <c r="I609">
        <v>57264</v>
      </c>
      <c r="J609">
        <v>12598</v>
      </c>
    </row>
    <row r="610" spans="1:10" x14ac:dyDescent="0.3">
      <c r="A610" t="s">
        <v>41</v>
      </c>
      <c r="B610" t="s">
        <v>19</v>
      </c>
      <c r="C610" t="s">
        <v>12</v>
      </c>
      <c r="D610" t="s">
        <v>64</v>
      </c>
      <c r="E610" s="36">
        <v>45696</v>
      </c>
      <c r="F610" t="s">
        <v>40</v>
      </c>
      <c r="G610">
        <v>7</v>
      </c>
      <c r="H610">
        <v>15000</v>
      </c>
      <c r="I610">
        <v>106834</v>
      </c>
      <c r="J610">
        <v>10683</v>
      </c>
    </row>
    <row r="611" spans="1:10" x14ac:dyDescent="0.3">
      <c r="A611" t="s">
        <v>41</v>
      </c>
      <c r="B611" t="s">
        <v>31</v>
      </c>
      <c r="C611" t="s">
        <v>12</v>
      </c>
      <c r="D611" t="s">
        <v>115</v>
      </c>
      <c r="E611" s="36">
        <v>46009</v>
      </c>
      <c r="F611" t="s">
        <v>33</v>
      </c>
      <c r="G611">
        <v>1</v>
      </c>
      <c r="H611">
        <v>45000</v>
      </c>
      <c r="I611">
        <v>42115</v>
      </c>
      <c r="J611">
        <v>7581</v>
      </c>
    </row>
    <row r="612" spans="1:10" x14ac:dyDescent="0.3">
      <c r="A612" t="s">
        <v>41</v>
      </c>
      <c r="B612" t="s">
        <v>19</v>
      </c>
      <c r="C612" t="s">
        <v>12</v>
      </c>
      <c r="D612" t="s">
        <v>131</v>
      </c>
      <c r="E612" s="36">
        <v>45894</v>
      </c>
      <c r="F612" t="s">
        <v>36</v>
      </c>
      <c r="G612">
        <v>3</v>
      </c>
      <c r="H612">
        <v>55000</v>
      </c>
      <c r="I612">
        <v>166185</v>
      </c>
      <c r="J612">
        <v>36561</v>
      </c>
    </row>
    <row r="613" spans="1:10" x14ac:dyDescent="0.3">
      <c r="A613" t="s">
        <v>41</v>
      </c>
      <c r="B613" t="s">
        <v>31</v>
      </c>
      <c r="C613" t="s">
        <v>12</v>
      </c>
      <c r="D613" t="s">
        <v>225</v>
      </c>
      <c r="E613" s="36">
        <v>45811</v>
      </c>
      <c r="F613" t="s">
        <v>36</v>
      </c>
      <c r="G613">
        <v>2</v>
      </c>
      <c r="H613">
        <v>55000</v>
      </c>
      <c r="I613">
        <v>108897</v>
      </c>
      <c r="J613">
        <v>23957</v>
      </c>
    </row>
    <row r="614" spans="1:10" x14ac:dyDescent="0.3">
      <c r="A614" t="s">
        <v>41</v>
      </c>
      <c r="B614" t="s">
        <v>31</v>
      </c>
      <c r="C614" t="s">
        <v>12</v>
      </c>
      <c r="D614" t="s">
        <v>13</v>
      </c>
      <c r="E614" s="36">
        <v>45667</v>
      </c>
      <c r="F614" t="s">
        <v>33</v>
      </c>
      <c r="G614">
        <v>7</v>
      </c>
      <c r="H614">
        <v>45000</v>
      </c>
      <c r="I614">
        <v>296904</v>
      </c>
      <c r="J614">
        <v>53443</v>
      </c>
    </row>
    <row r="615" spans="1:10" x14ac:dyDescent="0.3">
      <c r="A615" t="s">
        <v>41</v>
      </c>
      <c r="B615" t="s">
        <v>84</v>
      </c>
      <c r="C615" t="s">
        <v>12</v>
      </c>
      <c r="D615" t="s">
        <v>170</v>
      </c>
      <c r="E615" s="36">
        <v>45736</v>
      </c>
      <c r="F615" t="s">
        <v>14</v>
      </c>
      <c r="G615">
        <v>10</v>
      </c>
      <c r="H615">
        <v>18500</v>
      </c>
      <c r="I615">
        <v>174490</v>
      </c>
      <c r="J615">
        <v>20939</v>
      </c>
    </row>
    <row r="616" spans="1:10" x14ac:dyDescent="0.3">
      <c r="A616" t="s">
        <v>41</v>
      </c>
      <c r="B616" t="s">
        <v>84</v>
      </c>
      <c r="C616" t="s">
        <v>12</v>
      </c>
      <c r="D616" t="s">
        <v>234</v>
      </c>
      <c r="E616" s="36">
        <v>46011</v>
      </c>
      <c r="F616" t="s">
        <v>14</v>
      </c>
      <c r="G616">
        <v>3</v>
      </c>
      <c r="H616">
        <v>18500</v>
      </c>
      <c r="I616">
        <v>51779</v>
      </c>
      <c r="J616">
        <v>6213</v>
      </c>
    </row>
    <row r="617" spans="1:10" x14ac:dyDescent="0.3">
      <c r="A617" t="s">
        <v>41</v>
      </c>
      <c r="B617" t="s">
        <v>31</v>
      </c>
      <c r="C617" t="s">
        <v>12</v>
      </c>
      <c r="D617" t="s">
        <v>104</v>
      </c>
      <c r="E617" s="36">
        <v>45949</v>
      </c>
      <c r="F617" t="s">
        <v>40</v>
      </c>
      <c r="G617">
        <v>10</v>
      </c>
      <c r="H617">
        <v>15000</v>
      </c>
      <c r="I617">
        <v>136186</v>
      </c>
      <c r="J617">
        <v>13619</v>
      </c>
    </row>
    <row r="618" spans="1:10" x14ac:dyDescent="0.3">
      <c r="A618" t="s">
        <v>41</v>
      </c>
      <c r="B618" t="s">
        <v>84</v>
      </c>
      <c r="C618" t="s">
        <v>12</v>
      </c>
      <c r="D618" t="s">
        <v>257</v>
      </c>
      <c r="E618" s="36">
        <v>45932</v>
      </c>
      <c r="F618" t="s">
        <v>33</v>
      </c>
      <c r="G618">
        <v>3</v>
      </c>
      <c r="H618">
        <v>45000</v>
      </c>
      <c r="I618">
        <v>134903</v>
      </c>
      <c r="J618">
        <v>24283</v>
      </c>
    </row>
    <row r="619" spans="1:10" x14ac:dyDescent="0.3">
      <c r="A619" t="s">
        <v>41</v>
      </c>
      <c r="B619" t="s">
        <v>31</v>
      </c>
      <c r="C619" t="s">
        <v>12</v>
      </c>
      <c r="D619" t="s">
        <v>97</v>
      </c>
      <c r="E619" s="36">
        <v>45686</v>
      </c>
      <c r="F619" t="s">
        <v>33</v>
      </c>
      <c r="G619">
        <v>6</v>
      </c>
      <c r="H619">
        <v>45000</v>
      </c>
      <c r="I619">
        <v>272184</v>
      </c>
      <c r="J619">
        <v>48993</v>
      </c>
    </row>
    <row r="620" spans="1:10" x14ac:dyDescent="0.3">
      <c r="A620" t="s">
        <v>41</v>
      </c>
      <c r="B620" t="s">
        <v>77</v>
      </c>
      <c r="C620" t="s">
        <v>12</v>
      </c>
      <c r="D620" t="s">
        <v>210</v>
      </c>
      <c r="E620" s="36">
        <v>46009</v>
      </c>
      <c r="F620" t="s">
        <v>33</v>
      </c>
      <c r="G620">
        <v>6</v>
      </c>
      <c r="H620">
        <v>45000</v>
      </c>
      <c r="I620">
        <v>251246</v>
      </c>
      <c r="J620">
        <v>45224</v>
      </c>
    </row>
    <row r="621" spans="1:10" x14ac:dyDescent="0.3">
      <c r="A621" t="s">
        <v>41</v>
      </c>
      <c r="B621" t="s">
        <v>19</v>
      </c>
      <c r="C621" t="s">
        <v>12</v>
      </c>
      <c r="D621" t="s">
        <v>208</v>
      </c>
      <c r="E621" s="36">
        <v>45838</v>
      </c>
      <c r="F621" t="s">
        <v>40</v>
      </c>
      <c r="G621">
        <v>9</v>
      </c>
      <c r="H621">
        <v>15000</v>
      </c>
      <c r="I621">
        <v>134800</v>
      </c>
      <c r="J621">
        <v>13480</v>
      </c>
    </row>
    <row r="622" spans="1:10" x14ac:dyDescent="0.3">
      <c r="A622" t="s">
        <v>41</v>
      </c>
      <c r="B622" t="s">
        <v>31</v>
      </c>
      <c r="C622" t="s">
        <v>12</v>
      </c>
      <c r="D622" t="s">
        <v>52</v>
      </c>
      <c r="E622" s="36">
        <v>45661</v>
      </c>
      <c r="F622" t="s">
        <v>14</v>
      </c>
      <c r="G622">
        <v>5</v>
      </c>
      <c r="H622">
        <v>18500</v>
      </c>
      <c r="I622">
        <v>92479</v>
      </c>
      <c r="J622">
        <v>11097</v>
      </c>
    </row>
    <row r="623" spans="1:10" x14ac:dyDescent="0.3">
      <c r="A623" t="s">
        <v>41</v>
      </c>
      <c r="B623" t="s">
        <v>19</v>
      </c>
      <c r="C623" t="s">
        <v>12</v>
      </c>
      <c r="D623" t="s">
        <v>85</v>
      </c>
      <c r="E623" s="36">
        <v>45699</v>
      </c>
      <c r="F623" t="s">
        <v>36</v>
      </c>
      <c r="G623">
        <v>2</v>
      </c>
      <c r="H623">
        <v>55000</v>
      </c>
      <c r="I623">
        <v>100141</v>
      </c>
      <c r="J623">
        <v>22031</v>
      </c>
    </row>
    <row r="624" spans="1:10" x14ac:dyDescent="0.3">
      <c r="A624" t="s">
        <v>41</v>
      </c>
      <c r="B624" t="s">
        <v>84</v>
      </c>
      <c r="C624" t="s">
        <v>12</v>
      </c>
      <c r="D624" t="s">
        <v>176</v>
      </c>
      <c r="E624" s="36">
        <v>45919</v>
      </c>
      <c r="F624" t="s">
        <v>33</v>
      </c>
      <c r="G624">
        <v>5</v>
      </c>
      <c r="H624">
        <v>45000</v>
      </c>
      <c r="I624">
        <v>205392</v>
      </c>
      <c r="J624">
        <v>36971</v>
      </c>
    </row>
    <row r="625" spans="1:10" x14ac:dyDescent="0.3">
      <c r="A625" t="s">
        <v>41</v>
      </c>
      <c r="B625" t="s">
        <v>84</v>
      </c>
      <c r="C625" t="s">
        <v>12</v>
      </c>
      <c r="D625" t="s">
        <v>124</v>
      </c>
      <c r="E625" s="36">
        <v>45810</v>
      </c>
      <c r="F625" t="s">
        <v>36</v>
      </c>
      <c r="G625">
        <v>1</v>
      </c>
      <c r="H625">
        <v>55000</v>
      </c>
      <c r="I625">
        <v>52198</v>
      </c>
      <c r="J625">
        <v>11484</v>
      </c>
    </row>
    <row r="626" spans="1:10" x14ac:dyDescent="0.3">
      <c r="A626" t="s">
        <v>41</v>
      </c>
      <c r="B626" t="s">
        <v>16</v>
      </c>
      <c r="C626" t="s">
        <v>12</v>
      </c>
      <c r="D626" t="s">
        <v>211</v>
      </c>
      <c r="E626" s="36">
        <v>45743</v>
      </c>
      <c r="F626" t="s">
        <v>40</v>
      </c>
      <c r="G626">
        <v>5</v>
      </c>
      <c r="H626">
        <v>15000</v>
      </c>
      <c r="I626">
        <v>80677</v>
      </c>
      <c r="J626">
        <v>8068</v>
      </c>
    </row>
    <row r="627" spans="1:10" x14ac:dyDescent="0.3">
      <c r="A627" t="s">
        <v>41</v>
      </c>
      <c r="B627" t="s">
        <v>88</v>
      </c>
      <c r="C627" t="s">
        <v>12</v>
      </c>
      <c r="D627" t="s">
        <v>59</v>
      </c>
      <c r="E627" s="36">
        <v>45788</v>
      </c>
      <c r="F627" t="s">
        <v>40</v>
      </c>
      <c r="G627">
        <v>7</v>
      </c>
      <c r="H627">
        <v>15000</v>
      </c>
      <c r="I627">
        <v>95314</v>
      </c>
      <c r="J627">
        <v>9531</v>
      </c>
    </row>
    <row r="628" spans="1:10" x14ac:dyDescent="0.3">
      <c r="A628" t="s">
        <v>41</v>
      </c>
      <c r="B628" t="s">
        <v>77</v>
      </c>
      <c r="C628" t="s">
        <v>12</v>
      </c>
      <c r="D628" t="s">
        <v>188</v>
      </c>
      <c r="E628" s="36">
        <v>45854</v>
      </c>
      <c r="F628" t="s">
        <v>36</v>
      </c>
      <c r="G628">
        <v>3</v>
      </c>
      <c r="H628">
        <v>55000</v>
      </c>
      <c r="I628">
        <v>176188</v>
      </c>
      <c r="J628">
        <v>38761</v>
      </c>
    </row>
    <row r="629" spans="1:10" x14ac:dyDescent="0.3">
      <c r="A629" t="s">
        <v>41</v>
      </c>
      <c r="B629" t="s">
        <v>84</v>
      </c>
      <c r="C629" t="s">
        <v>12</v>
      </c>
      <c r="D629" t="s">
        <v>249</v>
      </c>
      <c r="E629" s="36">
        <v>45954</v>
      </c>
      <c r="F629" t="s">
        <v>40</v>
      </c>
      <c r="G629">
        <v>10</v>
      </c>
      <c r="H629">
        <v>15000</v>
      </c>
      <c r="I629">
        <v>143006</v>
      </c>
      <c r="J629">
        <v>14301</v>
      </c>
    </row>
    <row r="630" spans="1:10" x14ac:dyDescent="0.3">
      <c r="A630" t="s">
        <v>41</v>
      </c>
      <c r="B630" t="s">
        <v>11</v>
      </c>
      <c r="C630" t="s">
        <v>12</v>
      </c>
      <c r="D630" t="s">
        <v>105</v>
      </c>
      <c r="E630" s="36">
        <v>45707</v>
      </c>
      <c r="F630" t="s">
        <v>33</v>
      </c>
      <c r="G630">
        <v>8</v>
      </c>
      <c r="H630">
        <v>45000</v>
      </c>
      <c r="I630">
        <v>337796</v>
      </c>
      <c r="J630">
        <v>60803</v>
      </c>
    </row>
    <row r="631" spans="1:10" x14ac:dyDescent="0.3">
      <c r="A631" t="s">
        <v>41</v>
      </c>
      <c r="B631" t="s">
        <v>16</v>
      </c>
      <c r="C631" t="s">
        <v>12</v>
      </c>
      <c r="D631" t="s">
        <v>260</v>
      </c>
      <c r="E631" s="36">
        <v>45687</v>
      </c>
      <c r="F631" t="s">
        <v>14</v>
      </c>
      <c r="G631">
        <v>7</v>
      </c>
      <c r="H631">
        <v>18500</v>
      </c>
      <c r="I631">
        <v>121844</v>
      </c>
      <c r="J631">
        <v>14621</v>
      </c>
    </row>
    <row r="632" spans="1:10" x14ac:dyDescent="0.3">
      <c r="A632" t="s">
        <v>41</v>
      </c>
      <c r="B632" t="s">
        <v>88</v>
      </c>
      <c r="C632" t="s">
        <v>12</v>
      </c>
      <c r="D632" t="s">
        <v>156</v>
      </c>
      <c r="E632" s="36">
        <v>45900</v>
      </c>
      <c r="F632" t="s">
        <v>33</v>
      </c>
      <c r="G632">
        <v>2</v>
      </c>
      <c r="H632">
        <v>45000</v>
      </c>
      <c r="I632">
        <v>90307</v>
      </c>
      <c r="J632">
        <v>16255</v>
      </c>
    </row>
    <row r="633" spans="1:10" x14ac:dyDescent="0.3">
      <c r="A633" t="s">
        <v>41</v>
      </c>
      <c r="B633" t="s">
        <v>31</v>
      </c>
      <c r="C633" t="s">
        <v>12</v>
      </c>
      <c r="D633" t="s">
        <v>223</v>
      </c>
      <c r="E633" s="36">
        <v>45662</v>
      </c>
      <c r="F633" t="s">
        <v>36</v>
      </c>
      <c r="G633">
        <v>2</v>
      </c>
      <c r="H633">
        <v>55000</v>
      </c>
      <c r="I633">
        <v>107489</v>
      </c>
      <c r="J633">
        <v>23648</v>
      </c>
    </row>
    <row r="634" spans="1:10" x14ac:dyDescent="0.3">
      <c r="A634" t="s">
        <v>41</v>
      </c>
      <c r="B634" t="s">
        <v>51</v>
      </c>
      <c r="C634" t="s">
        <v>12</v>
      </c>
      <c r="D634" t="s">
        <v>113</v>
      </c>
      <c r="E634" s="36">
        <v>46011</v>
      </c>
      <c r="F634" t="s">
        <v>33</v>
      </c>
      <c r="G634">
        <v>9</v>
      </c>
      <c r="H634">
        <v>45000</v>
      </c>
      <c r="I634">
        <v>403556</v>
      </c>
      <c r="J634">
        <v>72640</v>
      </c>
    </row>
    <row r="635" spans="1:10" x14ac:dyDescent="0.3">
      <c r="A635" t="s">
        <v>41</v>
      </c>
      <c r="B635" t="s">
        <v>19</v>
      </c>
      <c r="C635" t="s">
        <v>12</v>
      </c>
      <c r="D635" t="s">
        <v>50</v>
      </c>
      <c r="E635" s="36">
        <v>45874</v>
      </c>
      <c r="F635" t="s">
        <v>33</v>
      </c>
      <c r="G635">
        <v>9</v>
      </c>
      <c r="H635">
        <v>45000</v>
      </c>
      <c r="I635">
        <v>388334</v>
      </c>
      <c r="J635">
        <v>69900</v>
      </c>
    </row>
    <row r="636" spans="1:10" x14ac:dyDescent="0.3">
      <c r="A636" t="s">
        <v>41</v>
      </c>
      <c r="B636" t="s">
        <v>31</v>
      </c>
      <c r="C636" t="s">
        <v>12</v>
      </c>
      <c r="D636" t="s">
        <v>201</v>
      </c>
      <c r="E636" s="36">
        <v>45676</v>
      </c>
      <c r="F636" t="s">
        <v>33</v>
      </c>
      <c r="G636">
        <v>7</v>
      </c>
      <c r="H636">
        <v>45000</v>
      </c>
      <c r="I636">
        <v>305160</v>
      </c>
      <c r="J636">
        <v>54929</v>
      </c>
    </row>
    <row r="637" spans="1:10" x14ac:dyDescent="0.3">
      <c r="A637" t="s">
        <v>41</v>
      </c>
      <c r="B637" t="s">
        <v>16</v>
      </c>
      <c r="C637" t="s">
        <v>12</v>
      </c>
      <c r="D637" t="s">
        <v>243</v>
      </c>
      <c r="E637" s="36">
        <v>45735</v>
      </c>
      <c r="F637" t="s">
        <v>40</v>
      </c>
      <c r="G637">
        <v>1</v>
      </c>
      <c r="H637">
        <v>15000</v>
      </c>
      <c r="I637">
        <v>14611</v>
      </c>
      <c r="J637">
        <v>1461</v>
      </c>
    </row>
    <row r="638" spans="1:10" x14ac:dyDescent="0.3">
      <c r="A638" t="s">
        <v>41</v>
      </c>
      <c r="B638" t="s">
        <v>84</v>
      </c>
      <c r="C638" t="s">
        <v>12</v>
      </c>
      <c r="D638" t="s">
        <v>203</v>
      </c>
      <c r="E638" s="36">
        <v>45765</v>
      </c>
      <c r="F638" t="s">
        <v>36</v>
      </c>
      <c r="G638">
        <v>1</v>
      </c>
      <c r="H638">
        <v>55000</v>
      </c>
      <c r="I638">
        <v>57157</v>
      </c>
      <c r="J638">
        <v>12575</v>
      </c>
    </row>
    <row r="639" spans="1:10" x14ac:dyDescent="0.3">
      <c r="A639" t="s">
        <v>41</v>
      </c>
      <c r="B639" t="s">
        <v>11</v>
      </c>
      <c r="C639" t="s">
        <v>12</v>
      </c>
      <c r="D639" t="s">
        <v>135</v>
      </c>
      <c r="E639" s="36">
        <v>45738</v>
      </c>
      <c r="F639" t="s">
        <v>33</v>
      </c>
      <c r="G639">
        <v>2</v>
      </c>
      <c r="H639">
        <v>45000</v>
      </c>
      <c r="I639">
        <v>83751</v>
      </c>
      <c r="J639">
        <v>15075</v>
      </c>
    </row>
    <row r="640" spans="1:10" x14ac:dyDescent="0.3">
      <c r="A640" t="s">
        <v>41</v>
      </c>
      <c r="B640" t="s">
        <v>77</v>
      </c>
      <c r="C640" t="s">
        <v>12</v>
      </c>
      <c r="D640" t="s">
        <v>32</v>
      </c>
      <c r="E640" s="36">
        <v>45994</v>
      </c>
      <c r="F640" t="s">
        <v>33</v>
      </c>
      <c r="G640">
        <v>2</v>
      </c>
      <c r="H640">
        <v>45000</v>
      </c>
      <c r="I640">
        <v>83837</v>
      </c>
      <c r="J640">
        <v>15091</v>
      </c>
    </row>
    <row r="641" spans="1:10" x14ac:dyDescent="0.3">
      <c r="A641" t="s">
        <v>41</v>
      </c>
      <c r="B641" t="s">
        <v>19</v>
      </c>
      <c r="C641" t="s">
        <v>12</v>
      </c>
      <c r="D641" t="s">
        <v>255</v>
      </c>
      <c r="E641" s="36">
        <v>45720</v>
      </c>
      <c r="F641" t="s">
        <v>36</v>
      </c>
      <c r="G641">
        <v>5</v>
      </c>
      <c r="H641">
        <v>55000</v>
      </c>
      <c r="I641">
        <v>270765</v>
      </c>
      <c r="J641">
        <v>59568</v>
      </c>
    </row>
    <row r="642" spans="1:10" x14ac:dyDescent="0.3">
      <c r="A642" t="s">
        <v>41</v>
      </c>
      <c r="B642" t="s">
        <v>77</v>
      </c>
      <c r="C642" t="s">
        <v>12</v>
      </c>
      <c r="D642" t="s">
        <v>261</v>
      </c>
      <c r="E642" s="36">
        <v>45949</v>
      </c>
      <c r="F642" t="s">
        <v>33</v>
      </c>
      <c r="G642">
        <v>5</v>
      </c>
      <c r="H642">
        <v>45000</v>
      </c>
      <c r="I642">
        <v>217460</v>
      </c>
      <c r="J642">
        <v>39143</v>
      </c>
    </row>
    <row r="643" spans="1:10" x14ac:dyDescent="0.3">
      <c r="A643" t="s">
        <v>41</v>
      </c>
      <c r="B643" t="s">
        <v>51</v>
      </c>
      <c r="C643" t="s">
        <v>12</v>
      </c>
      <c r="D643" t="s">
        <v>87</v>
      </c>
      <c r="E643" s="36">
        <v>45775</v>
      </c>
      <c r="F643" t="s">
        <v>33</v>
      </c>
      <c r="G643">
        <v>5</v>
      </c>
      <c r="H643">
        <v>45000</v>
      </c>
      <c r="I643">
        <v>245126</v>
      </c>
      <c r="J643">
        <v>44123</v>
      </c>
    </row>
    <row r="644" spans="1:10" x14ac:dyDescent="0.3">
      <c r="A644" t="s">
        <v>41</v>
      </c>
      <c r="B644" t="s">
        <v>88</v>
      </c>
      <c r="C644" t="s">
        <v>12</v>
      </c>
      <c r="D644" t="s">
        <v>130</v>
      </c>
      <c r="E644" s="36">
        <v>45726</v>
      </c>
      <c r="F644" t="s">
        <v>33</v>
      </c>
      <c r="G644">
        <v>3</v>
      </c>
      <c r="H644">
        <v>45000</v>
      </c>
      <c r="I644">
        <v>143016</v>
      </c>
      <c r="J644">
        <v>25743</v>
      </c>
    </row>
    <row r="645" spans="1:10" x14ac:dyDescent="0.3">
      <c r="A645" t="s">
        <v>41</v>
      </c>
      <c r="B645" t="s">
        <v>11</v>
      </c>
      <c r="C645" t="s">
        <v>12</v>
      </c>
      <c r="D645" t="s">
        <v>160</v>
      </c>
      <c r="E645" s="36">
        <v>45906</v>
      </c>
      <c r="F645" t="s">
        <v>14</v>
      </c>
      <c r="G645">
        <v>8</v>
      </c>
      <c r="H645">
        <v>18500</v>
      </c>
      <c r="I645">
        <v>134493</v>
      </c>
      <c r="J645">
        <v>16139</v>
      </c>
    </row>
    <row r="646" spans="1:10" x14ac:dyDescent="0.3">
      <c r="A646" t="s">
        <v>41</v>
      </c>
      <c r="B646" t="s">
        <v>31</v>
      </c>
      <c r="C646" t="s">
        <v>12</v>
      </c>
      <c r="D646" t="s">
        <v>143</v>
      </c>
      <c r="E646" s="36">
        <v>45856</v>
      </c>
      <c r="F646" t="s">
        <v>36</v>
      </c>
      <c r="G646">
        <v>7</v>
      </c>
      <c r="H646">
        <v>55000</v>
      </c>
      <c r="I646">
        <v>400867</v>
      </c>
      <c r="J646">
        <v>88191</v>
      </c>
    </row>
    <row r="647" spans="1:10" x14ac:dyDescent="0.3">
      <c r="A647" t="s">
        <v>41</v>
      </c>
      <c r="B647" t="s">
        <v>16</v>
      </c>
      <c r="C647" t="s">
        <v>12</v>
      </c>
      <c r="D647" t="s">
        <v>240</v>
      </c>
      <c r="E647" s="36">
        <v>45855</v>
      </c>
      <c r="F647" t="s">
        <v>33</v>
      </c>
      <c r="G647">
        <v>7</v>
      </c>
      <c r="H647">
        <v>45000</v>
      </c>
      <c r="I647">
        <v>284227</v>
      </c>
      <c r="J647">
        <v>51161</v>
      </c>
    </row>
    <row r="648" spans="1:10" x14ac:dyDescent="0.3">
      <c r="A648" t="s">
        <v>41</v>
      </c>
      <c r="B648" t="s">
        <v>77</v>
      </c>
      <c r="C648" t="s">
        <v>12</v>
      </c>
      <c r="D648" t="s">
        <v>169</v>
      </c>
      <c r="E648" s="36">
        <v>45966</v>
      </c>
      <c r="F648" t="s">
        <v>40</v>
      </c>
      <c r="G648">
        <v>9</v>
      </c>
      <c r="H648">
        <v>15000</v>
      </c>
      <c r="I648">
        <v>135376</v>
      </c>
      <c r="J648">
        <v>13538</v>
      </c>
    </row>
    <row r="649" spans="1:10" x14ac:dyDescent="0.3">
      <c r="A649" t="s">
        <v>41</v>
      </c>
      <c r="B649" t="s">
        <v>31</v>
      </c>
      <c r="C649" t="s">
        <v>12</v>
      </c>
      <c r="D649" t="s">
        <v>142</v>
      </c>
      <c r="E649" s="36">
        <v>45875</v>
      </c>
      <c r="F649" t="s">
        <v>40</v>
      </c>
      <c r="G649">
        <v>2</v>
      </c>
      <c r="H649">
        <v>15000</v>
      </c>
      <c r="I649">
        <v>27127</v>
      </c>
      <c r="J649">
        <v>2713</v>
      </c>
    </row>
    <row r="650" spans="1:10" x14ac:dyDescent="0.3">
      <c r="A650" t="s">
        <v>41</v>
      </c>
      <c r="B650" t="s">
        <v>11</v>
      </c>
      <c r="C650" t="s">
        <v>12</v>
      </c>
      <c r="D650" t="s">
        <v>87</v>
      </c>
      <c r="E650" s="36">
        <v>45877</v>
      </c>
      <c r="F650" t="s">
        <v>33</v>
      </c>
      <c r="G650">
        <v>6</v>
      </c>
      <c r="H650">
        <v>45000</v>
      </c>
      <c r="I650">
        <v>281205</v>
      </c>
      <c r="J650">
        <v>50617</v>
      </c>
    </row>
    <row r="651" spans="1:10" x14ac:dyDescent="0.3">
      <c r="A651" t="s">
        <v>41</v>
      </c>
      <c r="B651" t="s">
        <v>19</v>
      </c>
      <c r="C651" t="s">
        <v>12</v>
      </c>
      <c r="D651" t="s">
        <v>27</v>
      </c>
      <c r="E651" s="36">
        <v>46011</v>
      </c>
      <c r="F651" t="s">
        <v>14</v>
      </c>
      <c r="G651">
        <v>5</v>
      </c>
      <c r="H651">
        <v>18500</v>
      </c>
      <c r="I651">
        <v>94756</v>
      </c>
      <c r="J651">
        <v>11371</v>
      </c>
    </row>
    <row r="652" spans="1:10" x14ac:dyDescent="0.3">
      <c r="A652" t="s">
        <v>41</v>
      </c>
      <c r="B652" t="s">
        <v>77</v>
      </c>
      <c r="C652" t="s">
        <v>12</v>
      </c>
      <c r="D652" t="s">
        <v>55</v>
      </c>
      <c r="E652" s="36">
        <v>45700</v>
      </c>
      <c r="F652" t="s">
        <v>33</v>
      </c>
      <c r="G652">
        <v>10</v>
      </c>
      <c r="H652">
        <v>45000</v>
      </c>
      <c r="I652">
        <v>462718</v>
      </c>
      <c r="J652">
        <v>83289</v>
      </c>
    </row>
    <row r="653" spans="1:10" x14ac:dyDescent="0.3">
      <c r="A653" t="s">
        <v>41</v>
      </c>
      <c r="B653" t="s">
        <v>31</v>
      </c>
      <c r="C653" t="s">
        <v>12</v>
      </c>
      <c r="D653" t="s">
        <v>241</v>
      </c>
      <c r="E653" s="36">
        <v>45838</v>
      </c>
      <c r="F653" t="s">
        <v>14</v>
      </c>
      <c r="G653">
        <v>6</v>
      </c>
      <c r="H653">
        <v>18500</v>
      </c>
      <c r="I653">
        <v>114449</v>
      </c>
      <c r="J653">
        <v>13734</v>
      </c>
    </row>
    <row r="654" spans="1:10" x14ac:dyDescent="0.3">
      <c r="A654" t="s">
        <v>41</v>
      </c>
      <c r="B654" t="s">
        <v>88</v>
      </c>
      <c r="C654" t="s">
        <v>12</v>
      </c>
      <c r="D654" t="s">
        <v>228</v>
      </c>
      <c r="E654" s="36">
        <v>45980</v>
      </c>
      <c r="F654" t="s">
        <v>33</v>
      </c>
      <c r="G654">
        <v>2</v>
      </c>
      <c r="H654">
        <v>45000</v>
      </c>
      <c r="I654">
        <v>97058</v>
      </c>
      <c r="J654">
        <v>17470</v>
      </c>
    </row>
    <row r="655" spans="1:10" x14ac:dyDescent="0.3">
      <c r="A655" t="s">
        <v>41</v>
      </c>
      <c r="B655" t="s">
        <v>77</v>
      </c>
      <c r="C655" t="s">
        <v>12</v>
      </c>
      <c r="D655" t="s">
        <v>218</v>
      </c>
      <c r="E655" s="36">
        <v>45883</v>
      </c>
      <c r="F655" t="s">
        <v>40</v>
      </c>
      <c r="G655">
        <v>2</v>
      </c>
      <c r="H655">
        <v>15000</v>
      </c>
      <c r="I655">
        <v>29433</v>
      </c>
      <c r="J655">
        <v>2943</v>
      </c>
    </row>
    <row r="656" spans="1:10" x14ac:dyDescent="0.3">
      <c r="A656" t="s">
        <v>41</v>
      </c>
      <c r="B656" t="s">
        <v>88</v>
      </c>
      <c r="C656" t="s">
        <v>12</v>
      </c>
      <c r="D656" t="s">
        <v>186</v>
      </c>
      <c r="E656" s="36">
        <v>45970</v>
      </c>
      <c r="F656" t="s">
        <v>14</v>
      </c>
      <c r="G656">
        <v>5</v>
      </c>
      <c r="H656">
        <v>18500</v>
      </c>
      <c r="I656">
        <v>99205</v>
      </c>
      <c r="J656">
        <v>11905</v>
      </c>
    </row>
    <row r="657" spans="1:10" x14ac:dyDescent="0.3">
      <c r="A657" t="s">
        <v>41</v>
      </c>
      <c r="B657" t="s">
        <v>84</v>
      </c>
      <c r="C657" t="s">
        <v>12</v>
      </c>
      <c r="D657" t="s">
        <v>201</v>
      </c>
      <c r="E657" s="36">
        <v>45928</v>
      </c>
      <c r="F657" t="s">
        <v>14</v>
      </c>
      <c r="G657">
        <v>1</v>
      </c>
      <c r="H657">
        <v>18500</v>
      </c>
      <c r="I657">
        <v>18864</v>
      </c>
      <c r="J657">
        <v>2264</v>
      </c>
    </row>
    <row r="658" spans="1:10" x14ac:dyDescent="0.3">
      <c r="A658" t="s">
        <v>41</v>
      </c>
      <c r="B658" t="s">
        <v>51</v>
      </c>
      <c r="C658" t="s">
        <v>12</v>
      </c>
      <c r="D658" t="s">
        <v>137</v>
      </c>
      <c r="E658" s="36">
        <v>45735</v>
      </c>
      <c r="F658" t="s">
        <v>40</v>
      </c>
      <c r="G658">
        <v>1</v>
      </c>
      <c r="H658">
        <v>15000</v>
      </c>
      <c r="I658">
        <v>15770</v>
      </c>
      <c r="J658">
        <v>1577</v>
      </c>
    </row>
    <row r="659" spans="1:10" x14ac:dyDescent="0.3">
      <c r="A659" t="s">
        <v>41</v>
      </c>
      <c r="B659" t="s">
        <v>77</v>
      </c>
      <c r="C659" t="s">
        <v>12</v>
      </c>
      <c r="D659" t="s">
        <v>82</v>
      </c>
      <c r="E659" s="36">
        <v>45727</v>
      </c>
      <c r="F659" t="s">
        <v>40</v>
      </c>
      <c r="G659">
        <v>10</v>
      </c>
      <c r="H659">
        <v>15000</v>
      </c>
      <c r="I659">
        <v>148415</v>
      </c>
      <c r="J659">
        <v>14842</v>
      </c>
    </row>
    <row r="660" spans="1:10" x14ac:dyDescent="0.3">
      <c r="A660" t="s">
        <v>41</v>
      </c>
      <c r="B660" t="s">
        <v>51</v>
      </c>
      <c r="C660" t="s">
        <v>12</v>
      </c>
      <c r="D660" t="s">
        <v>74</v>
      </c>
      <c r="E660" s="36">
        <v>45942</v>
      </c>
      <c r="F660" t="s">
        <v>36</v>
      </c>
      <c r="G660">
        <v>3</v>
      </c>
      <c r="H660">
        <v>55000</v>
      </c>
      <c r="I660">
        <v>177089</v>
      </c>
      <c r="J660">
        <v>38960</v>
      </c>
    </row>
    <row r="661" spans="1:10" x14ac:dyDescent="0.3">
      <c r="A661" t="s">
        <v>41</v>
      </c>
      <c r="B661" t="s">
        <v>19</v>
      </c>
      <c r="C661" t="s">
        <v>12</v>
      </c>
      <c r="D661" t="s">
        <v>66</v>
      </c>
      <c r="E661" s="36">
        <v>45855</v>
      </c>
      <c r="F661" t="s">
        <v>33</v>
      </c>
      <c r="G661">
        <v>9</v>
      </c>
      <c r="H661">
        <v>45000</v>
      </c>
      <c r="I661">
        <v>395082</v>
      </c>
      <c r="J661">
        <v>71115</v>
      </c>
    </row>
    <row r="662" spans="1:10" x14ac:dyDescent="0.3">
      <c r="A662" t="s">
        <v>41</v>
      </c>
      <c r="B662" t="s">
        <v>16</v>
      </c>
      <c r="C662" t="s">
        <v>12</v>
      </c>
      <c r="D662" t="s">
        <v>105</v>
      </c>
      <c r="E662" s="36">
        <v>46021</v>
      </c>
      <c r="F662" t="s">
        <v>40</v>
      </c>
      <c r="G662">
        <v>4</v>
      </c>
      <c r="H662">
        <v>15000</v>
      </c>
      <c r="I662">
        <v>65323</v>
      </c>
      <c r="J662">
        <v>6532</v>
      </c>
    </row>
    <row r="663" spans="1:10" x14ac:dyDescent="0.3">
      <c r="A663" t="s">
        <v>41</v>
      </c>
      <c r="B663" t="s">
        <v>88</v>
      </c>
      <c r="C663" t="s">
        <v>12</v>
      </c>
      <c r="D663" t="s">
        <v>255</v>
      </c>
      <c r="E663" s="36">
        <v>45802</v>
      </c>
      <c r="F663" t="s">
        <v>40</v>
      </c>
      <c r="G663">
        <v>7</v>
      </c>
      <c r="H663">
        <v>15000</v>
      </c>
      <c r="I663">
        <v>111386</v>
      </c>
      <c r="J663">
        <v>11139</v>
      </c>
    </row>
    <row r="664" spans="1:10" x14ac:dyDescent="0.3">
      <c r="A664" t="s">
        <v>41</v>
      </c>
      <c r="B664" t="s">
        <v>88</v>
      </c>
      <c r="C664" t="s">
        <v>12</v>
      </c>
      <c r="D664" t="s">
        <v>250</v>
      </c>
      <c r="E664" s="36">
        <v>45985</v>
      </c>
      <c r="F664" t="s">
        <v>14</v>
      </c>
      <c r="G664">
        <v>7</v>
      </c>
      <c r="H664">
        <v>18500</v>
      </c>
      <c r="I664">
        <v>118925</v>
      </c>
      <c r="J664">
        <v>14271</v>
      </c>
    </row>
    <row r="665" spans="1:10" x14ac:dyDescent="0.3">
      <c r="A665" t="s">
        <v>41</v>
      </c>
      <c r="B665" t="s">
        <v>77</v>
      </c>
      <c r="C665" t="s">
        <v>12</v>
      </c>
      <c r="D665" t="s">
        <v>13</v>
      </c>
      <c r="E665" s="36">
        <v>45667</v>
      </c>
      <c r="F665" t="s">
        <v>14</v>
      </c>
      <c r="G665">
        <v>9</v>
      </c>
      <c r="H665">
        <v>18500</v>
      </c>
      <c r="I665">
        <v>170363</v>
      </c>
      <c r="J665">
        <v>20444</v>
      </c>
    </row>
    <row r="666" spans="1:10" x14ac:dyDescent="0.3">
      <c r="A666" t="s">
        <v>41</v>
      </c>
      <c r="B666" t="s">
        <v>11</v>
      </c>
      <c r="C666" t="s">
        <v>12</v>
      </c>
      <c r="D666" t="s">
        <v>76</v>
      </c>
      <c r="E666" s="36">
        <v>45834</v>
      </c>
      <c r="F666" t="s">
        <v>36</v>
      </c>
      <c r="G666">
        <v>8</v>
      </c>
      <c r="H666">
        <v>55000</v>
      </c>
      <c r="I666">
        <v>422721</v>
      </c>
      <c r="J666">
        <v>92999</v>
      </c>
    </row>
    <row r="667" spans="1:10" x14ac:dyDescent="0.3">
      <c r="A667" t="s">
        <v>41</v>
      </c>
      <c r="B667" t="s">
        <v>84</v>
      </c>
      <c r="C667" t="s">
        <v>12</v>
      </c>
      <c r="D667" t="s">
        <v>247</v>
      </c>
      <c r="E667" s="36">
        <v>45702</v>
      </c>
      <c r="F667" t="s">
        <v>40</v>
      </c>
      <c r="G667">
        <v>9</v>
      </c>
      <c r="H667">
        <v>15000</v>
      </c>
      <c r="I667">
        <v>144048</v>
      </c>
      <c r="J667">
        <v>14405</v>
      </c>
    </row>
    <row r="668" spans="1:10" x14ac:dyDescent="0.3">
      <c r="A668" t="s">
        <v>41</v>
      </c>
      <c r="B668" t="s">
        <v>77</v>
      </c>
      <c r="C668" t="s">
        <v>12</v>
      </c>
      <c r="D668" t="s">
        <v>85</v>
      </c>
      <c r="E668" s="36">
        <v>45834</v>
      </c>
      <c r="F668" t="s">
        <v>33</v>
      </c>
      <c r="G668">
        <v>9</v>
      </c>
      <c r="H668">
        <v>45000</v>
      </c>
      <c r="I668">
        <v>443524</v>
      </c>
      <c r="J668">
        <v>79834</v>
      </c>
    </row>
    <row r="669" spans="1:10" x14ac:dyDescent="0.3">
      <c r="A669" t="s">
        <v>41</v>
      </c>
      <c r="B669" t="s">
        <v>77</v>
      </c>
      <c r="C669" t="s">
        <v>12</v>
      </c>
      <c r="D669" t="s">
        <v>258</v>
      </c>
      <c r="E669" s="36">
        <v>45914</v>
      </c>
      <c r="F669" t="s">
        <v>33</v>
      </c>
      <c r="G669">
        <v>9</v>
      </c>
      <c r="H669">
        <v>45000</v>
      </c>
      <c r="I669">
        <v>382009</v>
      </c>
      <c r="J669">
        <v>68762</v>
      </c>
    </row>
    <row r="670" spans="1:10" x14ac:dyDescent="0.3">
      <c r="A670" t="s">
        <v>41</v>
      </c>
      <c r="B670" t="s">
        <v>11</v>
      </c>
      <c r="C670" t="s">
        <v>12</v>
      </c>
      <c r="D670" t="s">
        <v>146</v>
      </c>
      <c r="E670" s="36">
        <v>45882</v>
      </c>
      <c r="F670" t="s">
        <v>40</v>
      </c>
      <c r="G670">
        <v>6</v>
      </c>
      <c r="H670">
        <v>15000</v>
      </c>
      <c r="I670">
        <v>85993</v>
      </c>
      <c r="J670">
        <v>8599</v>
      </c>
    </row>
    <row r="671" spans="1:10" x14ac:dyDescent="0.3">
      <c r="A671" t="s">
        <v>41</v>
      </c>
      <c r="B671" t="s">
        <v>19</v>
      </c>
      <c r="C671" t="s">
        <v>12</v>
      </c>
      <c r="D671" t="s">
        <v>70</v>
      </c>
      <c r="E671" s="36">
        <v>45723</v>
      </c>
      <c r="F671" t="s">
        <v>36</v>
      </c>
      <c r="G671">
        <v>7</v>
      </c>
      <c r="H671">
        <v>55000</v>
      </c>
      <c r="I671">
        <v>402680</v>
      </c>
      <c r="J671">
        <v>88590</v>
      </c>
    </row>
    <row r="672" spans="1:10" x14ac:dyDescent="0.3">
      <c r="A672" t="s">
        <v>41</v>
      </c>
      <c r="B672" t="s">
        <v>84</v>
      </c>
      <c r="C672" t="s">
        <v>12</v>
      </c>
      <c r="D672" t="s">
        <v>209</v>
      </c>
      <c r="E672" s="36">
        <v>45971</v>
      </c>
      <c r="F672" t="s">
        <v>33</v>
      </c>
      <c r="G672">
        <v>4</v>
      </c>
      <c r="H672">
        <v>45000</v>
      </c>
      <c r="I672">
        <v>185101</v>
      </c>
      <c r="J672">
        <v>33318</v>
      </c>
    </row>
    <row r="673" spans="1:10" x14ac:dyDescent="0.3">
      <c r="A673" t="s">
        <v>41</v>
      </c>
      <c r="B673" t="s">
        <v>77</v>
      </c>
      <c r="C673" t="s">
        <v>12</v>
      </c>
      <c r="D673" t="s">
        <v>54</v>
      </c>
      <c r="E673" s="36">
        <v>45693</v>
      </c>
      <c r="F673" t="s">
        <v>33</v>
      </c>
      <c r="G673">
        <v>7</v>
      </c>
      <c r="H673">
        <v>45000</v>
      </c>
      <c r="I673">
        <v>325898</v>
      </c>
      <c r="J673">
        <v>58662</v>
      </c>
    </row>
    <row r="674" spans="1:10" x14ac:dyDescent="0.3">
      <c r="A674" t="s">
        <v>41</v>
      </c>
      <c r="B674" t="s">
        <v>77</v>
      </c>
      <c r="C674" t="s">
        <v>12</v>
      </c>
      <c r="D674" t="s">
        <v>147</v>
      </c>
      <c r="E674" s="36">
        <v>45767</v>
      </c>
      <c r="F674" t="s">
        <v>40</v>
      </c>
      <c r="G674">
        <v>6</v>
      </c>
      <c r="H674">
        <v>15000</v>
      </c>
      <c r="I674">
        <v>97591</v>
      </c>
      <c r="J674">
        <v>9759</v>
      </c>
    </row>
    <row r="675" spans="1:10" x14ac:dyDescent="0.3">
      <c r="A675" t="s">
        <v>41</v>
      </c>
      <c r="B675" t="s">
        <v>77</v>
      </c>
      <c r="C675" t="s">
        <v>12</v>
      </c>
      <c r="D675" t="s">
        <v>258</v>
      </c>
      <c r="E675" s="36">
        <v>45825</v>
      </c>
      <c r="F675" t="s">
        <v>14</v>
      </c>
      <c r="G675">
        <v>2</v>
      </c>
      <c r="H675">
        <v>18500</v>
      </c>
      <c r="I675">
        <v>33538</v>
      </c>
      <c r="J675">
        <v>4025</v>
      </c>
    </row>
    <row r="676" spans="1:10" x14ac:dyDescent="0.3">
      <c r="A676" t="s">
        <v>41</v>
      </c>
      <c r="B676" t="s">
        <v>31</v>
      </c>
      <c r="C676" t="s">
        <v>12</v>
      </c>
      <c r="D676" t="s">
        <v>143</v>
      </c>
      <c r="E676" s="36">
        <v>45991</v>
      </c>
      <c r="F676" t="s">
        <v>36</v>
      </c>
      <c r="G676">
        <v>2</v>
      </c>
      <c r="H676">
        <v>55000</v>
      </c>
      <c r="I676">
        <v>112176</v>
      </c>
      <c r="J676">
        <v>24679</v>
      </c>
    </row>
    <row r="677" spans="1:10" x14ac:dyDescent="0.3">
      <c r="A677" t="s">
        <v>41</v>
      </c>
      <c r="B677" t="s">
        <v>51</v>
      </c>
      <c r="C677" t="s">
        <v>12</v>
      </c>
      <c r="D677" t="s">
        <v>208</v>
      </c>
      <c r="E677" s="36">
        <v>45721</v>
      </c>
      <c r="F677" t="s">
        <v>14</v>
      </c>
      <c r="G677">
        <v>9</v>
      </c>
      <c r="H677">
        <v>18500</v>
      </c>
      <c r="I677">
        <v>183098</v>
      </c>
      <c r="J677">
        <v>21972</v>
      </c>
    </row>
    <row r="678" spans="1:10" x14ac:dyDescent="0.3">
      <c r="A678" t="s">
        <v>41</v>
      </c>
      <c r="B678" t="s">
        <v>77</v>
      </c>
      <c r="C678" t="s">
        <v>12</v>
      </c>
      <c r="D678" t="s">
        <v>124</v>
      </c>
      <c r="E678" s="36">
        <v>45970</v>
      </c>
      <c r="F678" t="s">
        <v>14</v>
      </c>
      <c r="G678">
        <v>5</v>
      </c>
      <c r="H678">
        <v>18500</v>
      </c>
      <c r="I678">
        <v>91113</v>
      </c>
      <c r="J678">
        <v>10934</v>
      </c>
    </row>
    <row r="679" spans="1:10" x14ac:dyDescent="0.3">
      <c r="A679" t="s">
        <v>41</v>
      </c>
      <c r="B679" t="s">
        <v>11</v>
      </c>
      <c r="C679" t="s">
        <v>12</v>
      </c>
      <c r="D679" t="s">
        <v>211</v>
      </c>
      <c r="E679" s="36">
        <v>45930</v>
      </c>
      <c r="F679" t="s">
        <v>14</v>
      </c>
      <c r="G679">
        <v>1</v>
      </c>
      <c r="H679">
        <v>18500</v>
      </c>
      <c r="I679">
        <v>19114</v>
      </c>
      <c r="J679">
        <v>2294</v>
      </c>
    </row>
    <row r="680" spans="1:10" x14ac:dyDescent="0.3">
      <c r="A680" t="s">
        <v>41</v>
      </c>
      <c r="B680" t="s">
        <v>19</v>
      </c>
      <c r="C680" t="s">
        <v>12</v>
      </c>
      <c r="D680" t="s">
        <v>85</v>
      </c>
      <c r="E680" s="36">
        <v>45796</v>
      </c>
      <c r="F680" t="s">
        <v>14</v>
      </c>
      <c r="G680">
        <v>7</v>
      </c>
      <c r="H680">
        <v>18500</v>
      </c>
      <c r="I680">
        <v>122532</v>
      </c>
      <c r="J680">
        <v>14704</v>
      </c>
    </row>
    <row r="681" spans="1:10" x14ac:dyDescent="0.3">
      <c r="A681" t="s">
        <v>41</v>
      </c>
      <c r="B681" t="s">
        <v>19</v>
      </c>
      <c r="C681" t="s">
        <v>12</v>
      </c>
      <c r="D681" t="s">
        <v>82</v>
      </c>
      <c r="E681" s="36">
        <v>45664</v>
      </c>
      <c r="F681" t="s">
        <v>40</v>
      </c>
      <c r="G681">
        <v>6</v>
      </c>
      <c r="H681">
        <v>15000</v>
      </c>
      <c r="I681">
        <v>82790</v>
      </c>
      <c r="J681">
        <v>8279</v>
      </c>
    </row>
    <row r="682" spans="1:10" x14ac:dyDescent="0.3">
      <c r="A682" t="s">
        <v>41</v>
      </c>
      <c r="B682" t="s">
        <v>88</v>
      </c>
      <c r="C682" t="s">
        <v>12</v>
      </c>
      <c r="D682" t="s">
        <v>183</v>
      </c>
      <c r="E682" s="36">
        <v>45802</v>
      </c>
      <c r="F682" t="s">
        <v>14</v>
      </c>
      <c r="G682">
        <v>9</v>
      </c>
      <c r="H682">
        <v>18500</v>
      </c>
      <c r="I682">
        <v>180879</v>
      </c>
      <c r="J682">
        <v>21705</v>
      </c>
    </row>
    <row r="683" spans="1:10" x14ac:dyDescent="0.3">
      <c r="A683" t="s">
        <v>41</v>
      </c>
      <c r="B683" t="s">
        <v>11</v>
      </c>
      <c r="C683" t="s">
        <v>12</v>
      </c>
      <c r="D683" t="s">
        <v>179</v>
      </c>
      <c r="E683" s="36">
        <v>45909</v>
      </c>
      <c r="F683" t="s">
        <v>14</v>
      </c>
      <c r="G683">
        <v>5</v>
      </c>
      <c r="H683">
        <v>18500</v>
      </c>
      <c r="I683">
        <v>91305</v>
      </c>
      <c r="J683">
        <v>10957</v>
      </c>
    </row>
    <row r="684" spans="1:10" x14ac:dyDescent="0.3">
      <c r="A684" t="s">
        <v>41</v>
      </c>
      <c r="B684" t="s">
        <v>88</v>
      </c>
      <c r="C684" t="s">
        <v>12</v>
      </c>
      <c r="D684" t="s">
        <v>201</v>
      </c>
      <c r="E684" s="36">
        <v>45888</v>
      </c>
      <c r="F684" t="s">
        <v>36</v>
      </c>
      <c r="G684">
        <v>1</v>
      </c>
      <c r="H684">
        <v>55000</v>
      </c>
      <c r="I684">
        <v>50305</v>
      </c>
      <c r="J684">
        <v>11067</v>
      </c>
    </row>
    <row r="685" spans="1:10" x14ac:dyDescent="0.3">
      <c r="A685" t="s">
        <v>41</v>
      </c>
      <c r="B685" t="s">
        <v>84</v>
      </c>
      <c r="C685" t="s">
        <v>12</v>
      </c>
      <c r="D685" t="s">
        <v>200</v>
      </c>
      <c r="E685" s="36">
        <v>46007</v>
      </c>
      <c r="F685" t="s">
        <v>40</v>
      </c>
      <c r="G685">
        <v>6</v>
      </c>
      <c r="H685">
        <v>15000</v>
      </c>
      <c r="I685">
        <v>81791</v>
      </c>
      <c r="J685">
        <v>8179</v>
      </c>
    </row>
    <row r="686" spans="1:10" x14ac:dyDescent="0.3">
      <c r="A686" t="s">
        <v>41</v>
      </c>
      <c r="B686" t="s">
        <v>77</v>
      </c>
      <c r="C686" t="s">
        <v>12</v>
      </c>
      <c r="D686" t="s">
        <v>189</v>
      </c>
      <c r="E686" s="36">
        <v>45663</v>
      </c>
      <c r="F686" t="s">
        <v>36</v>
      </c>
      <c r="G686">
        <v>6</v>
      </c>
      <c r="H686">
        <v>55000</v>
      </c>
      <c r="I686">
        <v>342488</v>
      </c>
      <c r="J686">
        <v>75347</v>
      </c>
    </row>
    <row r="687" spans="1:10" x14ac:dyDescent="0.3">
      <c r="A687" t="s">
        <v>41</v>
      </c>
      <c r="B687" t="s">
        <v>51</v>
      </c>
      <c r="C687" t="s">
        <v>12</v>
      </c>
      <c r="D687" t="s">
        <v>123</v>
      </c>
      <c r="E687" s="36">
        <v>45798</v>
      </c>
      <c r="F687" t="s">
        <v>36</v>
      </c>
      <c r="G687">
        <v>5</v>
      </c>
      <c r="H687">
        <v>55000</v>
      </c>
      <c r="I687">
        <v>293554</v>
      </c>
      <c r="J687">
        <v>64582</v>
      </c>
    </row>
    <row r="688" spans="1:10" x14ac:dyDescent="0.3">
      <c r="A688" t="s">
        <v>41</v>
      </c>
      <c r="B688" t="s">
        <v>19</v>
      </c>
      <c r="C688" t="s">
        <v>12</v>
      </c>
      <c r="D688" t="s">
        <v>99</v>
      </c>
      <c r="E688" s="36">
        <v>45985</v>
      </c>
      <c r="F688" t="s">
        <v>36</v>
      </c>
      <c r="G688">
        <v>7</v>
      </c>
      <c r="H688">
        <v>55000</v>
      </c>
      <c r="I688">
        <v>387936</v>
      </c>
      <c r="J688">
        <v>85346</v>
      </c>
    </row>
    <row r="689" spans="1:10" x14ac:dyDescent="0.3">
      <c r="A689" t="s">
        <v>41</v>
      </c>
      <c r="B689" t="s">
        <v>88</v>
      </c>
      <c r="C689" t="s">
        <v>12</v>
      </c>
      <c r="D689" t="s">
        <v>192</v>
      </c>
      <c r="E689" s="36">
        <v>45736</v>
      </c>
      <c r="F689" t="s">
        <v>40</v>
      </c>
      <c r="G689">
        <v>7</v>
      </c>
      <c r="H689">
        <v>15000</v>
      </c>
      <c r="I689">
        <v>113605</v>
      </c>
      <c r="J689">
        <v>11360</v>
      </c>
    </row>
    <row r="690" spans="1:10" x14ac:dyDescent="0.3">
      <c r="A690" t="s">
        <v>41</v>
      </c>
      <c r="B690" t="s">
        <v>19</v>
      </c>
      <c r="C690" t="s">
        <v>12</v>
      </c>
      <c r="D690" t="s">
        <v>118</v>
      </c>
      <c r="E690" s="36">
        <v>45997</v>
      </c>
      <c r="F690" t="s">
        <v>14</v>
      </c>
      <c r="G690">
        <v>7</v>
      </c>
      <c r="H690">
        <v>18500</v>
      </c>
      <c r="I690">
        <v>131363</v>
      </c>
      <c r="J690">
        <v>15764</v>
      </c>
    </row>
    <row r="691" spans="1:10" x14ac:dyDescent="0.3">
      <c r="A691" t="s">
        <v>41</v>
      </c>
      <c r="B691" t="s">
        <v>88</v>
      </c>
      <c r="C691" t="s">
        <v>12</v>
      </c>
      <c r="D691" t="s">
        <v>259</v>
      </c>
      <c r="E691" s="36">
        <v>45971</v>
      </c>
      <c r="F691" t="s">
        <v>40</v>
      </c>
      <c r="G691">
        <v>3</v>
      </c>
      <c r="H691">
        <v>15000</v>
      </c>
      <c r="I691">
        <v>42951</v>
      </c>
      <c r="J691">
        <v>4295</v>
      </c>
    </row>
    <row r="692" spans="1:10" x14ac:dyDescent="0.3">
      <c r="A692" t="s">
        <v>41</v>
      </c>
      <c r="B692" t="s">
        <v>88</v>
      </c>
      <c r="C692" t="s">
        <v>12</v>
      </c>
      <c r="D692" t="s">
        <v>225</v>
      </c>
      <c r="E692" s="36">
        <v>45688</v>
      </c>
      <c r="F692" t="s">
        <v>36</v>
      </c>
      <c r="G692">
        <v>6</v>
      </c>
      <c r="H692">
        <v>55000</v>
      </c>
      <c r="I692">
        <v>355045</v>
      </c>
      <c r="J692">
        <v>78110</v>
      </c>
    </row>
    <row r="693" spans="1:10" x14ac:dyDescent="0.3">
      <c r="A693" t="s">
        <v>41</v>
      </c>
      <c r="B693" t="s">
        <v>51</v>
      </c>
      <c r="C693" t="s">
        <v>12</v>
      </c>
      <c r="D693" t="s">
        <v>96</v>
      </c>
      <c r="E693" s="36">
        <v>45890</v>
      </c>
      <c r="F693" t="s">
        <v>33</v>
      </c>
      <c r="G693">
        <v>4</v>
      </c>
      <c r="H693">
        <v>45000</v>
      </c>
      <c r="I693">
        <v>172705</v>
      </c>
      <c r="J693">
        <v>31087</v>
      </c>
    </row>
    <row r="694" spans="1:10" x14ac:dyDescent="0.3">
      <c r="A694" t="s">
        <v>41</v>
      </c>
      <c r="B694" t="s">
        <v>19</v>
      </c>
      <c r="C694" t="s">
        <v>12</v>
      </c>
      <c r="D694" t="s">
        <v>149</v>
      </c>
      <c r="E694" s="36">
        <v>45999</v>
      </c>
      <c r="F694" t="s">
        <v>14</v>
      </c>
      <c r="G694">
        <v>6</v>
      </c>
      <c r="H694">
        <v>18500</v>
      </c>
      <c r="I694">
        <v>106818</v>
      </c>
      <c r="J694">
        <v>12818</v>
      </c>
    </row>
    <row r="695" spans="1:10" x14ac:dyDescent="0.3">
      <c r="A695" t="s">
        <v>41</v>
      </c>
      <c r="B695" t="s">
        <v>16</v>
      </c>
      <c r="C695" t="s">
        <v>12</v>
      </c>
      <c r="D695" t="s">
        <v>196</v>
      </c>
      <c r="E695" s="36">
        <v>45962</v>
      </c>
      <c r="F695" t="s">
        <v>40</v>
      </c>
      <c r="G695">
        <v>7</v>
      </c>
      <c r="H695">
        <v>15000</v>
      </c>
      <c r="I695">
        <v>97260</v>
      </c>
      <c r="J695">
        <v>9726</v>
      </c>
    </row>
    <row r="696" spans="1:10" x14ac:dyDescent="0.3">
      <c r="A696" t="s">
        <v>41</v>
      </c>
      <c r="B696" t="s">
        <v>31</v>
      </c>
      <c r="C696" t="s">
        <v>12</v>
      </c>
      <c r="D696" t="s">
        <v>200</v>
      </c>
      <c r="E696" s="36">
        <v>45767</v>
      </c>
      <c r="F696" t="s">
        <v>36</v>
      </c>
      <c r="G696">
        <v>10</v>
      </c>
      <c r="H696">
        <v>55000</v>
      </c>
      <c r="I696">
        <v>576117</v>
      </c>
      <c r="J696">
        <v>126746</v>
      </c>
    </row>
    <row r="697" spans="1:10" x14ac:dyDescent="0.3">
      <c r="A697" t="s">
        <v>41</v>
      </c>
      <c r="B697" t="s">
        <v>77</v>
      </c>
      <c r="C697" t="s">
        <v>12</v>
      </c>
      <c r="D697" t="s">
        <v>245</v>
      </c>
      <c r="E697" s="36">
        <v>45984</v>
      </c>
      <c r="F697" t="s">
        <v>40</v>
      </c>
      <c r="G697">
        <v>6</v>
      </c>
      <c r="H697">
        <v>15000</v>
      </c>
      <c r="I697">
        <v>93166</v>
      </c>
      <c r="J697">
        <v>9317</v>
      </c>
    </row>
    <row r="698" spans="1:10" x14ac:dyDescent="0.3">
      <c r="A698" t="s">
        <v>41</v>
      </c>
      <c r="B698" t="s">
        <v>19</v>
      </c>
      <c r="C698" t="s">
        <v>12</v>
      </c>
      <c r="D698" t="s">
        <v>130</v>
      </c>
      <c r="E698" s="36">
        <v>45777</v>
      </c>
      <c r="F698" t="s">
        <v>14</v>
      </c>
      <c r="G698">
        <v>2</v>
      </c>
      <c r="H698">
        <v>18500</v>
      </c>
      <c r="I698">
        <v>36579</v>
      </c>
      <c r="J698">
        <v>4389</v>
      </c>
    </row>
    <row r="699" spans="1:10" x14ac:dyDescent="0.3">
      <c r="A699" t="s">
        <v>41</v>
      </c>
      <c r="B699" t="s">
        <v>84</v>
      </c>
      <c r="C699" t="s">
        <v>12</v>
      </c>
      <c r="D699" t="s">
        <v>222</v>
      </c>
      <c r="E699" s="36">
        <v>45840</v>
      </c>
      <c r="F699" t="s">
        <v>40</v>
      </c>
      <c r="G699">
        <v>7</v>
      </c>
      <c r="H699">
        <v>15000</v>
      </c>
      <c r="I699">
        <v>111857</v>
      </c>
      <c r="J699">
        <v>11186</v>
      </c>
    </row>
    <row r="700" spans="1:10" x14ac:dyDescent="0.3">
      <c r="A700" t="s">
        <v>41</v>
      </c>
      <c r="B700" t="s">
        <v>11</v>
      </c>
      <c r="C700" t="s">
        <v>12</v>
      </c>
      <c r="D700" t="s">
        <v>34</v>
      </c>
      <c r="E700" s="36">
        <v>45818</v>
      </c>
      <c r="F700" t="s">
        <v>36</v>
      </c>
      <c r="G700">
        <v>7</v>
      </c>
      <c r="H700">
        <v>55000</v>
      </c>
      <c r="I700">
        <v>364923</v>
      </c>
      <c r="J700">
        <v>80283</v>
      </c>
    </row>
    <row r="701" spans="1:10" x14ac:dyDescent="0.3">
      <c r="A701" t="s">
        <v>41</v>
      </c>
      <c r="B701" t="s">
        <v>16</v>
      </c>
      <c r="C701" t="s">
        <v>12</v>
      </c>
      <c r="D701" t="s">
        <v>89</v>
      </c>
      <c r="E701" s="36">
        <v>45827</v>
      </c>
      <c r="F701" t="s">
        <v>36</v>
      </c>
      <c r="G701">
        <v>3</v>
      </c>
      <c r="H701">
        <v>55000</v>
      </c>
      <c r="I701">
        <v>163220</v>
      </c>
      <c r="J701">
        <v>35908</v>
      </c>
    </row>
    <row r="702" spans="1:10" x14ac:dyDescent="0.3">
      <c r="A702" t="s">
        <v>41</v>
      </c>
      <c r="B702" t="s">
        <v>16</v>
      </c>
      <c r="C702" t="s">
        <v>12</v>
      </c>
      <c r="D702" t="s">
        <v>185</v>
      </c>
      <c r="E702" s="36">
        <v>45914</v>
      </c>
      <c r="F702" t="s">
        <v>33</v>
      </c>
      <c r="G702">
        <v>4</v>
      </c>
      <c r="H702">
        <v>45000</v>
      </c>
      <c r="I702">
        <v>192172</v>
      </c>
      <c r="J702">
        <v>34591</v>
      </c>
    </row>
    <row r="703" spans="1:10" x14ac:dyDescent="0.3">
      <c r="A703" t="s">
        <v>41</v>
      </c>
      <c r="B703" t="s">
        <v>77</v>
      </c>
      <c r="C703" t="s">
        <v>12</v>
      </c>
      <c r="D703" t="s">
        <v>42</v>
      </c>
      <c r="E703" s="36">
        <v>46013</v>
      </c>
      <c r="F703" t="s">
        <v>33</v>
      </c>
      <c r="G703">
        <v>2</v>
      </c>
      <c r="H703">
        <v>45000</v>
      </c>
      <c r="I703">
        <v>95637</v>
      </c>
      <c r="J703">
        <v>17215</v>
      </c>
    </row>
    <row r="704" spans="1:10" x14ac:dyDescent="0.3">
      <c r="A704" t="s">
        <v>41</v>
      </c>
      <c r="B704" t="s">
        <v>88</v>
      </c>
      <c r="C704" t="s">
        <v>12</v>
      </c>
      <c r="D704" t="s">
        <v>153</v>
      </c>
      <c r="E704" s="36">
        <v>45886</v>
      </c>
      <c r="F704" t="s">
        <v>33</v>
      </c>
      <c r="G704">
        <v>7</v>
      </c>
      <c r="H704">
        <v>45000</v>
      </c>
      <c r="I704">
        <v>338447</v>
      </c>
      <c r="J704">
        <v>60920</v>
      </c>
    </row>
    <row r="705" spans="1:10" x14ac:dyDescent="0.3">
      <c r="A705" t="s">
        <v>41</v>
      </c>
      <c r="B705" t="s">
        <v>11</v>
      </c>
      <c r="C705" t="s">
        <v>12</v>
      </c>
      <c r="D705" t="s">
        <v>212</v>
      </c>
      <c r="E705" s="36">
        <v>45994</v>
      </c>
      <c r="F705" t="s">
        <v>36</v>
      </c>
      <c r="G705">
        <v>5</v>
      </c>
      <c r="H705">
        <v>55000</v>
      </c>
      <c r="I705">
        <v>264524</v>
      </c>
      <c r="J705">
        <v>58195</v>
      </c>
    </row>
    <row r="706" spans="1:10" x14ac:dyDescent="0.3">
      <c r="A706" t="s">
        <v>41</v>
      </c>
      <c r="B706" t="s">
        <v>88</v>
      </c>
      <c r="C706" t="s">
        <v>12</v>
      </c>
      <c r="D706" t="s">
        <v>131</v>
      </c>
      <c r="E706" s="36">
        <v>45865</v>
      </c>
      <c r="F706" t="s">
        <v>14</v>
      </c>
      <c r="G706">
        <v>5</v>
      </c>
      <c r="H706">
        <v>18500</v>
      </c>
      <c r="I706">
        <v>89463</v>
      </c>
      <c r="J706">
        <v>10736</v>
      </c>
    </row>
    <row r="707" spans="1:10" x14ac:dyDescent="0.3">
      <c r="A707" t="s">
        <v>41</v>
      </c>
      <c r="B707" t="s">
        <v>16</v>
      </c>
      <c r="C707" t="s">
        <v>12</v>
      </c>
      <c r="D707" t="s">
        <v>181</v>
      </c>
      <c r="E707" s="36">
        <v>45750</v>
      </c>
      <c r="F707" t="s">
        <v>36</v>
      </c>
      <c r="G707">
        <v>8</v>
      </c>
      <c r="H707">
        <v>55000</v>
      </c>
      <c r="I707">
        <v>437691</v>
      </c>
      <c r="J707">
        <v>96292</v>
      </c>
    </row>
    <row r="708" spans="1:10" x14ac:dyDescent="0.3">
      <c r="A708" t="s">
        <v>41</v>
      </c>
      <c r="B708" t="s">
        <v>19</v>
      </c>
      <c r="C708" t="s">
        <v>12</v>
      </c>
      <c r="D708" t="s">
        <v>219</v>
      </c>
      <c r="E708" s="36">
        <v>45816</v>
      </c>
      <c r="F708" t="s">
        <v>33</v>
      </c>
      <c r="G708">
        <v>1</v>
      </c>
      <c r="H708">
        <v>45000</v>
      </c>
      <c r="I708">
        <v>42421</v>
      </c>
      <c r="J708">
        <v>7636</v>
      </c>
    </row>
    <row r="709" spans="1:10" x14ac:dyDescent="0.3">
      <c r="A709" t="s">
        <v>41</v>
      </c>
      <c r="B709" t="s">
        <v>31</v>
      </c>
      <c r="C709" t="s">
        <v>12</v>
      </c>
      <c r="D709" t="s">
        <v>189</v>
      </c>
      <c r="E709" s="36">
        <v>45681</v>
      </c>
      <c r="F709" t="s">
        <v>33</v>
      </c>
      <c r="G709">
        <v>8</v>
      </c>
      <c r="H709">
        <v>45000</v>
      </c>
      <c r="I709">
        <v>372824</v>
      </c>
      <c r="J709">
        <v>67108</v>
      </c>
    </row>
    <row r="710" spans="1:10" x14ac:dyDescent="0.3">
      <c r="A710" t="s">
        <v>41</v>
      </c>
      <c r="B710" t="s">
        <v>77</v>
      </c>
      <c r="C710" t="s">
        <v>12</v>
      </c>
      <c r="D710" t="s">
        <v>165</v>
      </c>
      <c r="E710" s="36">
        <v>45807</v>
      </c>
      <c r="F710" t="s">
        <v>36</v>
      </c>
      <c r="G710">
        <v>5</v>
      </c>
      <c r="H710">
        <v>55000</v>
      </c>
      <c r="I710">
        <v>276138</v>
      </c>
      <c r="J710">
        <v>60750</v>
      </c>
    </row>
    <row r="711" spans="1:10" x14ac:dyDescent="0.3">
      <c r="A711" t="s">
        <v>41</v>
      </c>
      <c r="B711" t="s">
        <v>19</v>
      </c>
      <c r="C711" t="s">
        <v>12</v>
      </c>
      <c r="D711" t="s">
        <v>13</v>
      </c>
      <c r="E711" s="36">
        <v>45821</v>
      </c>
      <c r="F711" t="s">
        <v>33</v>
      </c>
      <c r="G711">
        <v>2</v>
      </c>
      <c r="H711">
        <v>45000</v>
      </c>
      <c r="I711">
        <v>87401</v>
      </c>
      <c r="J711">
        <v>15732</v>
      </c>
    </row>
    <row r="712" spans="1:10" x14ac:dyDescent="0.3">
      <c r="A712" t="s">
        <v>41</v>
      </c>
      <c r="B712" t="s">
        <v>51</v>
      </c>
      <c r="C712" t="s">
        <v>12</v>
      </c>
      <c r="D712" t="s">
        <v>173</v>
      </c>
      <c r="E712" s="36">
        <v>45970</v>
      </c>
      <c r="F712" t="s">
        <v>14</v>
      </c>
      <c r="G712">
        <v>3</v>
      </c>
      <c r="H712">
        <v>18500</v>
      </c>
      <c r="I712">
        <v>53442</v>
      </c>
      <c r="J712">
        <v>6413</v>
      </c>
    </row>
    <row r="713" spans="1:10" x14ac:dyDescent="0.3">
      <c r="A713" t="s">
        <v>41</v>
      </c>
      <c r="B713" t="s">
        <v>77</v>
      </c>
      <c r="C713" t="s">
        <v>12</v>
      </c>
      <c r="D713" t="s">
        <v>236</v>
      </c>
      <c r="E713" s="36">
        <v>45868</v>
      </c>
      <c r="F713" t="s">
        <v>36</v>
      </c>
      <c r="G713">
        <v>9</v>
      </c>
      <c r="H713">
        <v>55000</v>
      </c>
      <c r="I713">
        <v>531352</v>
      </c>
      <c r="J713">
        <v>116897</v>
      </c>
    </row>
    <row r="714" spans="1:10" x14ac:dyDescent="0.3">
      <c r="A714" t="s">
        <v>41</v>
      </c>
      <c r="B714" t="s">
        <v>77</v>
      </c>
      <c r="C714" t="s">
        <v>12</v>
      </c>
      <c r="D714" t="s">
        <v>153</v>
      </c>
      <c r="E714" s="36">
        <v>45999</v>
      </c>
      <c r="F714" t="s">
        <v>33</v>
      </c>
      <c r="G714">
        <v>6</v>
      </c>
      <c r="H714">
        <v>45000</v>
      </c>
      <c r="I714">
        <v>296140</v>
      </c>
      <c r="J714">
        <v>53305</v>
      </c>
    </row>
    <row r="715" spans="1:10" x14ac:dyDescent="0.3">
      <c r="A715" t="s">
        <v>41</v>
      </c>
      <c r="B715" t="s">
        <v>77</v>
      </c>
      <c r="C715" t="s">
        <v>12</v>
      </c>
      <c r="D715" t="s">
        <v>201</v>
      </c>
      <c r="E715" s="36">
        <v>45908</v>
      </c>
      <c r="F715" t="s">
        <v>40</v>
      </c>
      <c r="G715">
        <v>8</v>
      </c>
      <c r="H715">
        <v>15000</v>
      </c>
      <c r="I715">
        <v>125340</v>
      </c>
      <c r="J715">
        <v>12534</v>
      </c>
    </row>
    <row r="716" spans="1:10" x14ac:dyDescent="0.3">
      <c r="A716" t="s">
        <v>41</v>
      </c>
      <c r="B716" t="s">
        <v>11</v>
      </c>
      <c r="C716" t="s">
        <v>12</v>
      </c>
      <c r="D716" t="s">
        <v>145</v>
      </c>
      <c r="E716" s="36">
        <v>45877</v>
      </c>
      <c r="F716" t="s">
        <v>33</v>
      </c>
      <c r="G716">
        <v>3</v>
      </c>
      <c r="H716">
        <v>45000</v>
      </c>
      <c r="I716">
        <v>140976</v>
      </c>
      <c r="J716">
        <v>25376</v>
      </c>
    </row>
    <row r="717" spans="1:10" x14ac:dyDescent="0.3">
      <c r="A717" t="s">
        <v>41</v>
      </c>
      <c r="B717" t="s">
        <v>19</v>
      </c>
      <c r="C717" t="s">
        <v>12</v>
      </c>
      <c r="D717" t="s">
        <v>99</v>
      </c>
      <c r="E717" s="36">
        <v>45687</v>
      </c>
      <c r="F717" t="s">
        <v>33</v>
      </c>
      <c r="G717">
        <v>9</v>
      </c>
      <c r="H717">
        <v>45000</v>
      </c>
      <c r="I717">
        <v>376894</v>
      </c>
      <c r="J717">
        <v>67841</v>
      </c>
    </row>
    <row r="718" spans="1:10" x14ac:dyDescent="0.3">
      <c r="A718" t="s">
        <v>41</v>
      </c>
      <c r="B718" t="s">
        <v>77</v>
      </c>
      <c r="C718" t="s">
        <v>12</v>
      </c>
      <c r="D718" t="s">
        <v>145</v>
      </c>
      <c r="E718" s="36">
        <v>45761</v>
      </c>
      <c r="F718" t="s">
        <v>14</v>
      </c>
      <c r="G718">
        <v>10</v>
      </c>
      <c r="H718">
        <v>18500</v>
      </c>
      <c r="I718">
        <v>174596</v>
      </c>
      <c r="J718">
        <v>20952</v>
      </c>
    </row>
    <row r="719" spans="1:10" x14ac:dyDescent="0.3">
      <c r="A719" t="s">
        <v>41</v>
      </c>
      <c r="B719" t="s">
        <v>77</v>
      </c>
      <c r="C719" t="s">
        <v>12</v>
      </c>
      <c r="D719" t="s">
        <v>261</v>
      </c>
      <c r="E719" s="36">
        <v>45783</v>
      </c>
      <c r="F719" t="s">
        <v>40</v>
      </c>
      <c r="G719">
        <v>4</v>
      </c>
      <c r="H719">
        <v>15000</v>
      </c>
      <c r="I719">
        <v>61052</v>
      </c>
      <c r="J719">
        <v>6105</v>
      </c>
    </row>
    <row r="720" spans="1:10" x14ac:dyDescent="0.3">
      <c r="A720" t="s">
        <v>41</v>
      </c>
      <c r="B720" t="s">
        <v>88</v>
      </c>
      <c r="C720" t="s">
        <v>12</v>
      </c>
      <c r="D720" t="s">
        <v>227</v>
      </c>
      <c r="E720" s="36">
        <v>45694</v>
      </c>
      <c r="F720" t="s">
        <v>40</v>
      </c>
      <c r="G720">
        <v>4</v>
      </c>
      <c r="H720">
        <v>15000</v>
      </c>
      <c r="I720">
        <v>65977</v>
      </c>
      <c r="J720">
        <v>6598</v>
      </c>
    </row>
    <row r="721" spans="1:10" x14ac:dyDescent="0.3">
      <c r="A721" t="s">
        <v>41</v>
      </c>
      <c r="B721" t="s">
        <v>88</v>
      </c>
      <c r="C721" t="s">
        <v>12</v>
      </c>
      <c r="D721" t="s">
        <v>133</v>
      </c>
      <c r="E721" s="36">
        <v>45862</v>
      </c>
      <c r="F721" t="s">
        <v>36</v>
      </c>
      <c r="G721">
        <v>10</v>
      </c>
      <c r="H721">
        <v>55000</v>
      </c>
      <c r="I721">
        <v>507011</v>
      </c>
      <c r="J721">
        <v>111542</v>
      </c>
    </row>
    <row r="722" spans="1:10" x14ac:dyDescent="0.3">
      <c r="A722" t="s">
        <v>41</v>
      </c>
      <c r="B722" t="s">
        <v>11</v>
      </c>
      <c r="C722" t="s">
        <v>12</v>
      </c>
      <c r="D722" t="s">
        <v>178</v>
      </c>
      <c r="E722" s="36">
        <v>45841</v>
      </c>
      <c r="F722" t="s">
        <v>33</v>
      </c>
      <c r="G722">
        <v>4</v>
      </c>
      <c r="H722">
        <v>45000</v>
      </c>
      <c r="I722">
        <v>181496</v>
      </c>
      <c r="J722">
        <v>32669</v>
      </c>
    </row>
    <row r="723" spans="1:10" x14ac:dyDescent="0.3">
      <c r="A723" t="s">
        <v>41</v>
      </c>
      <c r="B723" t="s">
        <v>77</v>
      </c>
      <c r="C723" t="s">
        <v>12</v>
      </c>
      <c r="D723" t="s">
        <v>139</v>
      </c>
      <c r="E723" s="36">
        <v>45845</v>
      </c>
      <c r="F723" t="s">
        <v>40</v>
      </c>
      <c r="G723">
        <v>5</v>
      </c>
      <c r="H723">
        <v>15000</v>
      </c>
      <c r="I723">
        <v>73732</v>
      </c>
      <c r="J723">
        <v>7373</v>
      </c>
    </row>
    <row r="724" spans="1:10" x14ac:dyDescent="0.3">
      <c r="A724" t="s">
        <v>41</v>
      </c>
      <c r="B724" t="s">
        <v>84</v>
      </c>
      <c r="C724" t="s">
        <v>12</v>
      </c>
      <c r="D724" t="s">
        <v>93</v>
      </c>
      <c r="E724" s="36">
        <v>45927</v>
      </c>
      <c r="F724" t="s">
        <v>33</v>
      </c>
      <c r="G724">
        <v>7</v>
      </c>
      <c r="H724">
        <v>45000</v>
      </c>
      <c r="I724">
        <v>338722</v>
      </c>
      <c r="J724">
        <v>60970</v>
      </c>
    </row>
    <row r="725" spans="1:10" x14ac:dyDescent="0.3">
      <c r="A725" t="s">
        <v>41</v>
      </c>
      <c r="B725" t="s">
        <v>11</v>
      </c>
      <c r="C725" t="s">
        <v>12</v>
      </c>
      <c r="D725" t="s">
        <v>211</v>
      </c>
      <c r="E725" s="36">
        <v>45933</v>
      </c>
      <c r="F725" t="s">
        <v>14</v>
      </c>
      <c r="G725">
        <v>6</v>
      </c>
      <c r="H725">
        <v>18500</v>
      </c>
      <c r="I725">
        <v>120934</v>
      </c>
      <c r="J725">
        <v>14512</v>
      </c>
    </row>
    <row r="726" spans="1:10" x14ac:dyDescent="0.3">
      <c r="A726" t="s">
        <v>41</v>
      </c>
      <c r="B726" t="s">
        <v>84</v>
      </c>
      <c r="C726" t="s">
        <v>12</v>
      </c>
      <c r="D726" t="s">
        <v>122</v>
      </c>
      <c r="E726" s="36">
        <v>45876</v>
      </c>
      <c r="F726" t="s">
        <v>14</v>
      </c>
      <c r="G726">
        <v>2</v>
      </c>
      <c r="H726">
        <v>18500</v>
      </c>
      <c r="I726">
        <v>36379</v>
      </c>
      <c r="J726">
        <v>4365</v>
      </c>
    </row>
    <row r="727" spans="1:10" x14ac:dyDescent="0.3">
      <c r="A727" t="s">
        <v>41</v>
      </c>
      <c r="B727" t="s">
        <v>11</v>
      </c>
      <c r="C727" t="s">
        <v>12</v>
      </c>
      <c r="D727" t="s">
        <v>82</v>
      </c>
      <c r="E727" s="36">
        <v>45999</v>
      </c>
      <c r="F727" t="s">
        <v>33</v>
      </c>
      <c r="G727">
        <v>1</v>
      </c>
      <c r="H727">
        <v>45000</v>
      </c>
      <c r="I727">
        <v>41686</v>
      </c>
      <c r="J727">
        <v>7503</v>
      </c>
    </row>
    <row r="728" spans="1:10" x14ac:dyDescent="0.3">
      <c r="A728" t="s">
        <v>41</v>
      </c>
      <c r="B728" t="s">
        <v>88</v>
      </c>
      <c r="C728" t="s">
        <v>12</v>
      </c>
      <c r="D728" t="s">
        <v>172</v>
      </c>
      <c r="E728" s="36">
        <v>45877</v>
      </c>
      <c r="F728" t="s">
        <v>36</v>
      </c>
      <c r="G728">
        <v>3</v>
      </c>
      <c r="H728">
        <v>55000</v>
      </c>
      <c r="I728">
        <v>153060</v>
      </c>
      <c r="J728">
        <v>33673</v>
      </c>
    </row>
    <row r="729" spans="1:10" x14ac:dyDescent="0.3">
      <c r="A729" t="s">
        <v>41</v>
      </c>
      <c r="B729" t="s">
        <v>11</v>
      </c>
      <c r="C729" t="s">
        <v>12</v>
      </c>
      <c r="D729" t="s">
        <v>127</v>
      </c>
      <c r="E729" s="36">
        <v>46022</v>
      </c>
      <c r="F729" t="s">
        <v>36</v>
      </c>
      <c r="G729">
        <v>8</v>
      </c>
      <c r="H729">
        <v>55000</v>
      </c>
      <c r="I729">
        <v>479762</v>
      </c>
      <c r="J729">
        <v>105548</v>
      </c>
    </row>
    <row r="730" spans="1:10" x14ac:dyDescent="0.3">
      <c r="A730" t="s">
        <v>41</v>
      </c>
      <c r="B730" t="s">
        <v>19</v>
      </c>
      <c r="C730" t="s">
        <v>12</v>
      </c>
      <c r="D730" t="s">
        <v>113</v>
      </c>
      <c r="E730" s="36">
        <v>45824</v>
      </c>
      <c r="F730" t="s">
        <v>40</v>
      </c>
      <c r="G730">
        <v>10</v>
      </c>
      <c r="H730">
        <v>15000</v>
      </c>
      <c r="I730">
        <v>157817</v>
      </c>
      <c r="J730">
        <v>15782</v>
      </c>
    </row>
    <row r="731" spans="1:10" x14ac:dyDescent="0.3">
      <c r="A731" t="s">
        <v>18</v>
      </c>
      <c r="B731" t="s">
        <v>31</v>
      </c>
      <c r="C731" t="s">
        <v>12</v>
      </c>
      <c r="D731" t="s">
        <v>34</v>
      </c>
      <c r="E731" s="36">
        <v>45801</v>
      </c>
      <c r="F731" t="s">
        <v>33</v>
      </c>
      <c r="G731">
        <v>3</v>
      </c>
      <c r="H731">
        <v>45000</v>
      </c>
      <c r="I731">
        <v>134028</v>
      </c>
      <c r="J731">
        <v>24125</v>
      </c>
    </row>
    <row r="732" spans="1:10" x14ac:dyDescent="0.3">
      <c r="A732" t="s">
        <v>18</v>
      </c>
      <c r="B732" t="s">
        <v>19</v>
      </c>
      <c r="C732" t="s">
        <v>12</v>
      </c>
      <c r="D732" t="s">
        <v>44</v>
      </c>
      <c r="E732" s="36">
        <v>45759</v>
      </c>
      <c r="F732" t="s">
        <v>40</v>
      </c>
      <c r="G732">
        <v>5</v>
      </c>
      <c r="H732">
        <v>15000</v>
      </c>
      <c r="I732">
        <v>79825</v>
      </c>
      <c r="J732">
        <v>7982</v>
      </c>
    </row>
    <row r="733" spans="1:10" x14ac:dyDescent="0.3">
      <c r="A733" t="s">
        <v>18</v>
      </c>
      <c r="B733" t="s">
        <v>51</v>
      </c>
      <c r="C733" t="s">
        <v>12</v>
      </c>
      <c r="D733" t="s">
        <v>52</v>
      </c>
      <c r="E733" s="36">
        <v>45740</v>
      </c>
      <c r="F733" t="s">
        <v>14</v>
      </c>
      <c r="G733">
        <v>10</v>
      </c>
      <c r="H733">
        <v>18500</v>
      </c>
      <c r="I733">
        <v>187317</v>
      </c>
      <c r="J733">
        <v>22478</v>
      </c>
    </row>
    <row r="734" spans="1:10" x14ac:dyDescent="0.3">
      <c r="A734" t="s">
        <v>18</v>
      </c>
      <c r="B734" t="s">
        <v>31</v>
      </c>
      <c r="C734" t="s">
        <v>12</v>
      </c>
      <c r="D734" t="s">
        <v>69</v>
      </c>
      <c r="E734" s="36">
        <v>45872</v>
      </c>
      <c r="F734" t="s">
        <v>33</v>
      </c>
      <c r="G734">
        <v>3</v>
      </c>
      <c r="H734">
        <v>45000</v>
      </c>
      <c r="I734">
        <v>147753</v>
      </c>
      <c r="J734">
        <v>26596</v>
      </c>
    </row>
    <row r="735" spans="1:10" x14ac:dyDescent="0.3">
      <c r="A735" t="s">
        <v>18</v>
      </c>
      <c r="B735" t="s">
        <v>77</v>
      </c>
      <c r="C735" t="s">
        <v>12</v>
      </c>
      <c r="D735" t="s">
        <v>78</v>
      </c>
      <c r="E735" s="36">
        <v>45710</v>
      </c>
      <c r="F735" t="s">
        <v>36</v>
      </c>
      <c r="G735">
        <v>5</v>
      </c>
      <c r="H735">
        <v>55000</v>
      </c>
      <c r="I735">
        <v>277018</v>
      </c>
      <c r="J735">
        <v>60944</v>
      </c>
    </row>
    <row r="736" spans="1:10" x14ac:dyDescent="0.3">
      <c r="A736" t="s">
        <v>18</v>
      </c>
      <c r="B736" t="s">
        <v>31</v>
      </c>
      <c r="C736" t="s">
        <v>12</v>
      </c>
      <c r="D736" t="s">
        <v>86</v>
      </c>
      <c r="E736" s="36">
        <v>45850</v>
      </c>
      <c r="F736" t="s">
        <v>14</v>
      </c>
      <c r="G736">
        <v>3</v>
      </c>
      <c r="H736">
        <v>18500</v>
      </c>
      <c r="I736">
        <v>59461</v>
      </c>
      <c r="J736">
        <v>7135</v>
      </c>
    </row>
    <row r="737" spans="1:10" x14ac:dyDescent="0.3">
      <c r="A737" t="s">
        <v>18</v>
      </c>
      <c r="B737" t="s">
        <v>84</v>
      </c>
      <c r="C737" t="s">
        <v>12</v>
      </c>
      <c r="D737" t="s">
        <v>99</v>
      </c>
      <c r="E737" s="36">
        <v>45906</v>
      </c>
      <c r="F737" t="s">
        <v>36</v>
      </c>
      <c r="G737">
        <v>6</v>
      </c>
      <c r="H737">
        <v>55000</v>
      </c>
      <c r="I737">
        <v>320334</v>
      </c>
      <c r="J737">
        <v>70473</v>
      </c>
    </row>
    <row r="738" spans="1:10" x14ac:dyDescent="0.3">
      <c r="A738" t="s">
        <v>18</v>
      </c>
      <c r="B738" t="s">
        <v>16</v>
      </c>
      <c r="C738" t="s">
        <v>12</v>
      </c>
      <c r="D738" t="s">
        <v>13</v>
      </c>
      <c r="E738" s="36">
        <v>46021</v>
      </c>
      <c r="F738" t="s">
        <v>33</v>
      </c>
      <c r="G738">
        <v>5</v>
      </c>
      <c r="H738">
        <v>45000</v>
      </c>
      <c r="I738">
        <v>215625</v>
      </c>
      <c r="J738">
        <v>38812</v>
      </c>
    </row>
    <row r="739" spans="1:10" x14ac:dyDescent="0.3">
      <c r="A739" t="s">
        <v>18</v>
      </c>
      <c r="B739" t="s">
        <v>84</v>
      </c>
      <c r="C739" t="s">
        <v>12</v>
      </c>
      <c r="D739" t="s">
        <v>105</v>
      </c>
      <c r="E739" s="36">
        <v>45808</v>
      </c>
      <c r="F739" t="s">
        <v>36</v>
      </c>
      <c r="G739">
        <v>10</v>
      </c>
      <c r="H739">
        <v>55000</v>
      </c>
      <c r="I739">
        <v>529067</v>
      </c>
      <c r="J739">
        <v>116395</v>
      </c>
    </row>
    <row r="740" spans="1:10" x14ac:dyDescent="0.3">
      <c r="A740" t="s">
        <v>18</v>
      </c>
      <c r="B740" t="s">
        <v>11</v>
      </c>
      <c r="C740" t="s">
        <v>12</v>
      </c>
      <c r="D740" t="s">
        <v>118</v>
      </c>
      <c r="E740" s="36">
        <v>45711</v>
      </c>
      <c r="F740" t="s">
        <v>40</v>
      </c>
      <c r="G740">
        <v>6</v>
      </c>
      <c r="H740">
        <v>15000</v>
      </c>
      <c r="I740">
        <v>84100</v>
      </c>
      <c r="J740">
        <v>8410</v>
      </c>
    </row>
    <row r="741" spans="1:10" x14ac:dyDescent="0.3">
      <c r="A741" t="s">
        <v>18</v>
      </c>
      <c r="B741" t="s">
        <v>88</v>
      </c>
      <c r="C741" t="s">
        <v>12</v>
      </c>
      <c r="D741" t="s">
        <v>121</v>
      </c>
      <c r="E741" s="36">
        <v>45925</v>
      </c>
      <c r="F741" t="s">
        <v>33</v>
      </c>
      <c r="G741">
        <v>6</v>
      </c>
      <c r="H741">
        <v>45000</v>
      </c>
      <c r="I741">
        <v>282523</v>
      </c>
      <c r="J741">
        <v>50854</v>
      </c>
    </row>
    <row r="742" spans="1:10" x14ac:dyDescent="0.3">
      <c r="A742" t="s">
        <v>18</v>
      </c>
      <c r="B742" t="s">
        <v>11</v>
      </c>
      <c r="C742" t="s">
        <v>12</v>
      </c>
      <c r="D742" t="s">
        <v>148</v>
      </c>
      <c r="E742" s="36">
        <v>45899</v>
      </c>
      <c r="F742" t="s">
        <v>36</v>
      </c>
      <c r="G742">
        <v>8</v>
      </c>
      <c r="H742">
        <v>55000</v>
      </c>
      <c r="I742">
        <v>443125</v>
      </c>
      <c r="J742">
        <v>97488</v>
      </c>
    </row>
    <row r="743" spans="1:10" x14ac:dyDescent="0.3">
      <c r="A743" t="s">
        <v>18</v>
      </c>
      <c r="B743" t="s">
        <v>19</v>
      </c>
      <c r="C743" t="s">
        <v>12</v>
      </c>
      <c r="D743" t="s">
        <v>153</v>
      </c>
      <c r="E743" s="36">
        <v>45710</v>
      </c>
      <c r="F743" t="s">
        <v>36</v>
      </c>
      <c r="G743">
        <v>4</v>
      </c>
      <c r="H743">
        <v>55000</v>
      </c>
      <c r="I743">
        <v>235371</v>
      </c>
      <c r="J743">
        <v>51782</v>
      </c>
    </row>
    <row r="744" spans="1:10" x14ac:dyDescent="0.3">
      <c r="A744" t="s">
        <v>18</v>
      </c>
      <c r="B744" t="s">
        <v>51</v>
      </c>
      <c r="C744" t="s">
        <v>12</v>
      </c>
      <c r="D744" t="s">
        <v>116</v>
      </c>
      <c r="E744" s="36">
        <v>45773</v>
      </c>
      <c r="F744" t="s">
        <v>33</v>
      </c>
      <c r="G744">
        <v>1</v>
      </c>
      <c r="H744">
        <v>45000</v>
      </c>
      <c r="I744">
        <v>44520</v>
      </c>
      <c r="J744">
        <v>8014</v>
      </c>
    </row>
    <row r="745" spans="1:10" x14ac:dyDescent="0.3">
      <c r="A745" t="s">
        <v>18</v>
      </c>
      <c r="B745" t="s">
        <v>88</v>
      </c>
      <c r="C745" t="s">
        <v>12</v>
      </c>
      <c r="D745" t="s">
        <v>55</v>
      </c>
      <c r="E745" s="36">
        <v>45732</v>
      </c>
      <c r="F745" t="s">
        <v>36</v>
      </c>
      <c r="G745">
        <v>7</v>
      </c>
      <c r="H745">
        <v>55000</v>
      </c>
      <c r="I745">
        <v>360028</v>
      </c>
      <c r="J745">
        <v>79206</v>
      </c>
    </row>
    <row r="746" spans="1:10" x14ac:dyDescent="0.3">
      <c r="A746" t="s">
        <v>18</v>
      </c>
      <c r="B746" t="s">
        <v>88</v>
      </c>
      <c r="C746" t="s">
        <v>12</v>
      </c>
      <c r="D746" t="s">
        <v>103</v>
      </c>
      <c r="E746" s="36">
        <v>45838</v>
      </c>
      <c r="F746" t="s">
        <v>40</v>
      </c>
      <c r="G746">
        <v>5</v>
      </c>
      <c r="H746">
        <v>15000</v>
      </c>
      <c r="I746">
        <v>69130</v>
      </c>
      <c r="J746">
        <v>6913</v>
      </c>
    </row>
    <row r="747" spans="1:10" x14ac:dyDescent="0.3">
      <c r="A747" t="s">
        <v>18</v>
      </c>
      <c r="B747" t="s">
        <v>84</v>
      </c>
      <c r="C747" t="s">
        <v>12</v>
      </c>
      <c r="D747" t="s">
        <v>183</v>
      </c>
      <c r="E747" s="36">
        <v>46013</v>
      </c>
      <c r="F747" t="s">
        <v>33</v>
      </c>
      <c r="G747">
        <v>1</v>
      </c>
      <c r="H747">
        <v>45000</v>
      </c>
      <c r="I747">
        <v>48017</v>
      </c>
      <c r="J747">
        <v>8643</v>
      </c>
    </row>
    <row r="748" spans="1:10" x14ac:dyDescent="0.3">
      <c r="A748" t="s">
        <v>18</v>
      </c>
      <c r="B748" t="s">
        <v>77</v>
      </c>
      <c r="C748" t="s">
        <v>12</v>
      </c>
      <c r="D748" t="s">
        <v>163</v>
      </c>
      <c r="E748" s="36">
        <v>45885</v>
      </c>
      <c r="F748" t="s">
        <v>33</v>
      </c>
      <c r="G748">
        <v>2</v>
      </c>
      <c r="H748">
        <v>45000</v>
      </c>
      <c r="I748">
        <v>93041</v>
      </c>
      <c r="J748">
        <v>16747</v>
      </c>
    </row>
    <row r="749" spans="1:10" x14ac:dyDescent="0.3">
      <c r="A749" t="s">
        <v>18</v>
      </c>
      <c r="B749" t="s">
        <v>11</v>
      </c>
      <c r="C749" t="s">
        <v>12</v>
      </c>
      <c r="D749" t="s">
        <v>65</v>
      </c>
      <c r="E749" s="36">
        <v>45797</v>
      </c>
      <c r="F749" t="s">
        <v>14</v>
      </c>
      <c r="G749">
        <v>5</v>
      </c>
      <c r="H749">
        <v>18500</v>
      </c>
      <c r="I749">
        <v>85047</v>
      </c>
      <c r="J749">
        <v>10206</v>
      </c>
    </row>
    <row r="750" spans="1:10" x14ac:dyDescent="0.3">
      <c r="A750" t="s">
        <v>18</v>
      </c>
      <c r="B750" t="s">
        <v>88</v>
      </c>
      <c r="C750" t="s">
        <v>12</v>
      </c>
      <c r="D750" t="s">
        <v>78</v>
      </c>
      <c r="E750" s="36">
        <v>45772</v>
      </c>
      <c r="F750" t="s">
        <v>14</v>
      </c>
      <c r="G750">
        <v>3</v>
      </c>
      <c r="H750">
        <v>18500</v>
      </c>
      <c r="I750">
        <v>55162</v>
      </c>
      <c r="J750">
        <v>6619</v>
      </c>
    </row>
    <row r="751" spans="1:10" x14ac:dyDescent="0.3">
      <c r="A751" t="s">
        <v>18</v>
      </c>
      <c r="B751" t="s">
        <v>84</v>
      </c>
      <c r="C751" t="s">
        <v>12</v>
      </c>
      <c r="D751" t="s">
        <v>137</v>
      </c>
      <c r="E751" s="36">
        <v>45953</v>
      </c>
      <c r="F751" t="s">
        <v>14</v>
      </c>
      <c r="G751">
        <v>5</v>
      </c>
      <c r="H751">
        <v>18500</v>
      </c>
      <c r="I751">
        <v>85915</v>
      </c>
      <c r="J751">
        <v>10310</v>
      </c>
    </row>
    <row r="752" spans="1:10" x14ac:dyDescent="0.3">
      <c r="A752" t="s">
        <v>18</v>
      </c>
      <c r="B752" t="s">
        <v>51</v>
      </c>
      <c r="C752" t="s">
        <v>12</v>
      </c>
      <c r="D752" t="s">
        <v>194</v>
      </c>
      <c r="E752" s="36">
        <v>45746</v>
      </c>
      <c r="F752" t="s">
        <v>40</v>
      </c>
      <c r="G752">
        <v>7</v>
      </c>
      <c r="H752">
        <v>15000</v>
      </c>
      <c r="I752">
        <v>96300</v>
      </c>
      <c r="J752">
        <v>9630</v>
      </c>
    </row>
    <row r="753" spans="1:10" x14ac:dyDescent="0.3">
      <c r="A753" t="s">
        <v>18</v>
      </c>
      <c r="B753" t="s">
        <v>11</v>
      </c>
      <c r="C753" t="s">
        <v>12</v>
      </c>
      <c r="D753" t="s">
        <v>212</v>
      </c>
      <c r="E753" s="36">
        <v>45864</v>
      </c>
      <c r="F753" t="s">
        <v>36</v>
      </c>
      <c r="G753">
        <v>3</v>
      </c>
      <c r="H753">
        <v>55000</v>
      </c>
      <c r="I753">
        <v>176072</v>
      </c>
      <c r="J753">
        <v>38736</v>
      </c>
    </row>
    <row r="754" spans="1:10" x14ac:dyDescent="0.3">
      <c r="A754" t="s">
        <v>18</v>
      </c>
      <c r="B754" t="s">
        <v>16</v>
      </c>
      <c r="C754" t="s">
        <v>12</v>
      </c>
      <c r="D754" t="s">
        <v>173</v>
      </c>
      <c r="E754" s="36">
        <v>45991</v>
      </c>
      <c r="F754" t="s">
        <v>14</v>
      </c>
      <c r="G754">
        <v>7</v>
      </c>
      <c r="H754">
        <v>18500</v>
      </c>
      <c r="I754">
        <v>134698</v>
      </c>
      <c r="J754">
        <v>16164</v>
      </c>
    </row>
    <row r="755" spans="1:10" x14ac:dyDescent="0.3">
      <c r="A755" t="s">
        <v>18</v>
      </c>
      <c r="B755" t="s">
        <v>19</v>
      </c>
      <c r="C755" t="s">
        <v>12</v>
      </c>
      <c r="D755" t="s">
        <v>98</v>
      </c>
      <c r="E755" s="36">
        <v>45817</v>
      </c>
      <c r="F755" t="s">
        <v>14</v>
      </c>
      <c r="G755">
        <v>5</v>
      </c>
      <c r="H755">
        <v>18500</v>
      </c>
      <c r="I755">
        <v>89005</v>
      </c>
      <c r="J755">
        <v>10681</v>
      </c>
    </row>
    <row r="756" spans="1:10" x14ac:dyDescent="0.3">
      <c r="A756" t="s">
        <v>18</v>
      </c>
      <c r="B756" t="s">
        <v>77</v>
      </c>
      <c r="C756" t="s">
        <v>12</v>
      </c>
      <c r="D756" t="s">
        <v>139</v>
      </c>
      <c r="E756" s="36">
        <v>45669</v>
      </c>
      <c r="F756" t="s">
        <v>33</v>
      </c>
      <c r="G756">
        <v>1</v>
      </c>
      <c r="H756">
        <v>45000</v>
      </c>
      <c r="I756">
        <v>49258</v>
      </c>
      <c r="J756">
        <v>8866</v>
      </c>
    </row>
    <row r="757" spans="1:10" x14ac:dyDescent="0.3">
      <c r="A757" t="s">
        <v>18</v>
      </c>
      <c r="B757" t="s">
        <v>11</v>
      </c>
      <c r="C757" t="s">
        <v>12</v>
      </c>
      <c r="D757" t="s">
        <v>148</v>
      </c>
      <c r="E757" s="36">
        <v>46020</v>
      </c>
      <c r="F757" t="s">
        <v>14</v>
      </c>
      <c r="G757">
        <v>4</v>
      </c>
      <c r="H757">
        <v>18500</v>
      </c>
      <c r="I757">
        <v>81400</v>
      </c>
      <c r="J757">
        <v>9768</v>
      </c>
    </row>
    <row r="758" spans="1:10" x14ac:dyDescent="0.3">
      <c r="A758" t="s">
        <v>18</v>
      </c>
      <c r="B758" t="s">
        <v>51</v>
      </c>
      <c r="C758" t="s">
        <v>12</v>
      </c>
      <c r="D758" t="s">
        <v>206</v>
      </c>
      <c r="E758" s="36">
        <v>46007</v>
      </c>
      <c r="F758" t="s">
        <v>36</v>
      </c>
      <c r="G758">
        <v>5</v>
      </c>
      <c r="H758">
        <v>55000</v>
      </c>
      <c r="I758">
        <v>249514</v>
      </c>
      <c r="J758">
        <v>54893</v>
      </c>
    </row>
    <row r="759" spans="1:10" x14ac:dyDescent="0.3">
      <c r="A759" t="s">
        <v>18</v>
      </c>
      <c r="B759" t="s">
        <v>77</v>
      </c>
      <c r="C759" t="s">
        <v>12</v>
      </c>
      <c r="D759" t="s">
        <v>220</v>
      </c>
      <c r="E759" s="36">
        <v>45982</v>
      </c>
      <c r="F759" t="s">
        <v>33</v>
      </c>
      <c r="G759">
        <v>9</v>
      </c>
      <c r="H759">
        <v>45000</v>
      </c>
      <c r="I759">
        <v>435945</v>
      </c>
      <c r="J759">
        <v>78470</v>
      </c>
    </row>
    <row r="760" spans="1:10" x14ac:dyDescent="0.3">
      <c r="A760" t="s">
        <v>18</v>
      </c>
      <c r="B760" t="s">
        <v>84</v>
      </c>
      <c r="C760" t="s">
        <v>12</v>
      </c>
      <c r="D760" t="s">
        <v>163</v>
      </c>
      <c r="E760" s="36">
        <v>46016</v>
      </c>
      <c r="F760" t="s">
        <v>36</v>
      </c>
      <c r="G760">
        <v>4</v>
      </c>
      <c r="H760">
        <v>55000</v>
      </c>
      <c r="I760">
        <v>228901</v>
      </c>
      <c r="J760">
        <v>50358</v>
      </c>
    </row>
    <row r="761" spans="1:10" x14ac:dyDescent="0.3">
      <c r="A761" t="s">
        <v>18</v>
      </c>
      <c r="B761" t="s">
        <v>84</v>
      </c>
      <c r="C761" t="s">
        <v>12</v>
      </c>
      <c r="D761" t="s">
        <v>199</v>
      </c>
      <c r="E761" s="36">
        <v>45813</v>
      </c>
      <c r="F761" t="s">
        <v>36</v>
      </c>
      <c r="G761">
        <v>5</v>
      </c>
      <c r="H761">
        <v>55000</v>
      </c>
      <c r="I761">
        <v>288630</v>
      </c>
      <c r="J761">
        <v>63499</v>
      </c>
    </row>
    <row r="762" spans="1:10" x14ac:dyDescent="0.3">
      <c r="A762" t="s">
        <v>18</v>
      </c>
      <c r="B762" t="s">
        <v>19</v>
      </c>
      <c r="C762" t="s">
        <v>12</v>
      </c>
      <c r="D762" t="s">
        <v>64</v>
      </c>
      <c r="E762" s="36">
        <v>45672</v>
      </c>
      <c r="F762" t="s">
        <v>36</v>
      </c>
      <c r="G762">
        <v>2</v>
      </c>
      <c r="H762">
        <v>55000</v>
      </c>
      <c r="I762">
        <v>102876</v>
      </c>
      <c r="J762">
        <v>22633</v>
      </c>
    </row>
    <row r="763" spans="1:10" x14ac:dyDescent="0.3">
      <c r="A763" t="s">
        <v>18</v>
      </c>
      <c r="B763" t="s">
        <v>31</v>
      </c>
      <c r="C763" t="s">
        <v>12</v>
      </c>
      <c r="D763" t="s">
        <v>168</v>
      </c>
      <c r="E763" s="36">
        <v>45868</v>
      </c>
      <c r="F763" t="s">
        <v>40</v>
      </c>
      <c r="G763">
        <v>2</v>
      </c>
      <c r="H763">
        <v>15000</v>
      </c>
      <c r="I763">
        <v>31196</v>
      </c>
      <c r="J763">
        <v>3120</v>
      </c>
    </row>
    <row r="764" spans="1:10" x14ac:dyDescent="0.3">
      <c r="A764" t="s">
        <v>18</v>
      </c>
      <c r="B764" t="s">
        <v>88</v>
      </c>
      <c r="C764" t="s">
        <v>12</v>
      </c>
      <c r="D764" t="s">
        <v>173</v>
      </c>
      <c r="E764" s="36">
        <v>45665</v>
      </c>
      <c r="F764" t="s">
        <v>14</v>
      </c>
      <c r="G764">
        <v>1</v>
      </c>
      <c r="H764">
        <v>18500</v>
      </c>
      <c r="I764">
        <v>18274</v>
      </c>
      <c r="J764">
        <v>2193</v>
      </c>
    </row>
    <row r="765" spans="1:10" x14ac:dyDescent="0.3">
      <c r="A765" t="s">
        <v>18</v>
      </c>
      <c r="B765" t="s">
        <v>11</v>
      </c>
      <c r="C765" t="s">
        <v>12</v>
      </c>
      <c r="D765" t="s">
        <v>122</v>
      </c>
      <c r="E765" s="36">
        <v>45893</v>
      </c>
      <c r="F765" t="s">
        <v>36</v>
      </c>
      <c r="G765">
        <v>3</v>
      </c>
      <c r="H765">
        <v>55000</v>
      </c>
      <c r="I765">
        <v>178758</v>
      </c>
      <c r="J765">
        <v>39327</v>
      </c>
    </row>
    <row r="766" spans="1:10" x14ac:dyDescent="0.3">
      <c r="A766" t="s">
        <v>18</v>
      </c>
      <c r="B766" t="s">
        <v>77</v>
      </c>
      <c r="C766" t="s">
        <v>12</v>
      </c>
      <c r="D766" t="s">
        <v>52</v>
      </c>
      <c r="E766" s="36">
        <v>45825</v>
      </c>
      <c r="F766" t="s">
        <v>33</v>
      </c>
      <c r="G766">
        <v>3</v>
      </c>
      <c r="H766">
        <v>45000</v>
      </c>
      <c r="I766">
        <v>135587</v>
      </c>
      <c r="J766">
        <v>24406</v>
      </c>
    </row>
    <row r="767" spans="1:10" x14ac:dyDescent="0.3">
      <c r="A767" t="s">
        <v>18</v>
      </c>
      <c r="B767" t="s">
        <v>84</v>
      </c>
      <c r="C767" t="s">
        <v>12</v>
      </c>
      <c r="D767" t="s">
        <v>134</v>
      </c>
      <c r="E767" s="36">
        <v>45773</v>
      </c>
      <c r="F767" t="s">
        <v>40</v>
      </c>
      <c r="G767">
        <v>7</v>
      </c>
      <c r="H767">
        <v>15000</v>
      </c>
      <c r="I767">
        <v>102632</v>
      </c>
      <c r="J767">
        <v>10263</v>
      </c>
    </row>
    <row r="768" spans="1:10" x14ac:dyDescent="0.3">
      <c r="A768" t="s">
        <v>18</v>
      </c>
      <c r="B768" t="s">
        <v>88</v>
      </c>
      <c r="C768" t="s">
        <v>12</v>
      </c>
      <c r="D768" t="s">
        <v>175</v>
      </c>
      <c r="E768" s="36">
        <v>45767</v>
      </c>
      <c r="F768" t="s">
        <v>33</v>
      </c>
      <c r="G768">
        <v>10</v>
      </c>
      <c r="H768">
        <v>45000</v>
      </c>
      <c r="I768">
        <v>420715</v>
      </c>
      <c r="J768">
        <v>75729</v>
      </c>
    </row>
    <row r="769" spans="1:10" x14ac:dyDescent="0.3">
      <c r="A769" t="s">
        <v>18</v>
      </c>
      <c r="B769" t="s">
        <v>11</v>
      </c>
      <c r="C769" t="s">
        <v>12</v>
      </c>
      <c r="D769" t="s">
        <v>229</v>
      </c>
      <c r="E769" s="36">
        <v>45855</v>
      </c>
      <c r="F769" t="s">
        <v>40</v>
      </c>
      <c r="G769">
        <v>7</v>
      </c>
      <c r="H769">
        <v>15000</v>
      </c>
      <c r="I769">
        <v>110741</v>
      </c>
      <c r="J769">
        <v>11074</v>
      </c>
    </row>
    <row r="770" spans="1:10" x14ac:dyDescent="0.3">
      <c r="A770" t="s">
        <v>18</v>
      </c>
      <c r="B770" t="s">
        <v>16</v>
      </c>
      <c r="C770" t="s">
        <v>12</v>
      </c>
      <c r="D770" t="s">
        <v>230</v>
      </c>
      <c r="E770" s="36">
        <v>45841</v>
      </c>
      <c r="F770" t="s">
        <v>40</v>
      </c>
      <c r="G770">
        <v>8</v>
      </c>
      <c r="H770">
        <v>15000</v>
      </c>
      <c r="I770">
        <v>126919</v>
      </c>
      <c r="J770">
        <v>12692</v>
      </c>
    </row>
    <row r="771" spans="1:10" x14ac:dyDescent="0.3">
      <c r="A771" t="s">
        <v>18</v>
      </c>
      <c r="B771" t="s">
        <v>51</v>
      </c>
      <c r="C771" t="s">
        <v>12</v>
      </c>
      <c r="D771" t="s">
        <v>109</v>
      </c>
      <c r="E771" s="36">
        <v>45770</v>
      </c>
      <c r="F771" t="s">
        <v>33</v>
      </c>
      <c r="G771">
        <v>4</v>
      </c>
      <c r="H771">
        <v>45000</v>
      </c>
      <c r="I771">
        <v>187923</v>
      </c>
      <c r="J771">
        <v>33826</v>
      </c>
    </row>
    <row r="772" spans="1:10" x14ac:dyDescent="0.3">
      <c r="A772" t="s">
        <v>18</v>
      </c>
      <c r="B772" t="s">
        <v>19</v>
      </c>
      <c r="C772" t="s">
        <v>12</v>
      </c>
      <c r="D772" t="s">
        <v>201</v>
      </c>
      <c r="E772" s="36">
        <v>46010</v>
      </c>
      <c r="F772" t="s">
        <v>33</v>
      </c>
      <c r="G772">
        <v>1</v>
      </c>
      <c r="H772">
        <v>45000</v>
      </c>
      <c r="I772">
        <v>48109</v>
      </c>
      <c r="J772">
        <v>8660</v>
      </c>
    </row>
    <row r="773" spans="1:10" x14ac:dyDescent="0.3">
      <c r="A773" t="s">
        <v>18</v>
      </c>
      <c r="B773" t="s">
        <v>31</v>
      </c>
      <c r="C773" t="s">
        <v>12</v>
      </c>
      <c r="D773" t="s">
        <v>235</v>
      </c>
      <c r="E773" s="36">
        <v>45934</v>
      </c>
      <c r="F773" t="s">
        <v>33</v>
      </c>
      <c r="G773">
        <v>7</v>
      </c>
      <c r="H773">
        <v>45000</v>
      </c>
      <c r="I773">
        <v>344030</v>
      </c>
      <c r="J773">
        <v>61925</v>
      </c>
    </row>
    <row r="774" spans="1:10" x14ac:dyDescent="0.3">
      <c r="A774" t="s">
        <v>18</v>
      </c>
      <c r="B774" t="s">
        <v>31</v>
      </c>
      <c r="C774" t="s">
        <v>12</v>
      </c>
      <c r="D774" t="s">
        <v>193</v>
      </c>
      <c r="E774" s="36">
        <v>45853</v>
      </c>
      <c r="F774" t="s">
        <v>36</v>
      </c>
      <c r="G774">
        <v>6</v>
      </c>
      <c r="H774">
        <v>55000</v>
      </c>
      <c r="I774">
        <v>300305</v>
      </c>
      <c r="J774">
        <v>66067</v>
      </c>
    </row>
    <row r="775" spans="1:10" x14ac:dyDescent="0.3">
      <c r="A775" t="s">
        <v>18</v>
      </c>
      <c r="B775" t="s">
        <v>16</v>
      </c>
      <c r="C775" t="s">
        <v>12</v>
      </c>
      <c r="D775" t="s">
        <v>155</v>
      </c>
      <c r="E775" s="36">
        <v>46001</v>
      </c>
      <c r="F775" t="s">
        <v>33</v>
      </c>
      <c r="G775">
        <v>7</v>
      </c>
      <c r="H775">
        <v>45000</v>
      </c>
      <c r="I775">
        <v>315796</v>
      </c>
      <c r="J775">
        <v>56843</v>
      </c>
    </row>
    <row r="776" spans="1:10" x14ac:dyDescent="0.3">
      <c r="A776" t="s">
        <v>18</v>
      </c>
      <c r="B776" t="s">
        <v>88</v>
      </c>
      <c r="C776" t="s">
        <v>12</v>
      </c>
      <c r="D776" t="s">
        <v>247</v>
      </c>
      <c r="E776" s="36">
        <v>45737</v>
      </c>
      <c r="F776" t="s">
        <v>33</v>
      </c>
      <c r="G776">
        <v>4</v>
      </c>
      <c r="H776">
        <v>45000</v>
      </c>
      <c r="I776">
        <v>166838</v>
      </c>
      <c r="J776">
        <v>30031</v>
      </c>
    </row>
    <row r="777" spans="1:10" x14ac:dyDescent="0.3">
      <c r="A777" t="s">
        <v>18</v>
      </c>
      <c r="B777" t="s">
        <v>31</v>
      </c>
      <c r="C777" t="s">
        <v>12</v>
      </c>
      <c r="D777" t="s">
        <v>233</v>
      </c>
      <c r="E777" s="36">
        <v>45767</v>
      </c>
      <c r="F777" t="s">
        <v>36</v>
      </c>
      <c r="G777">
        <v>7</v>
      </c>
      <c r="H777">
        <v>55000</v>
      </c>
      <c r="I777">
        <v>409417</v>
      </c>
      <c r="J777">
        <v>90072</v>
      </c>
    </row>
    <row r="778" spans="1:10" x14ac:dyDescent="0.3">
      <c r="A778" t="s">
        <v>18</v>
      </c>
      <c r="B778" t="s">
        <v>51</v>
      </c>
      <c r="C778" t="s">
        <v>12</v>
      </c>
      <c r="D778" t="s">
        <v>105</v>
      </c>
      <c r="E778" s="36">
        <v>45869</v>
      </c>
      <c r="F778" t="s">
        <v>40</v>
      </c>
      <c r="G778">
        <v>7</v>
      </c>
      <c r="H778">
        <v>15000</v>
      </c>
      <c r="I778">
        <v>113706</v>
      </c>
      <c r="J778">
        <v>11371</v>
      </c>
    </row>
    <row r="779" spans="1:10" x14ac:dyDescent="0.3">
      <c r="A779" t="s">
        <v>18</v>
      </c>
      <c r="B779" t="s">
        <v>11</v>
      </c>
      <c r="C779" t="s">
        <v>12</v>
      </c>
      <c r="D779" t="s">
        <v>251</v>
      </c>
      <c r="E779" s="36">
        <v>46005</v>
      </c>
      <c r="F779" t="s">
        <v>14</v>
      </c>
      <c r="G779">
        <v>2</v>
      </c>
      <c r="H779">
        <v>18500</v>
      </c>
      <c r="I779">
        <v>37226</v>
      </c>
      <c r="J779">
        <v>4467</v>
      </c>
    </row>
    <row r="780" spans="1:10" x14ac:dyDescent="0.3">
      <c r="A780" t="s">
        <v>18</v>
      </c>
      <c r="B780" t="s">
        <v>88</v>
      </c>
      <c r="C780" t="s">
        <v>12</v>
      </c>
      <c r="D780" t="s">
        <v>228</v>
      </c>
      <c r="E780" s="36">
        <v>45888</v>
      </c>
      <c r="F780" t="s">
        <v>40</v>
      </c>
      <c r="G780">
        <v>7</v>
      </c>
      <c r="H780">
        <v>15000</v>
      </c>
      <c r="I780">
        <v>96544</v>
      </c>
      <c r="J780">
        <v>9654</v>
      </c>
    </row>
    <row r="781" spans="1:10" x14ac:dyDescent="0.3">
      <c r="A781" t="s">
        <v>18</v>
      </c>
      <c r="B781" t="s">
        <v>84</v>
      </c>
      <c r="C781" t="s">
        <v>12</v>
      </c>
      <c r="D781" t="s">
        <v>85</v>
      </c>
      <c r="E781" s="36">
        <v>45720</v>
      </c>
      <c r="F781" t="s">
        <v>40</v>
      </c>
      <c r="G781">
        <v>1</v>
      </c>
      <c r="H781">
        <v>15000</v>
      </c>
      <c r="I781">
        <v>15320</v>
      </c>
      <c r="J781">
        <v>1532</v>
      </c>
    </row>
    <row r="782" spans="1:10" x14ac:dyDescent="0.3">
      <c r="A782" t="s">
        <v>18</v>
      </c>
      <c r="B782" t="s">
        <v>51</v>
      </c>
      <c r="C782" t="s">
        <v>12</v>
      </c>
      <c r="D782" t="s">
        <v>136</v>
      </c>
      <c r="E782" s="36">
        <v>45748</v>
      </c>
      <c r="F782" t="s">
        <v>40</v>
      </c>
      <c r="G782">
        <v>3</v>
      </c>
      <c r="H782">
        <v>15000</v>
      </c>
      <c r="I782">
        <v>41774</v>
      </c>
      <c r="J782">
        <v>4177</v>
      </c>
    </row>
    <row r="783" spans="1:10" x14ac:dyDescent="0.3">
      <c r="A783" t="s">
        <v>18</v>
      </c>
      <c r="B783" t="s">
        <v>77</v>
      </c>
      <c r="C783" t="s">
        <v>12</v>
      </c>
      <c r="D783" t="s">
        <v>148</v>
      </c>
      <c r="E783" s="36">
        <v>45925</v>
      </c>
      <c r="F783" t="s">
        <v>14</v>
      </c>
      <c r="G783">
        <v>9</v>
      </c>
      <c r="H783">
        <v>18500</v>
      </c>
      <c r="I783">
        <v>182387</v>
      </c>
      <c r="J783">
        <v>21886</v>
      </c>
    </row>
    <row r="784" spans="1:10" x14ac:dyDescent="0.3">
      <c r="A784" t="s">
        <v>18</v>
      </c>
      <c r="B784" t="s">
        <v>11</v>
      </c>
      <c r="C784" t="s">
        <v>12</v>
      </c>
      <c r="D784" t="s">
        <v>256</v>
      </c>
      <c r="E784" s="36">
        <v>45982</v>
      </c>
      <c r="F784" t="s">
        <v>40</v>
      </c>
      <c r="G784">
        <v>2</v>
      </c>
      <c r="H784">
        <v>15000</v>
      </c>
      <c r="I784">
        <v>28745</v>
      </c>
      <c r="J784">
        <v>2874</v>
      </c>
    </row>
    <row r="785" spans="1:10" x14ac:dyDescent="0.3">
      <c r="A785" t="s">
        <v>18</v>
      </c>
      <c r="B785" t="s">
        <v>16</v>
      </c>
      <c r="C785" t="s">
        <v>12</v>
      </c>
      <c r="D785" t="s">
        <v>124</v>
      </c>
      <c r="E785" s="36">
        <v>45780</v>
      </c>
      <c r="F785" t="s">
        <v>40</v>
      </c>
      <c r="G785">
        <v>2</v>
      </c>
      <c r="H785">
        <v>15000</v>
      </c>
      <c r="I785">
        <v>32842</v>
      </c>
      <c r="J785">
        <v>3284</v>
      </c>
    </row>
    <row r="786" spans="1:10" x14ac:dyDescent="0.3">
      <c r="A786" t="s">
        <v>18</v>
      </c>
      <c r="B786" t="s">
        <v>84</v>
      </c>
      <c r="C786" t="s">
        <v>12</v>
      </c>
      <c r="D786" t="s">
        <v>208</v>
      </c>
      <c r="E786" s="36">
        <v>45779</v>
      </c>
      <c r="F786" t="s">
        <v>14</v>
      </c>
      <c r="G786">
        <v>3</v>
      </c>
      <c r="H786">
        <v>18500</v>
      </c>
      <c r="I786">
        <v>55288</v>
      </c>
      <c r="J786">
        <v>6635</v>
      </c>
    </row>
    <row r="787" spans="1:10" x14ac:dyDescent="0.3">
      <c r="A787" t="s">
        <v>18</v>
      </c>
      <c r="B787" t="s">
        <v>11</v>
      </c>
      <c r="C787" t="s">
        <v>12</v>
      </c>
      <c r="D787" t="s">
        <v>231</v>
      </c>
      <c r="E787" s="36">
        <v>45679</v>
      </c>
      <c r="F787" t="s">
        <v>33</v>
      </c>
      <c r="G787">
        <v>8</v>
      </c>
      <c r="H787">
        <v>45000</v>
      </c>
      <c r="I787">
        <v>326937</v>
      </c>
      <c r="J787">
        <v>58849</v>
      </c>
    </row>
    <row r="788" spans="1:10" x14ac:dyDescent="0.3">
      <c r="A788" t="s">
        <v>18</v>
      </c>
      <c r="B788" t="s">
        <v>84</v>
      </c>
      <c r="C788" t="s">
        <v>12</v>
      </c>
      <c r="D788" t="s">
        <v>244</v>
      </c>
      <c r="E788" s="36">
        <v>45731</v>
      </c>
      <c r="F788" t="s">
        <v>14</v>
      </c>
      <c r="G788">
        <v>4</v>
      </c>
      <c r="H788">
        <v>18500</v>
      </c>
      <c r="I788">
        <v>74306</v>
      </c>
      <c r="J788">
        <v>8917</v>
      </c>
    </row>
    <row r="789" spans="1:10" x14ac:dyDescent="0.3">
      <c r="A789" t="s">
        <v>18</v>
      </c>
      <c r="B789" t="s">
        <v>88</v>
      </c>
      <c r="C789" t="s">
        <v>12</v>
      </c>
      <c r="D789" t="s">
        <v>177</v>
      </c>
      <c r="E789" s="36">
        <v>45883</v>
      </c>
      <c r="F789" t="s">
        <v>36</v>
      </c>
      <c r="G789">
        <v>2</v>
      </c>
      <c r="H789">
        <v>55000</v>
      </c>
      <c r="I789">
        <v>116662</v>
      </c>
      <c r="J789">
        <v>25666</v>
      </c>
    </row>
    <row r="790" spans="1:10" x14ac:dyDescent="0.3">
      <c r="A790" t="s">
        <v>18</v>
      </c>
      <c r="B790" t="s">
        <v>31</v>
      </c>
      <c r="C790" t="s">
        <v>12</v>
      </c>
      <c r="D790" t="s">
        <v>116</v>
      </c>
      <c r="E790" s="36">
        <v>45687</v>
      </c>
      <c r="F790" t="s">
        <v>14</v>
      </c>
      <c r="G790">
        <v>2</v>
      </c>
      <c r="H790">
        <v>18500</v>
      </c>
      <c r="I790">
        <v>33609</v>
      </c>
      <c r="J790">
        <v>4033</v>
      </c>
    </row>
    <row r="791" spans="1:10" x14ac:dyDescent="0.3">
      <c r="A791" t="s">
        <v>18</v>
      </c>
      <c r="B791" t="s">
        <v>19</v>
      </c>
      <c r="C791" t="s">
        <v>12</v>
      </c>
      <c r="D791" t="s">
        <v>96</v>
      </c>
      <c r="E791" s="36">
        <v>45946</v>
      </c>
      <c r="F791" t="s">
        <v>33</v>
      </c>
      <c r="G791">
        <v>3</v>
      </c>
      <c r="H791">
        <v>45000</v>
      </c>
      <c r="I791">
        <v>126738</v>
      </c>
      <c r="J791">
        <v>22813</v>
      </c>
    </row>
    <row r="792" spans="1:10" x14ac:dyDescent="0.3">
      <c r="A792" t="s">
        <v>18</v>
      </c>
      <c r="B792" t="s">
        <v>51</v>
      </c>
      <c r="C792" t="s">
        <v>12</v>
      </c>
      <c r="D792" t="s">
        <v>184</v>
      </c>
      <c r="E792" s="36">
        <v>45987</v>
      </c>
      <c r="F792" t="s">
        <v>14</v>
      </c>
      <c r="G792">
        <v>6</v>
      </c>
      <c r="H792">
        <v>18500</v>
      </c>
      <c r="I792">
        <v>102718</v>
      </c>
      <c r="J792">
        <v>12326</v>
      </c>
    </row>
    <row r="793" spans="1:10" x14ac:dyDescent="0.3">
      <c r="A793" t="s">
        <v>18</v>
      </c>
      <c r="B793" t="s">
        <v>88</v>
      </c>
      <c r="C793" t="s">
        <v>12</v>
      </c>
      <c r="D793" t="s">
        <v>122</v>
      </c>
      <c r="E793" s="36">
        <v>45868</v>
      </c>
      <c r="F793" t="s">
        <v>33</v>
      </c>
      <c r="G793">
        <v>4</v>
      </c>
      <c r="H793">
        <v>45000</v>
      </c>
      <c r="I793">
        <v>165247</v>
      </c>
      <c r="J793">
        <v>29744</v>
      </c>
    </row>
    <row r="794" spans="1:10" x14ac:dyDescent="0.3">
      <c r="A794" t="s">
        <v>18</v>
      </c>
      <c r="B794" t="s">
        <v>31</v>
      </c>
      <c r="C794" t="s">
        <v>12</v>
      </c>
      <c r="D794" t="s">
        <v>207</v>
      </c>
      <c r="E794" s="36">
        <v>45755</v>
      </c>
      <c r="F794" t="s">
        <v>40</v>
      </c>
      <c r="G794">
        <v>1</v>
      </c>
      <c r="H794">
        <v>15000</v>
      </c>
      <c r="I794">
        <v>15324</v>
      </c>
      <c r="J794">
        <v>1532</v>
      </c>
    </row>
    <row r="795" spans="1:10" x14ac:dyDescent="0.3">
      <c r="A795" t="s">
        <v>18</v>
      </c>
      <c r="B795" t="s">
        <v>84</v>
      </c>
      <c r="C795" t="s">
        <v>12</v>
      </c>
      <c r="D795" t="s">
        <v>55</v>
      </c>
      <c r="E795" s="36">
        <v>45774</v>
      </c>
      <c r="F795" t="s">
        <v>36</v>
      </c>
      <c r="G795">
        <v>5</v>
      </c>
      <c r="H795">
        <v>55000</v>
      </c>
      <c r="I795">
        <v>261360</v>
      </c>
      <c r="J795">
        <v>57499</v>
      </c>
    </row>
    <row r="796" spans="1:10" x14ac:dyDescent="0.3">
      <c r="A796" t="s">
        <v>18</v>
      </c>
      <c r="B796" t="s">
        <v>16</v>
      </c>
      <c r="C796" t="s">
        <v>12</v>
      </c>
      <c r="D796" t="s">
        <v>89</v>
      </c>
      <c r="E796" s="36">
        <v>45749</v>
      </c>
      <c r="F796" t="s">
        <v>40</v>
      </c>
      <c r="G796">
        <v>8</v>
      </c>
      <c r="H796">
        <v>15000</v>
      </c>
      <c r="I796">
        <v>131919</v>
      </c>
      <c r="J796">
        <v>13192</v>
      </c>
    </row>
    <row r="797" spans="1:10" x14ac:dyDescent="0.3">
      <c r="A797" t="s">
        <v>18</v>
      </c>
      <c r="B797" t="s">
        <v>19</v>
      </c>
      <c r="C797" t="s">
        <v>12</v>
      </c>
      <c r="D797" t="s">
        <v>191</v>
      </c>
      <c r="E797" s="36">
        <v>45684</v>
      </c>
      <c r="F797" t="s">
        <v>36</v>
      </c>
      <c r="G797">
        <v>6</v>
      </c>
      <c r="H797">
        <v>55000</v>
      </c>
      <c r="I797">
        <v>361266</v>
      </c>
      <c r="J797">
        <v>79479</v>
      </c>
    </row>
    <row r="798" spans="1:10" x14ac:dyDescent="0.3">
      <c r="A798" t="s">
        <v>18</v>
      </c>
      <c r="B798" t="s">
        <v>16</v>
      </c>
      <c r="C798" t="s">
        <v>12</v>
      </c>
      <c r="D798" t="s">
        <v>180</v>
      </c>
      <c r="E798" s="36">
        <v>45928</v>
      </c>
      <c r="F798" t="s">
        <v>33</v>
      </c>
      <c r="G798">
        <v>9</v>
      </c>
      <c r="H798">
        <v>45000</v>
      </c>
      <c r="I798">
        <v>421956</v>
      </c>
      <c r="J798">
        <v>75952</v>
      </c>
    </row>
    <row r="799" spans="1:10" x14ac:dyDescent="0.3">
      <c r="A799" t="s">
        <v>18</v>
      </c>
      <c r="B799" t="s">
        <v>84</v>
      </c>
      <c r="C799" t="s">
        <v>12</v>
      </c>
      <c r="D799" t="s">
        <v>158</v>
      </c>
      <c r="E799" s="36">
        <v>45869</v>
      </c>
      <c r="F799" t="s">
        <v>40</v>
      </c>
      <c r="G799">
        <v>2</v>
      </c>
      <c r="H799">
        <v>15000</v>
      </c>
      <c r="I799">
        <v>28239</v>
      </c>
      <c r="J799">
        <v>2824</v>
      </c>
    </row>
    <row r="800" spans="1:10" x14ac:dyDescent="0.3">
      <c r="A800" t="s">
        <v>18</v>
      </c>
      <c r="B800" t="s">
        <v>88</v>
      </c>
      <c r="C800" t="s">
        <v>12</v>
      </c>
      <c r="D800" t="s">
        <v>163</v>
      </c>
      <c r="E800" s="36">
        <v>45784</v>
      </c>
      <c r="F800" t="s">
        <v>40</v>
      </c>
      <c r="G800">
        <v>5</v>
      </c>
      <c r="H800">
        <v>15000</v>
      </c>
      <c r="I800">
        <v>72662</v>
      </c>
      <c r="J800">
        <v>7266</v>
      </c>
    </row>
    <row r="801" spans="1:10" x14ac:dyDescent="0.3">
      <c r="A801" t="s">
        <v>18</v>
      </c>
      <c r="B801" t="s">
        <v>16</v>
      </c>
      <c r="C801" t="s">
        <v>12</v>
      </c>
      <c r="D801" t="s">
        <v>149</v>
      </c>
      <c r="E801" s="36">
        <v>45677</v>
      </c>
      <c r="F801" t="s">
        <v>36</v>
      </c>
      <c r="G801">
        <v>3</v>
      </c>
      <c r="H801">
        <v>55000</v>
      </c>
      <c r="I801">
        <v>156524</v>
      </c>
      <c r="J801">
        <v>34435</v>
      </c>
    </row>
    <row r="802" spans="1:10" x14ac:dyDescent="0.3">
      <c r="A802" t="s">
        <v>18</v>
      </c>
      <c r="B802" t="s">
        <v>31</v>
      </c>
      <c r="C802" t="s">
        <v>12</v>
      </c>
      <c r="D802" t="s">
        <v>185</v>
      </c>
      <c r="E802" s="36">
        <v>45738</v>
      </c>
      <c r="F802" t="s">
        <v>36</v>
      </c>
      <c r="G802">
        <v>2</v>
      </c>
      <c r="H802">
        <v>55000</v>
      </c>
      <c r="I802">
        <v>105584</v>
      </c>
      <c r="J802">
        <v>23228</v>
      </c>
    </row>
    <row r="803" spans="1:10" x14ac:dyDescent="0.3">
      <c r="A803" t="s">
        <v>18</v>
      </c>
      <c r="B803" t="s">
        <v>88</v>
      </c>
      <c r="C803" t="s">
        <v>12</v>
      </c>
      <c r="D803" t="s">
        <v>73</v>
      </c>
      <c r="E803" s="36">
        <v>45998</v>
      </c>
      <c r="F803" t="s">
        <v>33</v>
      </c>
      <c r="G803">
        <v>2</v>
      </c>
      <c r="H803">
        <v>45000</v>
      </c>
      <c r="I803">
        <v>93345</v>
      </c>
      <c r="J803">
        <v>16802</v>
      </c>
    </row>
    <row r="804" spans="1:10" x14ac:dyDescent="0.3">
      <c r="A804" t="s">
        <v>18</v>
      </c>
      <c r="B804" t="s">
        <v>88</v>
      </c>
      <c r="C804" t="s">
        <v>12</v>
      </c>
      <c r="D804" t="s">
        <v>231</v>
      </c>
      <c r="E804" s="36">
        <v>45767</v>
      </c>
      <c r="F804" t="s">
        <v>14</v>
      </c>
      <c r="G804">
        <v>7</v>
      </c>
      <c r="H804">
        <v>18500</v>
      </c>
      <c r="I804">
        <v>138729</v>
      </c>
      <c r="J804">
        <v>16647</v>
      </c>
    </row>
    <row r="805" spans="1:10" x14ac:dyDescent="0.3">
      <c r="A805" t="s">
        <v>18</v>
      </c>
      <c r="B805" t="s">
        <v>51</v>
      </c>
      <c r="C805" t="s">
        <v>12</v>
      </c>
      <c r="D805" t="s">
        <v>192</v>
      </c>
      <c r="E805" s="36">
        <v>45957</v>
      </c>
      <c r="F805" t="s">
        <v>40</v>
      </c>
      <c r="G805">
        <v>5</v>
      </c>
      <c r="H805">
        <v>15000</v>
      </c>
      <c r="I805">
        <v>78509</v>
      </c>
      <c r="J805">
        <v>7851</v>
      </c>
    </row>
    <row r="806" spans="1:10" x14ac:dyDescent="0.3">
      <c r="A806" t="s">
        <v>18</v>
      </c>
      <c r="B806" t="s">
        <v>51</v>
      </c>
      <c r="C806" t="s">
        <v>12</v>
      </c>
      <c r="D806" t="s">
        <v>209</v>
      </c>
      <c r="E806" s="36">
        <v>46008</v>
      </c>
      <c r="F806" t="s">
        <v>14</v>
      </c>
      <c r="G806">
        <v>6</v>
      </c>
      <c r="H806">
        <v>18500</v>
      </c>
      <c r="I806">
        <v>119937</v>
      </c>
      <c r="J806">
        <v>14392</v>
      </c>
    </row>
    <row r="807" spans="1:10" x14ac:dyDescent="0.3">
      <c r="A807" t="s">
        <v>18</v>
      </c>
      <c r="B807" t="s">
        <v>51</v>
      </c>
      <c r="C807" t="s">
        <v>12</v>
      </c>
      <c r="D807" t="s">
        <v>61</v>
      </c>
      <c r="E807" s="36">
        <v>45990</v>
      </c>
      <c r="F807" t="s">
        <v>36</v>
      </c>
      <c r="G807">
        <v>3</v>
      </c>
      <c r="H807">
        <v>55000</v>
      </c>
      <c r="I807">
        <v>152032</v>
      </c>
      <c r="J807">
        <v>33447</v>
      </c>
    </row>
    <row r="808" spans="1:10" x14ac:dyDescent="0.3">
      <c r="A808" t="s">
        <v>18</v>
      </c>
      <c r="B808" t="s">
        <v>88</v>
      </c>
      <c r="C808" t="s">
        <v>12</v>
      </c>
      <c r="D808" t="s">
        <v>226</v>
      </c>
      <c r="E808" s="36">
        <v>45837</v>
      </c>
      <c r="F808" t="s">
        <v>36</v>
      </c>
      <c r="G808">
        <v>8</v>
      </c>
      <c r="H808">
        <v>55000</v>
      </c>
      <c r="I808">
        <v>444924</v>
      </c>
      <c r="J808">
        <v>97883</v>
      </c>
    </row>
    <row r="809" spans="1:10" x14ac:dyDescent="0.3">
      <c r="A809" t="s">
        <v>18</v>
      </c>
      <c r="B809" t="s">
        <v>77</v>
      </c>
      <c r="C809" t="s">
        <v>12</v>
      </c>
      <c r="D809" t="s">
        <v>74</v>
      </c>
      <c r="E809" s="36">
        <v>45815</v>
      </c>
      <c r="F809" t="s">
        <v>14</v>
      </c>
      <c r="G809">
        <v>10</v>
      </c>
      <c r="H809">
        <v>18500</v>
      </c>
      <c r="I809">
        <v>188143</v>
      </c>
      <c r="J809">
        <v>22577</v>
      </c>
    </row>
    <row r="810" spans="1:10" x14ac:dyDescent="0.3">
      <c r="A810" t="s">
        <v>18</v>
      </c>
      <c r="B810" t="s">
        <v>77</v>
      </c>
      <c r="C810" t="s">
        <v>12</v>
      </c>
      <c r="D810" t="s">
        <v>244</v>
      </c>
      <c r="E810" s="36">
        <v>45760</v>
      </c>
      <c r="F810" t="s">
        <v>33</v>
      </c>
      <c r="G810">
        <v>5</v>
      </c>
      <c r="H810">
        <v>45000</v>
      </c>
      <c r="I810">
        <v>221439</v>
      </c>
      <c r="J810">
        <v>39859</v>
      </c>
    </row>
    <row r="811" spans="1:10" x14ac:dyDescent="0.3">
      <c r="A811" t="s">
        <v>18</v>
      </c>
      <c r="B811" t="s">
        <v>88</v>
      </c>
      <c r="C811" t="s">
        <v>12</v>
      </c>
      <c r="D811" t="s">
        <v>231</v>
      </c>
      <c r="E811" s="36">
        <v>45769</v>
      </c>
      <c r="F811" t="s">
        <v>33</v>
      </c>
      <c r="G811">
        <v>8</v>
      </c>
      <c r="H811">
        <v>45000</v>
      </c>
      <c r="I811">
        <v>349571</v>
      </c>
      <c r="J811">
        <v>62923</v>
      </c>
    </row>
    <row r="812" spans="1:10" x14ac:dyDescent="0.3">
      <c r="A812" t="s">
        <v>18</v>
      </c>
      <c r="B812" t="s">
        <v>31</v>
      </c>
      <c r="C812" t="s">
        <v>12</v>
      </c>
      <c r="D812" t="s">
        <v>237</v>
      </c>
      <c r="E812" s="36">
        <v>45724</v>
      </c>
      <c r="F812" t="s">
        <v>40</v>
      </c>
      <c r="G812">
        <v>10</v>
      </c>
      <c r="H812">
        <v>15000</v>
      </c>
      <c r="I812">
        <v>143953</v>
      </c>
      <c r="J812">
        <v>14395</v>
      </c>
    </row>
    <row r="813" spans="1:10" x14ac:dyDescent="0.3">
      <c r="A813" t="s">
        <v>18</v>
      </c>
      <c r="B813" t="s">
        <v>11</v>
      </c>
      <c r="C813" t="s">
        <v>12</v>
      </c>
      <c r="D813" t="s">
        <v>105</v>
      </c>
      <c r="E813" s="36">
        <v>45936</v>
      </c>
      <c r="F813" t="s">
        <v>36</v>
      </c>
      <c r="G813">
        <v>6</v>
      </c>
      <c r="H813">
        <v>55000</v>
      </c>
      <c r="I813">
        <v>360582</v>
      </c>
      <c r="J813">
        <v>79328</v>
      </c>
    </row>
    <row r="814" spans="1:10" x14ac:dyDescent="0.3">
      <c r="A814" t="s">
        <v>18</v>
      </c>
      <c r="B814" t="s">
        <v>88</v>
      </c>
      <c r="C814" t="s">
        <v>12</v>
      </c>
      <c r="D814" t="s">
        <v>255</v>
      </c>
      <c r="E814" s="36">
        <v>45763</v>
      </c>
      <c r="F814" t="s">
        <v>33</v>
      </c>
      <c r="G814">
        <v>7</v>
      </c>
      <c r="H814">
        <v>45000</v>
      </c>
      <c r="I814">
        <v>324904</v>
      </c>
      <c r="J814">
        <v>58483</v>
      </c>
    </row>
    <row r="815" spans="1:10" x14ac:dyDescent="0.3">
      <c r="A815" t="s">
        <v>18</v>
      </c>
      <c r="B815" t="s">
        <v>51</v>
      </c>
      <c r="C815" t="s">
        <v>12</v>
      </c>
      <c r="D815" t="s">
        <v>107</v>
      </c>
      <c r="E815" s="36">
        <v>45683</v>
      </c>
      <c r="F815" t="s">
        <v>33</v>
      </c>
      <c r="G815">
        <v>5</v>
      </c>
      <c r="H815">
        <v>45000</v>
      </c>
      <c r="I815">
        <v>240375</v>
      </c>
      <c r="J815">
        <v>43268</v>
      </c>
    </row>
    <row r="816" spans="1:10" x14ac:dyDescent="0.3">
      <c r="A816" t="s">
        <v>18</v>
      </c>
      <c r="B816" t="s">
        <v>31</v>
      </c>
      <c r="C816" t="s">
        <v>12</v>
      </c>
      <c r="D816" t="s">
        <v>246</v>
      </c>
      <c r="E816" s="36">
        <v>45949</v>
      </c>
      <c r="F816" t="s">
        <v>14</v>
      </c>
      <c r="G816">
        <v>6</v>
      </c>
      <c r="H816">
        <v>18500</v>
      </c>
      <c r="I816">
        <v>103392</v>
      </c>
      <c r="J816">
        <v>12407</v>
      </c>
    </row>
    <row r="817" spans="1:10" x14ac:dyDescent="0.3">
      <c r="A817" t="s">
        <v>18</v>
      </c>
      <c r="B817" t="s">
        <v>84</v>
      </c>
      <c r="C817" t="s">
        <v>12</v>
      </c>
      <c r="D817" t="s">
        <v>66</v>
      </c>
      <c r="E817" s="36">
        <v>45821</v>
      </c>
      <c r="F817" t="s">
        <v>33</v>
      </c>
      <c r="G817">
        <v>10</v>
      </c>
      <c r="H817">
        <v>45000</v>
      </c>
      <c r="I817">
        <v>483025</v>
      </c>
      <c r="J817">
        <v>86944</v>
      </c>
    </row>
    <row r="818" spans="1:10" x14ac:dyDescent="0.3">
      <c r="A818" t="s">
        <v>18</v>
      </c>
      <c r="B818" t="s">
        <v>88</v>
      </c>
      <c r="C818" t="s">
        <v>12</v>
      </c>
      <c r="D818" t="s">
        <v>102</v>
      </c>
      <c r="E818" s="36">
        <v>45701</v>
      </c>
      <c r="F818" t="s">
        <v>14</v>
      </c>
      <c r="G818">
        <v>2</v>
      </c>
      <c r="H818">
        <v>18500</v>
      </c>
      <c r="I818">
        <v>38827</v>
      </c>
      <c r="J818">
        <v>4659</v>
      </c>
    </row>
    <row r="819" spans="1:10" x14ac:dyDescent="0.3">
      <c r="A819" t="s">
        <v>18</v>
      </c>
      <c r="B819" t="s">
        <v>77</v>
      </c>
      <c r="C819" t="s">
        <v>12</v>
      </c>
      <c r="D819" t="s">
        <v>248</v>
      </c>
      <c r="E819" s="36">
        <v>45817</v>
      </c>
      <c r="F819" t="s">
        <v>33</v>
      </c>
      <c r="G819">
        <v>3</v>
      </c>
      <c r="H819">
        <v>45000</v>
      </c>
      <c r="I819">
        <v>123857</v>
      </c>
      <c r="J819">
        <v>22294</v>
      </c>
    </row>
    <row r="820" spans="1:10" x14ac:dyDescent="0.3">
      <c r="A820" t="s">
        <v>18</v>
      </c>
      <c r="B820" t="s">
        <v>11</v>
      </c>
      <c r="C820" t="s">
        <v>12</v>
      </c>
      <c r="D820" t="s">
        <v>169</v>
      </c>
      <c r="E820" s="36">
        <v>45788</v>
      </c>
      <c r="F820" t="s">
        <v>14</v>
      </c>
      <c r="G820">
        <v>2</v>
      </c>
      <c r="H820">
        <v>18500</v>
      </c>
      <c r="I820">
        <v>36584</v>
      </c>
      <c r="J820">
        <v>4390</v>
      </c>
    </row>
    <row r="821" spans="1:10" x14ac:dyDescent="0.3">
      <c r="A821" t="s">
        <v>18</v>
      </c>
      <c r="B821" t="s">
        <v>51</v>
      </c>
      <c r="C821" t="s">
        <v>12</v>
      </c>
      <c r="D821" t="s">
        <v>256</v>
      </c>
      <c r="E821" s="36">
        <v>45951</v>
      </c>
      <c r="F821" t="s">
        <v>33</v>
      </c>
      <c r="G821">
        <v>7</v>
      </c>
      <c r="H821">
        <v>45000</v>
      </c>
      <c r="I821">
        <v>344676</v>
      </c>
      <c r="J821">
        <v>62042</v>
      </c>
    </row>
    <row r="822" spans="1:10" x14ac:dyDescent="0.3">
      <c r="A822" t="s">
        <v>18</v>
      </c>
      <c r="B822" t="s">
        <v>51</v>
      </c>
      <c r="C822" t="s">
        <v>12</v>
      </c>
      <c r="D822" t="s">
        <v>73</v>
      </c>
      <c r="E822" s="36">
        <v>45682</v>
      </c>
      <c r="F822" t="s">
        <v>14</v>
      </c>
      <c r="G822">
        <v>7</v>
      </c>
      <c r="H822">
        <v>18500</v>
      </c>
      <c r="I822">
        <v>129366</v>
      </c>
      <c r="J822">
        <v>15524</v>
      </c>
    </row>
    <row r="823" spans="1:10" x14ac:dyDescent="0.3">
      <c r="A823" t="s">
        <v>18</v>
      </c>
      <c r="B823" t="s">
        <v>51</v>
      </c>
      <c r="C823" t="s">
        <v>12</v>
      </c>
      <c r="D823" t="s">
        <v>229</v>
      </c>
      <c r="E823" s="36">
        <v>45740</v>
      </c>
      <c r="F823" t="s">
        <v>40</v>
      </c>
      <c r="G823">
        <v>4</v>
      </c>
      <c r="H823">
        <v>15000</v>
      </c>
      <c r="I823">
        <v>65345</v>
      </c>
      <c r="J823">
        <v>6534</v>
      </c>
    </row>
    <row r="824" spans="1:10" x14ac:dyDescent="0.3">
      <c r="A824" t="s">
        <v>18</v>
      </c>
      <c r="B824" t="s">
        <v>77</v>
      </c>
      <c r="C824" t="s">
        <v>12</v>
      </c>
      <c r="D824" t="s">
        <v>245</v>
      </c>
      <c r="E824" s="36">
        <v>45670</v>
      </c>
      <c r="F824" t="s">
        <v>33</v>
      </c>
      <c r="G824">
        <v>4</v>
      </c>
      <c r="H824">
        <v>45000</v>
      </c>
      <c r="I824">
        <v>170089</v>
      </c>
      <c r="J824">
        <v>30616</v>
      </c>
    </row>
    <row r="825" spans="1:10" x14ac:dyDescent="0.3">
      <c r="A825" t="s">
        <v>18</v>
      </c>
      <c r="B825" t="s">
        <v>77</v>
      </c>
      <c r="C825" t="s">
        <v>12</v>
      </c>
      <c r="D825" t="s">
        <v>198</v>
      </c>
      <c r="E825" s="36">
        <v>46021</v>
      </c>
      <c r="F825" t="s">
        <v>33</v>
      </c>
      <c r="G825">
        <v>6</v>
      </c>
      <c r="H825">
        <v>45000</v>
      </c>
      <c r="I825">
        <v>291183</v>
      </c>
      <c r="J825">
        <v>52413</v>
      </c>
    </row>
    <row r="826" spans="1:10" x14ac:dyDescent="0.3">
      <c r="A826" t="s">
        <v>18</v>
      </c>
      <c r="B826" t="s">
        <v>51</v>
      </c>
      <c r="C826" t="s">
        <v>12</v>
      </c>
      <c r="D826" t="s">
        <v>174</v>
      </c>
      <c r="E826" s="36">
        <v>45784</v>
      </c>
      <c r="F826" t="s">
        <v>36</v>
      </c>
      <c r="G826">
        <v>9</v>
      </c>
      <c r="H826">
        <v>55000</v>
      </c>
      <c r="I826">
        <v>473807</v>
      </c>
      <c r="J826">
        <v>104238</v>
      </c>
    </row>
    <row r="827" spans="1:10" x14ac:dyDescent="0.3">
      <c r="A827" t="s">
        <v>18</v>
      </c>
      <c r="B827" t="s">
        <v>88</v>
      </c>
      <c r="C827" t="s">
        <v>12</v>
      </c>
      <c r="D827" t="s">
        <v>121</v>
      </c>
      <c r="E827" s="36">
        <v>45921</v>
      </c>
      <c r="F827" t="s">
        <v>33</v>
      </c>
      <c r="G827">
        <v>8</v>
      </c>
      <c r="H827">
        <v>45000</v>
      </c>
      <c r="I827">
        <v>395801</v>
      </c>
      <c r="J827">
        <v>71244</v>
      </c>
    </row>
    <row r="828" spans="1:10" x14ac:dyDescent="0.3">
      <c r="A828" t="s">
        <v>18</v>
      </c>
      <c r="B828" t="s">
        <v>11</v>
      </c>
      <c r="C828" t="s">
        <v>12</v>
      </c>
      <c r="D828" t="s">
        <v>231</v>
      </c>
      <c r="E828" s="36">
        <v>45854</v>
      </c>
      <c r="F828" t="s">
        <v>40</v>
      </c>
      <c r="G828">
        <v>1</v>
      </c>
      <c r="H828">
        <v>15000</v>
      </c>
      <c r="I828">
        <v>16429</v>
      </c>
      <c r="J828">
        <v>1643</v>
      </c>
    </row>
    <row r="829" spans="1:10" x14ac:dyDescent="0.3">
      <c r="A829" t="s">
        <v>18</v>
      </c>
      <c r="B829" t="s">
        <v>19</v>
      </c>
      <c r="C829" t="s">
        <v>12</v>
      </c>
      <c r="D829" t="s">
        <v>55</v>
      </c>
      <c r="E829" s="36">
        <v>45916</v>
      </c>
      <c r="F829" t="s">
        <v>36</v>
      </c>
      <c r="G829">
        <v>10</v>
      </c>
      <c r="H829">
        <v>55000</v>
      </c>
      <c r="I829">
        <v>522900</v>
      </c>
      <c r="J829">
        <v>115038</v>
      </c>
    </row>
    <row r="830" spans="1:10" x14ac:dyDescent="0.3">
      <c r="A830" t="s">
        <v>18</v>
      </c>
      <c r="B830" t="s">
        <v>11</v>
      </c>
      <c r="C830" t="s">
        <v>12</v>
      </c>
      <c r="D830" t="s">
        <v>94</v>
      </c>
      <c r="E830" s="36">
        <v>45721</v>
      </c>
      <c r="F830" t="s">
        <v>33</v>
      </c>
      <c r="G830">
        <v>6</v>
      </c>
      <c r="H830">
        <v>45000</v>
      </c>
      <c r="I830">
        <v>256521</v>
      </c>
      <c r="J830">
        <v>46174</v>
      </c>
    </row>
    <row r="831" spans="1:10" x14ac:dyDescent="0.3">
      <c r="A831" t="s">
        <v>18</v>
      </c>
      <c r="B831" t="s">
        <v>11</v>
      </c>
      <c r="C831" t="s">
        <v>12</v>
      </c>
      <c r="D831" t="s">
        <v>111</v>
      </c>
      <c r="E831" s="36">
        <v>45826</v>
      </c>
      <c r="F831" t="s">
        <v>36</v>
      </c>
      <c r="G831">
        <v>8</v>
      </c>
      <c r="H831">
        <v>55000</v>
      </c>
      <c r="I831">
        <v>415680</v>
      </c>
      <c r="J831">
        <v>91450</v>
      </c>
    </row>
    <row r="832" spans="1:10" x14ac:dyDescent="0.3">
      <c r="A832" t="s">
        <v>18</v>
      </c>
      <c r="B832" t="s">
        <v>16</v>
      </c>
      <c r="C832" t="s">
        <v>12</v>
      </c>
      <c r="D832" t="s">
        <v>231</v>
      </c>
      <c r="E832" s="36">
        <v>45874</v>
      </c>
      <c r="F832" t="s">
        <v>40</v>
      </c>
      <c r="G832">
        <v>9</v>
      </c>
      <c r="H832">
        <v>15000</v>
      </c>
      <c r="I832">
        <v>125829</v>
      </c>
      <c r="J832">
        <v>12583</v>
      </c>
    </row>
    <row r="833" spans="1:10" x14ac:dyDescent="0.3">
      <c r="A833" t="s">
        <v>18</v>
      </c>
      <c r="B833" t="s">
        <v>31</v>
      </c>
      <c r="C833" t="s">
        <v>12</v>
      </c>
      <c r="D833" t="s">
        <v>67</v>
      </c>
      <c r="E833" s="36">
        <v>45760</v>
      </c>
      <c r="F833" t="s">
        <v>33</v>
      </c>
      <c r="G833">
        <v>10</v>
      </c>
      <c r="H833">
        <v>45000</v>
      </c>
      <c r="I833">
        <v>477691</v>
      </c>
      <c r="J833">
        <v>85984</v>
      </c>
    </row>
    <row r="834" spans="1:10" x14ac:dyDescent="0.3">
      <c r="A834" t="s">
        <v>18</v>
      </c>
      <c r="B834" t="s">
        <v>16</v>
      </c>
      <c r="C834" t="s">
        <v>12</v>
      </c>
      <c r="D834" t="s">
        <v>186</v>
      </c>
      <c r="E834" s="36">
        <v>45795</v>
      </c>
      <c r="F834" t="s">
        <v>33</v>
      </c>
      <c r="G834">
        <v>5</v>
      </c>
      <c r="H834">
        <v>45000</v>
      </c>
      <c r="I834">
        <v>231916</v>
      </c>
      <c r="J834">
        <v>41745</v>
      </c>
    </row>
    <row r="835" spans="1:10" x14ac:dyDescent="0.3">
      <c r="A835" t="s">
        <v>18</v>
      </c>
      <c r="B835" t="s">
        <v>51</v>
      </c>
      <c r="C835" t="s">
        <v>12</v>
      </c>
      <c r="D835" t="s">
        <v>170</v>
      </c>
      <c r="E835" s="36">
        <v>45675</v>
      </c>
      <c r="F835" t="s">
        <v>36</v>
      </c>
      <c r="G835">
        <v>9</v>
      </c>
      <c r="H835">
        <v>55000</v>
      </c>
      <c r="I835">
        <v>467136</v>
      </c>
      <c r="J835">
        <v>102770</v>
      </c>
    </row>
    <row r="836" spans="1:10" x14ac:dyDescent="0.3">
      <c r="A836" t="s">
        <v>18</v>
      </c>
      <c r="B836" t="s">
        <v>84</v>
      </c>
      <c r="C836" t="s">
        <v>12</v>
      </c>
      <c r="D836" t="s">
        <v>104</v>
      </c>
      <c r="E836" s="36">
        <v>45950</v>
      </c>
      <c r="F836" t="s">
        <v>36</v>
      </c>
      <c r="G836">
        <v>1</v>
      </c>
      <c r="H836">
        <v>55000</v>
      </c>
      <c r="I836">
        <v>59992</v>
      </c>
      <c r="J836">
        <v>13198</v>
      </c>
    </row>
    <row r="837" spans="1:10" x14ac:dyDescent="0.3">
      <c r="A837" t="s">
        <v>18</v>
      </c>
      <c r="B837" t="s">
        <v>31</v>
      </c>
      <c r="C837" t="s">
        <v>12</v>
      </c>
      <c r="D837" t="s">
        <v>181</v>
      </c>
      <c r="E837" s="36">
        <v>45671</v>
      </c>
      <c r="F837" t="s">
        <v>36</v>
      </c>
      <c r="G837">
        <v>8</v>
      </c>
      <c r="H837">
        <v>55000</v>
      </c>
      <c r="I837">
        <v>479649</v>
      </c>
      <c r="J837">
        <v>105523</v>
      </c>
    </row>
    <row r="838" spans="1:10" x14ac:dyDescent="0.3">
      <c r="A838" t="s">
        <v>18</v>
      </c>
      <c r="B838" t="s">
        <v>84</v>
      </c>
      <c r="C838" t="s">
        <v>12</v>
      </c>
      <c r="D838" t="s">
        <v>155</v>
      </c>
      <c r="E838" s="36">
        <v>45714</v>
      </c>
      <c r="F838" t="s">
        <v>14</v>
      </c>
      <c r="G838">
        <v>3</v>
      </c>
      <c r="H838">
        <v>18500</v>
      </c>
      <c r="I838">
        <v>50925</v>
      </c>
      <c r="J838">
        <v>6111</v>
      </c>
    </row>
    <row r="839" spans="1:10" x14ac:dyDescent="0.3">
      <c r="A839" t="s">
        <v>18</v>
      </c>
      <c r="B839" t="s">
        <v>11</v>
      </c>
      <c r="C839" t="s">
        <v>12</v>
      </c>
      <c r="D839" t="s">
        <v>58</v>
      </c>
      <c r="E839" s="36">
        <v>46013</v>
      </c>
      <c r="F839" t="s">
        <v>36</v>
      </c>
      <c r="G839">
        <v>2</v>
      </c>
      <c r="H839">
        <v>55000</v>
      </c>
      <c r="I839">
        <v>109340</v>
      </c>
      <c r="J839">
        <v>24055</v>
      </c>
    </row>
    <row r="840" spans="1:10" x14ac:dyDescent="0.3">
      <c r="A840" t="s">
        <v>18</v>
      </c>
      <c r="B840" t="s">
        <v>84</v>
      </c>
      <c r="C840" t="s">
        <v>12</v>
      </c>
      <c r="D840" t="s">
        <v>47</v>
      </c>
      <c r="E840" s="36">
        <v>45914</v>
      </c>
      <c r="F840" t="s">
        <v>14</v>
      </c>
      <c r="G840">
        <v>9</v>
      </c>
      <c r="H840">
        <v>18500</v>
      </c>
      <c r="I840">
        <v>162786</v>
      </c>
      <c r="J840">
        <v>19534</v>
      </c>
    </row>
    <row r="841" spans="1:10" x14ac:dyDescent="0.3">
      <c r="A841" t="s">
        <v>18</v>
      </c>
      <c r="B841" t="s">
        <v>11</v>
      </c>
      <c r="C841" t="s">
        <v>12</v>
      </c>
      <c r="D841" t="s">
        <v>175</v>
      </c>
      <c r="E841" s="36">
        <v>45768</v>
      </c>
      <c r="F841" t="s">
        <v>36</v>
      </c>
      <c r="G841">
        <v>8</v>
      </c>
      <c r="H841">
        <v>55000</v>
      </c>
      <c r="I841">
        <v>408973</v>
      </c>
      <c r="J841">
        <v>89974</v>
      </c>
    </row>
    <row r="842" spans="1:10" x14ac:dyDescent="0.3">
      <c r="A842" t="s">
        <v>18</v>
      </c>
      <c r="B842" t="s">
        <v>16</v>
      </c>
      <c r="C842" t="s">
        <v>12</v>
      </c>
      <c r="D842" t="s">
        <v>252</v>
      </c>
      <c r="E842" s="36">
        <v>45747</v>
      </c>
      <c r="F842" t="s">
        <v>14</v>
      </c>
      <c r="G842">
        <v>8</v>
      </c>
      <c r="H842">
        <v>18500</v>
      </c>
      <c r="I842">
        <v>137734</v>
      </c>
      <c r="J842">
        <v>16528</v>
      </c>
    </row>
    <row r="843" spans="1:10" x14ac:dyDescent="0.3">
      <c r="A843" t="s">
        <v>18</v>
      </c>
      <c r="B843" t="s">
        <v>19</v>
      </c>
      <c r="C843" t="s">
        <v>12</v>
      </c>
      <c r="D843" t="s">
        <v>251</v>
      </c>
      <c r="E843" s="36">
        <v>45972</v>
      </c>
      <c r="F843" t="s">
        <v>40</v>
      </c>
      <c r="G843">
        <v>1</v>
      </c>
      <c r="H843">
        <v>15000</v>
      </c>
      <c r="I843">
        <v>15868</v>
      </c>
      <c r="J843">
        <v>1587</v>
      </c>
    </row>
    <row r="844" spans="1:10" x14ac:dyDescent="0.3">
      <c r="A844" t="s">
        <v>18</v>
      </c>
      <c r="B844" t="s">
        <v>16</v>
      </c>
      <c r="C844" t="s">
        <v>12</v>
      </c>
      <c r="D844" t="s">
        <v>20</v>
      </c>
      <c r="E844" s="36">
        <v>45945</v>
      </c>
      <c r="F844" t="s">
        <v>33</v>
      </c>
      <c r="G844">
        <v>6</v>
      </c>
      <c r="H844">
        <v>45000</v>
      </c>
      <c r="I844">
        <v>289026</v>
      </c>
      <c r="J844">
        <v>52025</v>
      </c>
    </row>
    <row r="845" spans="1:10" x14ac:dyDescent="0.3">
      <c r="A845" t="s">
        <v>18</v>
      </c>
      <c r="B845" t="s">
        <v>84</v>
      </c>
      <c r="C845" t="s">
        <v>12</v>
      </c>
      <c r="D845" t="s">
        <v>66</v>
      </c>
      <c r="E845" s="36">
        <v>45708</v>
      </c>
      <c r="F845" t="s">
        <v>36</v>
      </c>
      <c r="G845">
        <v>6</v>
      </c>
      <c r="H845">
        <v>55000</v>
      </c>
      <c r="I845">
        <v>308675</v>
      </c>
      <c r="J845">
        <v>67908</v>
      </c>
    </row>
    <row r="846" spans="1:10" x14ac:dyDescent="0.3">
      <c r="A846" t="s">
        <v>18</v>
      </c>
      <c r="B846" t="s">
        <v>19</v>
      </c>
      <c r="C846" t="s">
        <v>12</v>
      </c>
      <c r="D846" t="s">
        <v>78</v>
      </c>
      <c r="E846" s="36">
        <v>45893</v>
      </c>
      <c r="F846" t="s">
        <v>14</v>
      </c>
      <c r="G846">
        <v>6</v>
      </c>
      <c r="H846">
        <v>18500</v>
      </c>
      <c r="I846">
        <v>119045</v>
      </c>
      <c r="J846">
        <v>14285</v>
      </c>
    </row>
    <row r="847" spans="1:10" x14ac:dyDescent="0.3">
      <c r="A847" t="s">
        <v>18</v>
      </c>
      <c r="B847" t="s">
        <v>77</v>
      </c>
      <c r="C847" t="s">
        <v>12</v>
      </c>
      <c r="D847" t="s">
        <v>27</v>
      </c>
      <c r="E847" s="36">
        <v>45703</v>
      </c>
      <c r="F847" t="s">
        <v>40</v>
      </c>
      <c r="G847">
        <v>9</v>
      </c>
      <c r="H847">
        <v>15000</v>
      </c>
      <c r="I847">
        <v>133522</v>
      </c>
      <c r="J847">
        <v>13352</v>
      </c>
    </row>
    <row r="848" spans="1:10" x14ac:dyDescent="0.3">
      <c r="A848" t="s">
        <v>18</v>
      </c>
      <c r="B848" t="s">
        <v>11</v>
      </c>
      <c r="C848" t="s">
        <v>12</v>
      </c>
      <c r="D848" t="s">
        <v>217</v>
      </c>
      <c r="E848" s="36">
        <v>45914</v>
      </c>
      <c r="F848" t="s">
        <v>33</v>
      </c>
      <c r="G848">
        <v>5</v>
      </c>
      <c r="H848">
        <v>45000</v>
      </c>
      <c r="I848">
        <v>228443</v>
      </c>
      <c r="J848">
        <v>41120</v>
      </c>
    </row>
    <row r="849" spans="1:10" x14ac:dyDescent="0.3">
      <c r="A849" t="s">
        <v>18</v>
      </c>
      <c r="B849" t="s">
        <v>51</v>
      </c>
      <c r="C849" t="s">
        <v>12</v>
      </c>
      <c r="D849" t="s">
        <v>129</v>
      </c>
      <c r="E849" s="36">
        <v>45940</v>
      </c>
      <c r="F849" t="s">
        <v>40</v>
      </c>
      <c r="G849">
        <v>5</v>
      </c>
      <c r="H849">
        <v>15000</v>
      </c>
      <c r="I849">
        <v>67585</v>
      </c>
      <c r="J849">
        <v>6758</v>
      </c>
    </row>
    <row r="850" spans="1:10" x14ac:dyDescent="0.3">
      <c r="A850" t="s">
        <v>18</v>
      </c>
      <c r="B850" t="s">
        <v>16</v>
      </c>
      <c r="C850" t="s">
        <v>12</v>
      </c>
      <c r="D850" t="s">
        <v>235</v>
      </c>
      <c r="E850" s="36">
        <v>45752</v>
      </c>
      <c r="F850" t="s">
        <v>36</v>
      </c>
      <c r="G850">
        <v>3</v>
      </c>
      <c r="H850">
        <v>55000</v>
      </c>
      <c r="I850">
        <v>167357</v>
      </c>
      <c r="J850">
        <v>36819</v>
      </c>
    </row>
    <row r="851" spans="1:10" x14ac:dyDescent="0.3">
      <c r="A851" t="s">
        <v>18</v>
      </c>
      <c r="B851" t="s">
        <v>51</v>
      </c>
      <c r="C851" t="s">
        <v>12</v>
      </c>
      <c r="D851" t="s">
        <v>204</v>
      </c>
      <c r="E851" s="36">
        <v>45740</v>
      </c>
      <c r="F851" t="s">
        <v>33</v>
      </c>
      <c r="G851">
        <v>9</v>
      </c>
      <c r="H851">
        <v>45000</v>
      </c>
      <c r="I851">
        <v>377409</v>
      </c>
      <c r="J851">
        <v>67934</v>
      </c>
    </row>
    <row r="852" spans="1:10" x14ac:dyDescent="0.3">
      <c r="A852" t="s">
        <v>18</v>
      </c>
      <c r="B852" t="s">
        <v>88</v>
      </c>
      <c r="C852" t="s">
        <v>12</v>
      </c>
      <c r="D852" t="s">
        <v>161</v>
      </c>
      <c r="E852" s="36">
        <v>45955</v>
      </c>
      <c r="F852" t="s">
        <v>14</v>
      </c>
      <c r="G852">
        <v>6</v>
      </c>
      <c r="H852">
        <v>18500</v>
      </c>
      <c r="I852">
        <v>106213</v>
      </c>
      <c r="J852">
        <v>12746</v>
      </c>
    </row>
    <row r="853" spans="1:10" x14ac:dyDescent="0.3">
      <c r="A853" t="s">
        <v>18</v>
      </c>
      <c r="B853" t="s">
        <v>31</v>
      </c>
      <c r="C853" t="s">
        <v>12</v>
      </c>
      <c r="D853" t="s">
        <v>248</v>
      </c>
      <c r="E853" s="36">
        <v>45680</v>
      </c>
      <c r="F853" t="s">
        <v>36</v>
      </c>
      <c r="G853">
        <v>9</v>
      </c>
      <c r="H853">
        <v>55000</v>
      </c>
      <c r="I853">
        <v>464793</v>
      </c>
      <c r="J853">
        <v>102254</v>
      </c>
    </row>
    <row r="854" spans="1:10" x14ac:dyDescent="0.3">
      <c r="A854" t="s">
        <v>18</v>
      </c>
      <c r="B854" t="s">
        <v>19</v>
      </c>
      <c r="C854" t="s">
        <v>12</v>
      </c>
      <c r="D854" t="s">
        <v>242</v>
      </c>
      <c r="E854" s="36">
        <v>46010</v>
      </c>
      <c r="F854" t="s">
        <v>40</v>
      </c>
      <c r="G854">
        <v>3</v>
      </c>
      <c r="H854">
        <v>15000</v>
      </c>
      <c r="I854">
        <v>42293</v>
      </c>
      <c r="J854">
        <v>4229</v>
      </c>
    </row>
    <row r="855" spans="1:10" x14ac:dyDescent="0.3">
      <c r="A855" t="s">
        <v>18</v>
      </c>
      <c r="B855" t="s">
        <v>77</v>
      </c>
      <c r="C855" t="s">
        <v>12</v>
      </c>
      <c r="D855" t="s">
        <v>50</v>
      </c>
      <c r="E855" s="36">
        <v>45965</v>
      </c>
      <c r="F855" t="s">
        <v>40</v>
      </c>
      <c r="G855">
        <v>2</v>
      </c>
      <c r="H855">
        <v>15000</v>
      </c>
      <c r="I855">
        <v>28471</v>
      </c>
      <c r="J855">
        <v>2847</v>
      </c>
    </row>
    <row r="856" spans="1:10" x14ac:dyDescent="0.3">
      <c r="A856" t="s">
        <v>18</v>
      </c>
      <c r="B856" t="s">
        <v>16</v>
      </c>
      <c r="C856" t="s">
        <v>12</v>
      </c>
      <c r="D856" t="s">
        <v>254</v>
      </c>
      <c r="E856" s="36">
        <v>45794</v>
      </c>
      <c r="F856" t="s">
        <v>36</v>
      </c>
      <c r="G856">
        <v>3</v>
      </c>
      <c r="H856">
        <v>55000</v>
      </c>
      <c r="I856">
        <v>149712</v>
      </c>
      <c r="J856">
        <v>32937</v>
      </c>
    </row>
    <row r="857" spans="1:10" x14ac:dyDescent="0.3">
      <c r="A857" t="s">
        <v>18</v>
      </c>
      <c r="B857" t="s">
        <v>51</v>
      </c>
      <c r="C857" t="s">
        <v>12</v>
      </c>
      <c r="D857" t="s">
        <v>142</v>
      </c>
      <c r="E857" s="36">
        <v>45921</v>
      </c>
      <c r="F857" t="s">
        <v>40</v>
      </c>
      <c r="G857">
        <v>2</v>
      </c>
      <c r="H857">
        <v>15000</v>
      </c>
      <c r="I857">
        <v>29597</v>
      </c>
      <c r="J857">
        <v>2960</v>
      </c>
    </row>
    <row r="858" spans="1:10" x14ac:dyDescent="0.3">
      <c r="A858" t="s">
        <v>18</v>
      </c>
      <c r="B858" t="s">
        <v>31</v>
      </c>
      <c r="C858" t="s">
        <v>12</v>
      </c>
      <c r="D858" t="s">
        <v>44</v>
      </c>
      <c r="E858" s="36">
        <v>45791</v>
      </c>
      <c r="F858" t="s">
        <v>33</v>
      </c>
      <c r="G858">
        <v>8</v>
      </c>
      <c r="H858">
        <v>45000</v>
      </c>
      <c r="I858">
        <v>363588</v>
      </c>
      <c r="J858">
        <v>65446</v>
      </c>
    </row>
    <row r="859" spans="1:10" x14ac:dyDescent="0.3">
      <c r="A859" t="s">
        <v>18</v>
      </c>
      <c r="B859" t="s">
        <v>77</v>
      </c>
      <c r="C859" t="s">
        <v>12</v>
      </c>
      <c r="D859" t="s">
        <v>73</v>
      </c>
      <c r="E859" s="36">
        <v>45718</v>
      </c>
      <c r="F859" t="s">
        <v>36</v>
      </c>
      <c r="G859">
        <v>9</v>
      </c>
      <c r="H859">
        <v>55000</v>
      </c>
      <c r="I859">
        <v>478248</v>
      </c>
      <c r="J859">
        <v>105215</v>
      </c>
    </row>
    <row r="860" spans="1:10" x14ac:dyDescent="0.3">
      <c r="A860" t="s">
        <v>18</v>
      </c>
      <c r="B860" t="s">
        <v>88</v>
      </c>
      <c r="C860" t="s">
        <v>12</v>
      </c>
      <c r="D860" t="s">
        <v>165</v>
      </c>
      <c r="E860" s="36">
        <v>45928</v>
      </c>
      <c r="F860" t="s">
        <v>36</v>
      </c>
      <c r="G860">
        <v>10</v>
      </c>
      <c r="H860">
        <v>55000</v>
      </c>
      <c r="I860">
        <v>578359</v>
      </c>
      <c r="J860">
        <v>127239</v>
      </c>
    </row>
    <row r="861" spans="1:10" x14ac:dyDescent="0.3">
      <c r="A861" t="s">
        <v>18</v>
      </c>
      <c r="B861" t="s">
        <v>16</v>
      </c>
      <c r="C861" t="s">
        <v>12</v>
      </c>
      <c r="D861" t="s">
        <v>143</v>
      </c>
      <c r="E861" s="36">
        <v>45708</v>
      </c>
      <c r="F861" t="s">
        <v>40</v>
      </c>
      <c r="G861">
        <v>1</v>
      </c>
      <c r="H861">
        <v>15000</v>
      </c>
      <c r="I861">
        <v>15473</v>
      </c>
      <c r="J861">
        <v>1547</v>
      </c>
    </row>
    <row r="862" spans="1:10" x14ac:dyDescent="0.3">
      <c r="A862" t="s">
        <v>18</v>
      </c>
      <c r="B862" t="s">
        <v>31</v>
      </c>
      <c r="C862" t="s">
        <v>12</v>
      </c>
      <c r="D862" t="s">
        <v>146</v>
      </c>
      <c r="E862" s="36">
        <v>45681</v>
      </c>
      <c r="F862" t="s">
        <v>40</v>
      </c>
      <c r="G862">
        <v>9</v>
      </c>
      <c r="H862">
        <v>15000</v>
      </c>
      <c r="I862">
        <v>144290</v>
      </c>
      <c r="J862">
        <v>14429</v>
      </c>
    </row>
    <row r="863" spans="1:10" x14ac:dyDescent="0.3">
      <c r="A863" t="s">
        <v>18</v>
      </c>
      <c r="B863" t="s">
        <v>16</v>
      </c>
      <c r="C863" t="s">
        <v>12</v>
      </c>
      <c r="D863" t="s">
        <v>63</v>
      </c>
      <c r="E863" s="36">
        <v>45756</v>
      </c>
      <c r="F863" t="s">
        <v>14</v>
      </c>
      <c r="G863">
        <v>4</v>
      </c>
      <c r="H863">
        <v>18500</v>
      </c>
      <c r="I863">
        <v>75658</v>
      </c>
      <c r="J863">
        <v>9079</v>
      </c>
    </row>
    <row r="864" spans="1:10" x14ac:dyDescent="0.3">
      <c r="A864" t="s">
        <v>18</v>
      </c>
      <c r="B864" t="s">
        <v>11</v>
      </c>
      <c r="C864" t="s">
        <v>12</v>
      </c>
      <c r="D864" t="s">
        <v>150</v>
      </c>
      <c r="E864" s="36">
        <v>45765</v>
      </c>
      <c r="F864" t="s">
        <v>33</v>
      </c>
      <c r="G864">
        <v>10</v>
      </c>
      <c r="H864">
        <v>45000</v>
      </c>
      <c r="I864">
        <v>433813</v>
      </c>
      <c r="J864">
        <v>78086</v>
      </c>
    </row>
    <row r="865" spans="1:10" x14ac:dyDescent="0.3">
      <c r="A865" t="s">
        <v>18</v>
      </c>
      <c r="B865" t="s">
        <v>84</v>
      </c>
      <c r="C865" t="s">
        <v>12</v>
      </c>
      <c r="D865" t="s">
        <v>128</v>
      </c>
      <c r="E865" s="36">
        <v>46017</v>
      </c>
      <c r="F865" t="s">
        <v>33</v>
      </c>
      <c r="G865">
        <v>9</v>
      </c>
      <c r="H865">
        <v>45000</v>
      </c>
      <c r="I865">
        <v>437634</v>
      </c>
      <c r="J865">
        <v>78774</v>
      </c>
    </row>
    <row r="866" spans="1:10" x14ac:dyDescent="0.3">
      <c r="A866" t="s">
        <v>18</v>
      </c>
      <c r="B866" t="s">
        <v>19</v>
      </c>
      <c r="C866" t="s">
        <v>12</v>
      </c>
      <c r="D866" t="s">
        <v>260</v>
      </c>
      <c r="E866" s="36">
        <v>45760</v>
      </c>
      <c r="F866" t="s">
        <v>33</v>
      </c>
      <c r="G866">
        <v>1</v>
      </c>
      <c r="H866">
        <v>45000</v>
      </c>
      <c r="I866">
        <v>40737</v>
      </c>
      <c r="J866">
        <v>7333</v>
      </c>
    </row>
    <row r="867" spans="1:10" x14ac:dyDescent="0.3">
      <c r="A867" t="s">
        <v>18</v>
      </c>
      <c r="B867" t="s">
        <v>31</v>
      </c>
      <c r="C867" t="s">
        <v>12</v>
      </c>
      <c r="D867" t="s">
        <v>137</v>
      </c>
      <c r="E867" s="36">
        <v>45668</v>
      </c>
      <c r="F867" t="s">
        <v>14</v>
      </c>
      <c r="G867">
        <v>5</v>
      </c>
      <c r="H867">
        <v>18500</v>
      </c>
      <c r="I867">
        <v>93575</v>
      </c>
      <c r="J867">
        <v>11229</v>
      </c>
    </row>
    <row r="868" spans="1:10" x14ac:dyDescent="0.3">
      <c r="A868" t="s">
        <v>18</v>
      </c>
      <c r="B868" t="s">
        <v>31</v>
      </c>
      <c r="C868" t="s">
        <v>12</v>
      </c>
      <c r="D868" t="s">
        <v>146</v>
      </c>
      <c r="E868" s="36">
        <v>45894</v>
      </c>
      <c r="F868" t="s">
        <v>40</v>
      </c>
      <c r="G868">
        <v>4</v>
      </c>
      <c r="H868">
        <v>15000</v>
      </c>
      <c r="I868">
        <v>54086</v>
      </c>
      <c r="J868">
        <v>5409</v>
      </c>
    </row>
    <row r="869" spans="1:10" x14ac:dyDescent="0.3">
      <c r="A869" t="s">
        <v>18</v>
      </c>
      <c r="B869" t="s">
        <v>19</v>
      </c>
      <c r="C869" t="s">
        <v>12</v>
      </c>
      <c r="D869" t="s">
        <v>197</v>
      </c>
      <c r="E869" s="36">
        <v>45748</v>
      </c>
      <c r="F869" t="s">
        <v>40</v>
      </c>
      <c r="G869">
        <v>5</v>
      </c>
      <c r="H869">
        <v>15000</v>
      </c>
      <c r="I869">
        <v>74750</v>
      </c>
      <c r="J869">
        <v>7475</v>
      </c>
    </row>
    <row r="870" spans="1:10" x14ac:dyDescent="0.3">
      <c r="A870" t="s">
        <v>18</v>
      </c>
      <c r="B870" t="s">
        <v>51</v>
      </c>
      <c r="C870" t="s">
        <v>12</v>
      </c>
      <c r="D870" t="s">
        <v>149</v>
      </c>
      <c r="E870" s="36">
        <v>45814</v>
      </c>
      <c r="F870" t="s">
        <v>36</v>
      </c>
      <c r="G870">
        <v>3</v>
      </c>
      <c r="H870">
        <v>55000</v>
      </c>
      <c r="I870">
        <v>154651</v>
      </c>
      <c r="J870">
        <v>34023</v>
      </c>
    </row>
    <row r="871" spans="1:10" x14ac:dyDescent="0.3">
      <c r="A871" t="s">
        <v>18</v>
      </c>
      <c r="B871" t="s">
        <v>77</v>
      </c>
      <c r="C871" t="s">
        <v>12</v>
      </c>
      <c r="D871" t="s">
        <v>71</v>
      </c>
      <c r="E871" s="36">
        <v>45918</v>
      </c>
      <c r="F871" t="s">
        <v>40</v>
      </c>
      <c r="G871">
        <v>5</v>
      </c>
      <c r="H871">
        <v>15000</v>
      </c>
      <c r="I871">
        <v>77451</v>
      </c>
      <c r="J871">
        <v>7745</v>
      </c>
    </row>
    <row r="872" spans="1:10" x14ac:dyDescent="0.3">
      <c r="A872" t="s">
        <v>18</v>
      </c>
      <c r="B872" t="s">
        <v>16</v>
      </c>
      <c r="C872" t="s">
        <v>12</v>
      </c>
      <c r="D872" t="s">
        <v>137</v>
      </c>
      <c r="E872" s="36">
        <v>45785</v>
      </c>
      <c r="F872" t="s">
        <v>36</v>
      </c>
      <c r="G872">
        <v>9</v>
      </c>
      <c r="H872">
        <v>55000</v>
      </c>
      <c r="I872">
        <v>542842</v>
      </c>
      <c r="J872">
        <v>119425</v>
      </c>
    </row>
    <row r="873" spans="1:10" x14ac:dyDescent="0.3">
      <c r="A873" t="s">
        <v>18</v>
      </c>
      <c r="B873" t="s">
        <v>77</v>
      </c>
      <c r="C873" t="s">
        <v>12</v>
      </c>
      <c r="D873" t="s">
        <v>62</v>
      </c>
      <c r="E873" s="36">
        <v>45850</v>
      </c>
      <c r="F873" t="s">
        <v>33</v>
      </c>
      <c r="G873">
        <v>10</v>
      </c>
      <c r="H873">
        <v>45000</v>
      </c>
      <c r="I873">
        <v>457228</v>
      </c>
      <c r="J873">
        <v>82301</v>
      </c>
    </row>
    <row r="874" spans="1:10" x14ac:dyDescent="0.3">
      <c r="A874" t="s">
        <v>18</v>
      </c>
      <c r="B874" t="s">
        <v>51</v>
      </c>
      <c r="C874" t="s">
        <v>12</v>
      </c>
      <c r="D874" t="s">
        <v>238</v>
      </c>
      <c r="E874" s="36">
        <v>45959</v>
      </c>
      <c r="F874" t="s">
        <v>36</v>
      </c>
      <c r="G874">
        <v>9</v>
      </c>
      <c r="H874">
        <v>55000</v>
      </c>
      <c r="I874">
        <v>535199</v>
      </c>
      <c r="J874">
        <v>117744</v>
      </c>
    </row>
    <row r="875" spans="1:10" x14ac:dyDescent="0.3">
      <c r="A875" t="s">
        <v>18</v>
      </c>
      <c r="B875" t="s">
        <v>77</v>
      </c>
      <c r="C875" t="s">
        <v>12</v>
      </c>
      <c r="D875" t="s">
        <v>205</v>
      </c>
      <c r="E875" s="36">
        <v>45768</v>
      </c>
      <c r="F875" t="s">
        <v>33</v>
      </c>
      <c r="G875">
        <v>8</v>
      </c>
      <c r="H875">
        <v>45000</v>
      </c>
      <c r="I875">
        <v>362410</v>
      </c>
      <c r="J875">
        <v>65234</v>
      </c>
    </row>
    <row r="876" spans="1:10" x14ac:dyDescent="0.3">
      <c r="A876" t="s">
        <v>18</v>
      </c>
      <c r="B876" t="s">
        <v>31</v>
      </c>
      <c r="C876" t="s">
        <v>12</v>
      </c>
      <c r="D876" t="s">
        <v>231</v>
      </c>
      <c r="E876" s="36">
        <v>45718</v>
      </c>
      <c r="F876" t="s">
        <v>33</v>
      </c>
      <c r="G876">
        <v>6</v>
      </c>
      <c r="H876">
        <v>45000</v>
      </c>
      <c r="I876">
        <v>263398</v>
      </c>
      <c r="J876">
        <v>47412</v>
      </c>
    </row>
    <row r="877" spans="1:10" x14ac:dyDescent="0.3">
      <c r="A877" t="s">
        <v>18</v>
      </c>
      <c r="B877" t="s">
        <v>11</v>
      </c>
      <c r="C877" t="s">
        <v>12</v>
      </c>
      <c r="D877" t="s">
        <v>61</v>
      </c>
      <c r="E877" s="36">
        <v>45918</v>
      </c>
      <c r="F877" t="s">
        <v>40</v>
      </c>
      <c r="G877">
        <v>3</v>
      </c>
      <c r="H877">
        <v>15000</v>
      </c>
      <c r="I877">
        <v>42969</v>
      </c>
      <c r="J877">
        <v>4297</v>
      </c>
    </row>
    <row r="878" spans="1:10" x14ac:dyDescent="0.3">
      <c r="A878" t="s">
        <v>18</v>
      </c>
      <c r="B878" t="s">
        <v>31</v>
      </c>
      <c r="C878" t="s">
        <v>12</v>
      </c>
      <c r="D878" t="s">
        <v>95</v>
      </c>
      <c r="E878" s="36">
        <v>45840</v>
      </c>
      <c r="F878" t="s">
        <v>40</v>
      </c>
      <c r="G878">
        <v>2</v>
      </c>
      <c r="H878">
        <v>15000</v>
      </c>
      <c r="I878">
        <v>29526</v>
      </c>
      <c r="J878">
        <v>2953</v>
      </c>
    </row>
    <row r="879" spans="1:10" x14ac:dyDescent="0.3">
      <c r="A879" t="s">
        <v>18</v>
      </c>
      <c r="B879" t="s">
        <v>84</v>
      </c>
      <c r="C879" t="s">
        <v>12</v>
      </c>
      <c r="D879" t="s">
        <v>230</v>
      </c>
      <c r="E879" s="36">
        <v>45849</v>
      </c>
      <c r="F879" t="s">
        <v>14</v>
      </c>
      <c r="G879">
        <v>1</v>
      </c>
      <c r="H879">
        <v>18500</v>
      </c>
      <c r="I879">
        <v>17157</v>
      </c>
      <c r="J879">
        <v>2059</v>
      </c>
    </row>
    <row r="880" spans="1:10" x14ac:dyDescent="0.3">
      <c r="A880" t="s">
        <v>18</v>
      </c>
      <c r="B880" t="s">
        <v>88</v>
      </c>
      <c r="C880" t="s">
        <v>12</v>
      </c>
      <c r="D880" t="s">
        <v>53</v>
      </c>
      <c r="E880" s="36">
        <v>45938</v>
      </c>
      <c r="F880" t="s">
        <v>36</v>
      </c>
      <c r="G880">
        <v>8</v>
      </c>
      <c r="H880">
        <v>55000</v>
      </c>
      <c r="I880">
        <v>433418</v>
      </c>
      <c r="J880">
        <v>95352</v>
      </c>
    </row>
    <row r="881" spans="1:10" x14ac:dyDescent="0.3">
      <c r="A881" t="s">
        <v>18</v>
      </c>
      <c r="B881" t="s">
        <v>77</v>
      </c>
      <c r="C881" t="s">
        <v>12</v>
      </c>
      <c r="D881" t="s">
        <v>103</v>
      </c>
      <c r="E881" s="36">
        <v>45913</v>
      </c>
      <c r="F881" t="s">
        <v>40</v>
      </c>
      <c r="G881">
        <v>3</v>
      </c>
      <c r="H881">
        <v>15000</v>
      </c>
      <c r="I881">
        <v>43204</v>
      </c>
      <c r="J881">
        <v>4320</v>
      </c>
    </row>
    <row r="882" spans="1:10" x14ac:dyDescent="0.3">
      <c r="A882" t="s">
        <v>18</v>
      </c>
      <c r="B882" t="s">
        <v>84</v>
      </c>
      <c r="C882" t="s">
        <v>12</v>
      </c>
      <c r="D882" t="s">
        <v>138</v>
      </c>
      <c r="E882" s="36">
        <v>45762</v>
      </c>
      <c r="F882" t="s">
        <v>36</v>
      </c>
      <c r="G882">
        <v>5</v>
      </c>
      <c r="H882">
        <v>55000</v>
      </c>
      <c r="I882">
        <v>301738</v>
      </c>
      <c r="J882">
        <v>66382</v>
      </c>
    </row>
    <row r="883" spans="1:10" x14ac:dyDescent="0.3">
      <c r="A883" t="s">
        <v>18</v>
      </c>
      <c r="B883" t="s">
        <v>84</v>
      </c>
      <c r="C883" t="s">
        <v>12</v>
      </c>
      <c r="D883" t="s">
        <v>183</v>
      </c>
      <c r="E883" s="36">
        <v>45722</v>
      </c>
      <c r="F883" t="s">
        <v>33</v>
      </c>
      <c r="G883">
        <v>6</v>
      </c>
      <c r="H883">
        <v>45000</v>
      </c>
      <c r="I883">
        <v>293277</v>
      </c>
      <c r="J883">
        <v>52790</v>
      </c>
    </row>
    <row r="884" spans="1:10" x14ac:dyDescent="0.3">
      <c r="A884" t="s">
        <v>18</v>
      </c>
      <c r="B884" t="s">
        <v>16</v>
      </c>
      <c r="C884" t="s">
        <v>12</v>
      </c>
      <c r="D884" t="s">
        <v>151</v>
      </c>
      <c r="E884" s="36">
        <v>45919</v>
      </c>
      <c r="F884" t="s">
        <v>33</v>
      </c>
      <c r="G884">
        <v>10</v>
      </c>
      <c r="H884">
        <v>45000</v>
      </c>
      <c r="I884">
        <v>425900</v>
      </c>
      <c r="J884">
        <v>76662</v>
      </c>
    </row>
    <row r="885" spans="1:10" x14ac:dyDescent="0.3">
      <c r="A885" t="s">
        <v>18</v>
      </c>
      <c r="B885" t="s">
        <v>31</v>
      </c>
      <c r="C885" t="s">
        <v>12</v>
      </c>
      <c r="D885" t="s">
        <v>230</v>
      </c>
      <c r="E885" s="36">
        <v>45703</v>
      </c>
      <c r="F885" t="s">
        <v>36</v>
      </c>
      <c r="G885">
        <v>9</v>
      </c>
      <c r="H885">
        <v>55000</v>
      </c>
      <c r="I885">
        <v>494566</v>
      </c>
      <c r="J885">
        <v>108805</v>
      </c>
    </row>
    <row r="886" spans="1:10" x14ac:dyDescent="0.3">
      <c r="A886" t="s">
        <v>18</v>
      </c>
      <c r="B886" t="s">
        <v>19</v>
      </c>
      <c r="C886" t="s">
        <v>12</v>
      </c>
      <c r="D886" t="s">
        <v>113</v>
      </c>
      <c r="E886" s="36">
        <v>45713</v>
      </c>
      <c r="F886" t="s">
        <v>36</v>
      </c>
      <c r="G886">
        <v>4</v>
      </c>
      <c r="H886">
        <v>55000</v>
      </c>
      <c r="I886">
        <v>205901</v>
      </c>
      <c r="J886">
        <v>45298</v>
      </c>
    </row>
    <row r="887" spans="1:10" x14ac:dyDescent="0.3">
      <c r="A887" t="s">
        <v>18</v>
      </c>
      <c r="B887" t="s">
        <v>77</v>
      </c>
      <c r="C887" t="s">
        <v>12</v>
      </c>
      <c r="D887" t="s">
        <v>138</v>
      </c>
      <c r="E887" s="36">
        <v>45957</v>
      </c>
      <c r="F887" t="s">
        <v>36</v>
      </c>
      <c r="G887">
        <v>7</v>
      </c>
      <c r="H887">
        <v>55000</v>
      </c>
      <c r="I887">
        <v>352810</v>
      </c>
      <c r="J887">
        <v>77618</v>
      </c>
    </row>
    <row r="888" spans="1:10" x14ac:dyDescent="0.3">
      <c r="A888" t="s">
        <v>18</v>
      </c>
      <c r="B888" t="s">
        <v>81</v>
      </c>
      <c r="C888" t="s">
        <v>26</v>
      </c>
      <c r="D888" t="s">
        <v>82</v>
      </c>
      <c r="E888" s="36">
        <v>45827</v>
      </c>
      <c r="F888" t="s">
        <v>14</v>
      </c>
      <c r="G888">
        <v>9</v>
      </c>
      <c r="H888">
        <v>18500</v>
      </c>
      <c r="I888">
        <v>179586</v>
      </c>
      <c r="J888">
        <v>21550</v>
      </c>
    </row>
    <row r="889" spans="1:10" x14ac:dyDescent="0.3">
      <c r="A889" t="s">
        <v>37</v>
      </c>
      <c r="B889" t="s">
        <v>81</v>
      </c>
      <c r="C889" t="s">
        <v>26</v>
      </c>
      <c r="D889" t="s">
        <v>92</v>
      </c>
      <c r="E889" s="36">
        <v>45820</v>
      </c>
      <c r="F889" t="s">
        <v>33</v>
      </c>
      <c r="G889">
        <v>10</v>
      </c>
      <c r="H889">
        <v>45000</v>
      </c>
      <c r="I889">
        <v>427544</v>
      </c>
      <c r="J889">
        <v>76958</v>
      </c>
    </row>
    <row r="890" spans="1:10" x14ac:dyDescent="0.3">
      <c r="A890" t="s">
        <v>41</v>
      </c>
      <c r="B890" t="s">
        <v>81</v>
      </c>
      <c r="C890" t="s">
        <v>26</v>
      </c>
      <c r="D890" t="s">
        <v>52</v>
      </c>
      <c r="E890" s="36">
        <v>45940</v>
      </c>
      <c r="F890" t="s">
        <v>36</v>
      </c>
      <c r="G890">
        <v>9</v>
      </c>
      <c r="H890">
        <v>55000</v>
      </c>
      <c r="I890">
        <v>519987</v>
      </c>
      <c r="J890">
        <v>114397</v>
      </c>
    </row>
    <row r="891" spans="1:10" x14ac:dyDescent="0.3">
      <c r="A891" t="s">
        <v>41</v>
      </c>
      <c r="B891" t="s">
        <v>81</v>
      </c>
      <c r="C891" t="s">
        <v>26</v>
      </c>
      <c r="D891" t="s">
        <v>120</v>
      </c>
      <c r="E891" s="36">
        <v>45830</v>
      </c>
      <c r="F891" t="s">
        <v>33</v>
      </c>
      <c r="G891">
        <v>7</v>
      </c>
      <c r="H891">
        <v>45000</v>
      </c>
      <c r="I891">
        <v>307542</v>
      </c>
      <c r="J891">
        <v>55358</v>
      </c>
    </row>
    <row r="892" spans="1:10" x14ac:dyDescent="0.3">
      <c r="A892" t="s">
        <v>41</v>
      </c>
      <c r="B892" t="s">
        <v>81</v>
      </c>
      <c r="C892" t="s">
        <v>26</v>
      </c>
      <c r="D892" t="s">
        <v>17</v>
      </c>
      <c r="E892" s="36">
        <v>45826</v>
      </c>
      <c r="F892" t="s">
        <v>33</v>
      </c>
      <c r="G892">
        <v>9</v>
      </c>
      <c r="H892">
        <v>45000</v>
      </c>
      <c r="I892">
        <v>400687</v>
      </c>
      <c r="J892">
        <v>72124</v>
      </c>
    </row>
    <row r="893" spans="1:10" x14ac:dyDescent="0.3">
      <c r="A893" t="s">
        <v>15</v>
      </c>
      <c r="B893" t="s">
        <v>81</v>
      </c>
      <c r="C893" t="s">
        <v>26</v>
      </c>
      <c r="D893" t="s">
        <v>82</v>
      </c>
      <c r="E893" s="36">
        <v>45693</v>
      </c>
      <c r="F893" t="s">
        <v>40</v>
      </c>
      <c r="G893">
        <v>5</v>
      </c>
      <c r="H893">
        <v>15000</v>
      </c>
      <c r="I893">
        <v>77913</v>
      </c>
      <c r="J893">
        <v>7791</v>
      </c>
    </row>
    <row r="894" spans="1:10" x14ac:dyDescent="0.3">
      <c r="A894" t="s">
        <v>10</v>
      </c>
      <c r="B894" t="s">
        <v>81</v>
      </c>
      <c r="C894" t="s">
        <v>26</v>
      </c>
      <c r="D894" t="s">
        <v>96</v>
      </c>
      <c r="E894" s="36">
        <v>45708</v>
      </c>
      <c r="F894" t="s">
        <v>40</v>
      </c>
      <c r="G894">
        <v>10</v>
      </c>
      <c r="H894">
        <v>15000</v>
      </c>
      <c r="I894">
        <v>137050</v>
      </c>
      <c r="J894">
        <v>13705</v>
      </c>
    </row>
    <row r="895" spans="1:10" x14ac:dyDescent="0.3">
      <c r="A895" t="s">
        <v>15</v>
      </c>
      <c r="B895" t="s">
        <v>81</v>
      </c>
      <c r="C895" t="s">
        <v>26</v>
      </c>
      <c r="D895" t="s">
        <v>89</v>
      </c>
      <c r="E895" s="36">
        <v>45878</v>
      </c>
      <c r="F895" t="s">
        <v>33</v>
      </c>
      <c r="G895">
        <v>1</v>
      </c>
      <c r="H895">
        <v>45000</v>
      </c>
      <c r="I895">
        <v>42646</v>
      </c>
      <c r="J895">
        <v>7676</v>
      </c>
    </row>
    <row r="896" spans="1:10" x14ac:dyDescent="0.3">
      <c r="A896" t="s">
        <v>41</v>
      </c>
      <c r="B896" t="s">
        <v>81</v>
      </c>
      <c r="C896" t="s">
        <v>26</v>
      </c>
      <c r="D896" t="s">
        <v>53</v>
      </c>
      <c r="E896" s="36">
        <v>45992</v>
      </c>
      <c r="F896" t="s">
        <v>36</v>
      </c>
      <c r="G896">
        <v>10</v>
      </c>
      <c r="H896">
        <v>55000</v>
      </c>
      <c r="I896">
        <v>498562</v>
      </c>
      <c r="J896">
        <v>109684</v>
      </c>
    </row>
    <row r="897" spans="1:10" x14ac:dyDescent="0.3">
      <c r="A897" t="s">
        <v>41</v>
      </c>
      <c r="B897" t="s">
        <v>81</v>
      </c>
      <c r="C897" t="s">
        <v>26</v>
      </c>
      <c r="D897" t="s">
        <v>201</v>
      </c>
      <c r="E897" s="36">
        <v>45954</v>
      </c>
      <c r="F897" t="s">
        <v>40</v>
      </c>
      <c r="G897">
        <v>8</v>
      </c>
      <c r="H897">
        <v>15000</v>
      </c>
      <c r="I897">
        <v>109003</v>
      </c>
      <c r="J897">
        <v>10900</v>
      </c>
    </row>
    <row r="898" spans="1:10" x14ac:dyDescent="0.3">
      <c r="A898" t="s">
        <v>37</v>
      </c>
      <c r="B898" t="s">
        <v>81</v>
      </c>
      <c r="C898" t="s">
        <v>26</v>
      </c>
      <c r="D898" t="s">
        <v>45</v>
      </c>
      <c r="E898" s="36">
        <v>45846</v>
      </c>
      <c r="F898" t="s">
        <v>36</v>
      </c>
      <c r="G898">
        <v>7</v>
      </c>
      <c r="H898">
        <v>55000</v>
      </c>
      <c r="I898">
        <v>388815</v>
      </c>
      <c r="J898">
        <v>85539</v>
      </c>
    </row>
    <row r="899" spans="1:10" x14ac:dyDescent="0.3">
      <c r="A899" t="s">
        <v>10</v>
      </c>
      <c r="B899" t="s">
        <v>81</v>
      </c>
      <c r="C899" t="s">
        <v>26</v>
      </c>
      <c r="D899" t="s">
        <v>195</v>
      </c>
      <c r="E899" s="36">
        <v>45876</v>
      </c>
      <c r="F899" t="s">
        <v>33</v>
      </c>
      <c r="G899">
        <v>4</v>
      </c>
      <c r="H899">
        <v>45000</v>
      </c>
      <c r="I899">
        <v>163062</v>
      </c>
      <c r="J899">
        <v>29351</v>
      </c>
    </row>
    <row r="900" spans="1:10" x14ac:dyDescent="0.3">
      <c r="A900" t="s">
        <v>15</v>
      </c>
      <c r="B900" t="s">
        <v>81</v>
      </c>
      <c r="C900" t="s">
        <v>26</v>
      </c>
      <c r="D900" t="s">
        <v>190</v>
      </c>
      <c r="E900" s="36">
        <v>45807</v>
      </c>
      <c r="F900" t="s">
        <v>40</v>
      </c>
      <c r="G900">
        <v>2</v>
      </c>
      <c r="H900">
        <v>15000</v>
      </c>
      <c r="I900">
        <v>28005</v>
      </c>
      <c r="J900">
        <v>2800</v>
      </c>
    </row>
    <row r="901" spans="1:10" x14ac:dyDescent="0.3">
      <c r="A901" t="s">
        <v>10</v>
      </c>
      <c r="B901" t="s">
        <v>81</v>
      </c>
      <c r="C901" t="s">
        <v>26</v>
      </c>
      <c r="D901" t="s">
        <v>104</v>
      </c>
      <c r="E901" s="36">
        <v>45971</v>
      </c>
      <c r="F901" t="s">
        <v>33</v>
      </c>
      <c r="G901">
        <v>3</v>
      </c>
      <c r="H901">
        <v>45000</v>
      </c>
      <c r="I901">
        <v>125189</v>
      </c>
      <c r="J901">
        <v>22534</v>
      </c>
    </row>
    <row r="902" spans="1:10" x14ac:dyDescent="0.3">
      <c r="A902" t="s">
        <v>18</v>
      </c>
      <c r="B902" t="s">
        <v>81</v>
      </c>
      <c r="C902" t="s">
        <v>26</v>
      </c>
      <c r="D902" t="s">
        <v>138</v>
      </c>
      <c r="E902" s="36">
        <v>45721</v>
      </c>
      <c r="F902" t="s">
        <v>36</v>
      </c>
      <c r="G902">
        <v>3</v>
      </c>
      <c r="H902">
        <v>55000</v>
      </c>
      <c r="I902">
        <v>150444</v>
      </c>
      <c r="J902">
        <v>33098</v>
      </c>
    </row>
    <row r="903" spans="1:10" x14ac:dyDescent="0.3">
      <c r="A903" t="s">
        <v>18</v>
      </c>
      <c r="B903" t="s">
        <v>81</v>
      </c>
      <c r="C903" t="s">
        <v>26</v>
      </c>
      <c r="D903" t="s">
        <v>87</v>
      </c>
      <c r="E903" s="36">
        <v>45820</v>
      </c>
      <c r="F903" t="s">
        <v>33</v>
      </c>
      <c r="G903">
        <v>6</v>
      </c>
      <c r="H903">
        <v>45000</v>
      </c>
      <c r="I903">
        <v>253006</v>
      </c>
      <c r="J903">
        <v>45541</v>
      </c>
    </row>
    <row r="904" spans="1:10" x14ac:dyDescent="0.3">
      <c r="A904" t="s">
        <v>15</v>
      </c>
      <c r="B904" t="s">
        <v>81</v>
      </c>
      <c r="C904" t="s">
        <v>26</v>
      </c>
      <c r="D904" t="s">
        <v>209</v>
      </c>
      <c r="E904" s="36">
        <v>45811</v>
      </c>
      <c r="F904" t="s">
        <v>14</v>
      </c>
      <c r="G904">
        <v>3</v>
      </c>
      <c r="H904">
        <v>18500</v>
      </c>
      <c r="I904">
        <v>50439</v>
      </c>
      <c r="J904">
        <v>6053</v>
      </c>
    </row>
    <row r="905" spans="1:10" x14ac:dyDescent="0.3">
      <c r="A905" t="s">
        <v>18</v>
      </c>
      <c r="B905" t="s">
        <v>81</v>
      </c>
      <c r="C905" t="s">
        <v>26</v>
      </c>
      <c r="D905" t="s">
        <v>182</v>
      </c>
      <c r="E905" s="36">
        <v>45917</v>
      </c>
      <c r="F905" t="s">
        <v>33</v>
      </c>
      <c r="G905">
        <v>1</v>
      </c>
      <c r="H905">
        <v>45000</v>
      </c>
      <c r="I905">
        <v>46140</v>
      </c>
      <c r="J905">
        <v>8305</v>
      </c>
    </row>
    <row r="906" spans="1:10" x14ac:dyDescent="0.3">
      <c r="A906" t="s">
        <v>18</v>
      </c>
      <c r="B906" t="s">
        <v>81</v>
      </c>
      <c r="C906" t="s">
        <v>26</v>
      </c>
      <c r="D906" t="s">
        <v>62</v>
      </c>
      <c r="E906" s="36">
        <v>45807</v>
      </c>
      <c r="F906" t="s">
        <v>14</v>
      </c>
      <c r="G906">
        <v>4</v>
      </c>
      <c r="H906">
        <v>18500</v>
      </c>
      <c r="I906">
        <v>74537</v>
      </c>
      <c r="J906">
        <v>8944</v>
      </c>
    </row>
    <row r="907" spans="1:10" x14ac:dyDescent="0.3">
      <c r="A907" t="s">
        <v>15</v>
      </c>
      <c r="B907" t="s">
        <v>81</v>
      </c>
      <c r="C907" t="s">
        <v>26</v>
      </c>
      <c r="D907" t="s">
        <v>128</v>
      </c>
      <c r="E907" s="36">
        <v>45752</v>
      </c>
      <c r="F907" t="s">
        <v>14</v>
      </c>
      <c r="G907">
        <v>7</v>
      </c>
      <c r="H907">
        <v>18500</v>
      </c>
      <c r="I907">
        <v>141864</v>
      </c>
      <c r="J907">
        <v>17024</v>
      </c>
    </row>
    <row r="908" spans="1:10" x14ac:dyDescent="0.3">
      <c r="A908" t="s">
        <v>41</v>
      </c>
      <c r="B908" t="s">
        <v>81</v>
      </c>
      <c r="C908" t="s">
        <v>26</v>
      </c>
      <c r="D908" t="s">
        <v>184</v>
      </c>
      <c r="E908" s="36">
        <v>45788</v>
      </c>
      <c r="F908" t="s">
        <v>40</v>
      </c>
      <c r="G908">
        <v>8</v>
      </c>
      <c r="H908">
        <v>15000</v>
      </c>
      <c r="I908">
        <v>115512</v>
      </c>
      <c r="J908">
        <v>11551</v>
      </c>
    </row>
    <row r="909" spans="1:10" x14ac:dyDescent="0.3">
      <c r="A909" t="s">
        <v>41</v>
      </c>
      <c r="B909" t="s">
        <v>81</v>
      </c>
      <c r="C909" t="s">
        <v>26</v>
      </c>
      <c r="D909" t="s">
        <v>175</v>
      </c>
      <c r="E909" s="36">
        <v>45927</v>
      </c>
      <c r="F909" t="s">
        <v>33</v>
      </c>
      <c r="G909">
        <v>8</v>
      </c>
      <c r="H909">
        <v>45000</v>
      </c>
      <c r="I909">
        <v>330776</v>
      </c>
      <c r="J909">
        <v>59540</v>
      </c>
    </row>
    <row r="910" spans="1:10" x14ac:dyDescent="0.3">
      <c r="A910" t="s">
        <v>10</v>
      </c>
      <c r="B910" t="s">
        <v>81</v>
      </c>
      <c r="C910" t="s">
        <v>26</v>
      </c>
      <c r="D910" t="s">
        <v>244</v>
      </c>
      <c r="E910" s="36">
        <v>45955</v>
      </c>
      <c r="F910" t="s">
        <v>14</v>
      </c>
      <c r="G910">
        <v>8</v>
      </c>
      <c r="H910">
        <v>18500</v>
      </c>
      <c r="I910">
        <v>141384</v>
      </c>
      <c r="J910">
        <v>16966</v>
      </c>
    </row>
    <row r="911" spans="1:10" x14ac:dyDescent="0.3">
      <c r="A911" t="s">
        <v>10</v>
      </c>
      <c r="B911" t="s">
        <v>81</v>
      </c>
      <c r="C911" t="s">
        <v>26</v>
      </c>
      <c r="D911" t="s">
        <v>245</v>
      </c>
      <c r="E911" s="36">
        <v>45731</v>
      </c>
      <c r="F911" t="s">
        <v>36</v>
      </c>
      <c r="G911">
        <v>2</v>
      </c>
      <c r="H911">
        <v>55000</v>
      </c>
      <c r="I911">
        <v>104238</v>
      </c>
      <c r="J911">
        <v>22932</v>
      </c>
    </row>
    <row r="912" spans="1:10" x14ac:dyDescent="0.3">
      <c r="A912" t="s">
        <v>37</v>
      </c>
      <c r="B912" t="s">
        <v>81</v>
      </c>
      <c r="C912" t="s">
        <v>26</v>
      </c>
      <c r="D912" t="s">
        <v>248</v>
      </c>
      <c r="E912" s="36">
        <v>45897</v>
      </c>
      <c r="F912" t="s">
        <v>40</v>
      </c>
      <c r="G912">
        <v>1</v>
      </c>
      <c r="H912">
        <v>15000</v>
      </c>
      <c r="I912">
        <v>13982</v>
      </c>
      <c r="J912">
        <v>1398</v>
      </c>
    </row>
    <row r="913" spans="1:10" x14ac:dyDescent="0.3">
      <c r="A913" t="s">
        <v>41</v>
      </c>
      <c r="B913" t="s">
        <v>81</v>
      </c>
      <c r="C913" t="s">
        <v>26</v>
      </c>
      <c r="D913" t="s">
        <v>203</v>
      </c>
      <c r="E913" s="36">
        <v>45774</v>
      </c>
      <c r="F913" t="s">
        <v>40</v>
      </c>
      <c r="G913">
        <v>6</v>
      </c>
      <c r="H913">
        <v>15000</v>
      </c>
      <c r="I913">
        <v>81967</v>
      </c>
      <c r="J913">
        <v>8197</v>
      </c>
    </row>
    <row r="914" spans="1:10" x14ac:dyDescent="0.3">
      <c r="A914" t="s">
        <v>37</v>
      </c>
      <c r="B914" t="s">
        <v>81</v>
      </c>
      <c r="C914" t="s">
        <v>26</v>
      </c>
      <c r="D914" t="s">
        <v>125</v>
      </c>
      <c r="E914" s="36">
        <v>46013</v>
      </c>
      <c r="F914" t="s">
        <v>36</v>
      </c>
      <c r="G914">
        <v>8</v>
      </c>
      <c r="H914">
        <v>55000</v>
      </c>
      <c r="I914">
        <v>460851</v>
      </c>
      <c r="J914">
        <v>101387</v>
      </c>
    </row>
    <row r="915" spans="1:10" x14ac:dyDescent="0.3">
      <c r="A915" t="s">
        <v>10</v>
      </c>
      <c r="B915" t="s">
        <v>81</v>
      </c>
      <c r="C915" t="s">
        <v>26</v>
      </c>
      <c r="D915" t="s">
        <v>113</v>
      </c>
      <c r="E915" s="36">
        <v>45829</v>
      </c>
      <c r="F915" t="s">
        <v>40</v>
      </c>
      <c r="G915">
        <v>1</v>
      </c>
      <c r="H915">
        <v>15000</v>
      </c>
      <c r="I915">
        <v>15067</v>
      </c>
      <c r="J915">
        <v>1507</v>
      </c>
    </row>
    <row r="916" spans="1:10" x14ac:dyDescent="0.3">
      <c r="A916" t="s">
        <v>10</v>
      </c>
      <c r="B916" t="s">
        <v>81</v>
      </c>
      <c r="C916" t="s">
        <v>26</v>
      </c>
      <c r="D916" t="s">
        <v>128</v>
      </c>
      <c r="E916" s="36">
        <v>45696</v>
      </c>
      <c r="F916" t="s">
        <v>33</v>
      </c>
      <c r="G916">
        <v>10</v>
      </c>
      <c r="H916">
        <v>45000</v>
      </c>
      <c r="I916">
        <v>460486</v>
      </c>
      <c r="J916">
        <v>82887</v>
      </c>
    </row>
    <row r="917" spans="1:10" x14ac:dyDescent="0.3">
      <c r="A917" t="s">
        <v>10</v>
      </c>
      <c r="B917" t="s">
        <v>81</v>
      </c>
      <c r="C917" t="s">
        <v>26</v>
      </c>
      <c r="D917" t="s">
        <v>207</v>
      </c>
      <c r="E917" s="36">
        <v>45684</v>
      </c>
      <c r="F917" t="s">
        <v>40</v>
      </c>
      <c r="G917">
        <v>5</v>
      </c>
      <c r="H917">
        <v>15000</v>
      </c>
      <c r="I917">
        <v>72335</v>
      </c>
      <c r="J917">
        <v>7234</v>
      </c>
    </row>
    <row r="918" spans="1:10" x14ac:dyDescent="0.3">
      <c r="A918" t="s">
        <v>18</v>
      </c>
      <c r="B918" t="s">
        <v>81</v>
      </c>
      <c r="C918" t="s">
        <v>26</v>
      </c>
      <c r="D918" t="s">
        <v>89</v>
      </c>
      <c r="E918" s="36">
        <v>45764</v>
      </c>
      <c r="F918" t="s">
        <v>36</v>
      </c>
      <c r="G918">
        <v>6</v>
      </c>
      <c r="H918">
        <v>55000</v>
      </c>
      <c r="I918">
        <v>309005</v>
      </c>
      <c r="J918">
        <v>67981</v>
      </c>
    </row>
    <row r="919" spans="1:10" x14ac:dyDescent="0.3">
      <c r="A919" t="s">
        <v>18</v>
      </c>
      <c r="B919" t="s">
        <v>81</v>
      </c>
      <c r="C919" t="s">
        <v>26</v>
      </c>
      <c r="D919" t="s">
        <v>52</v>
      </c>
      <c r="E919" s="36">
        <v>45932</v>
      </c>
      <c r="F919" t="s">
        <v>33</v>
      </c>
      <c r="G919">
        <v>3</v>
      </c>
      <c r="H919">
        <v>45000</v>
      </c>
      <c r="I919">
        <v>125750</v>
      </c>
      <c r="J919">
        <v>22635</v>
      </c>
    </row>
    <row r="920" spans="1:10" x14ac:dyDescent="0.3">
      <c r="A920" t="s">
        <v>37</v>
      </c>
      <c r="B920" t="s">
        <v>81</v>
      </c>
      <c r="C920" t="s">
        <v>26</v>
      </c>
      <c r="D920" t="s">
        <v>243</v>
      </c>
      <c r="E920" s="36">
        <v>46001</v>
      </c>
      <c r="F920" t="s">
        <v>33</v>
      </c>
      <c r="G920">
        <v>5</v>
      </c>
      <c r="H920">
        <v>45000</v>
      </c>
      <c r="I920">
        <v>206446</v>
      </c>
      <c r="J920">
        <v>37160</v>
      </c>
    </row>
    <row r="921" spans="1:10" x14ac:dyDescent="0.3">
      <c r="A921" t="s">
        <v>41</v>
      </c>
      <c r="B921" t="s">
        <v>81</v>
      </c>
      <c r="C921" t="s">
        <v>26</v>
      </c>
      <c r="D921" t="s">
        <v>98</v>
      </c>
      <c r="E921" s="36">
        <v>45762</v>
      </c>
      <c r="F921" t="s">
        <v>14</v>
      </c>
      <c r="G921">
        <v>7</v>
      </c>
      <c r="H921">
        <v>18500</v>
      </c>
      <c r="I921">
        <v>128119</v>
      </c>
      <c r="J921">
        <v>15374</v>
      </c>
    </row>
    <row r="922" spans="1:10" x14ac:dyDescent="0.3">
      <c r="A922" t="s">
        <v>41</v>
      </c>
      <c r="B922" t="s">
        <v>81</v>
      </c>
      <c r="C922" t="s">
        <v>26</v>
      </c>
      <c r="D922" t="s">
        <v>225</v>
      </c>
      <c r="E922" s="36">
        <v>45778</v>
      </c>
      <c r="F922" t="s">
        <v>36</v>
      </c>
      <c r="G922">
        <v>9</v>
      </c>
      <c r="H922">
        <v>55000</v>
      </c>
      <c r="I922">
        <v>481712</v>
      </c>
      <c r="J922">
        <v>105977</v>
      </c>
    </row>
    <row r="923" spans="1:10" x14ac:dyDescent="0.3">
      <c r="A923" t="s">
        <v>15</v>
      </c>
      <c r="B923" t="s">
        <v>81</v>
      </c>
      <c r="C923" t="s">
        <v>26</v>
      </c>
      <c r="D923" t="s">
        <v>250</v>
      </c>
      <c r="E923" s="36">
        <v>45987</v>
      </c>
      <c r="F923" t="s">
        <v>14</v>
      </c>
      <c r="G923">
        <v>4</v>
      </c>
      <c r="H923">
        <v>18500</v>
      </c>
      <c r="I923">
        <v>71634</v>
      </c>
      <c r="J923">
        <v>8596</v>
      </c>
    </row>
    <row r="924" spans="1:10" x14ac:dyDescent="0.3">
      <c r="A924" t="s">
        <v>41</v>
      </c>
      <c r="B924" t="s">
        <v>81</v>
      </c>
      <c r="C924" t="s">
        <v>26</v>
      </c>
      <c r="D924" t="s">
        <v>244</v>
      </c>
      <c r="E924" s="36">
        <v>45894</v>
      </c>
      <c r="F924" t="s">
        <v>40</v>
      </c>
      <c r="G924">
        <v>10</v>
      </c>
      <c r="H924">
        <v>15000</v>
      </c>
      <c r="I924">
        <v>154542</v>
      </c>
      <c r="J924">
        <v>15454</v>
      </c>
    </row>
    <row r="925" spans="1:10" x14ac:dyDescent="0.3">
      <c r="A925" t="s">
        <v>37</v>
      </c>
      <c r="B925" t="s">
        <v>81</v>
      </c>
      <c r="C925" t="s">
        <v>26</v>
      </c>
      <c r="D925" t="s">
        <v>92</v>
      </c>
      <c r="E925" s="36">
        <v>45747</v>
      </c>
      <c r="F925" t="s">
        <v>40</v>
      </c>
      <c r="G925">
        <v>2</v>
      </c>
      <c r="H925">
        <v>15000</v>
      </c>
      <c r="I925">
        <v>29038</v>
      </c>
      <c r="J925">
        <v>2904</v>
      </c>
    </row>
    <row r="926" spans="1:10" x14ac:dyDescent="0.3">
      <c r="A926" t="s">
        <v>37</v>
      </c>
      <c r="B926" t="s">
        <v>81</v>
      </c>
      <c r="C926" t="s">
        <v>26</v>
      </c>
      <c r="D926" t="s">
        <v>120</v>
      </c>
      <c r="E926" s="36">
        <v>45889</v>
      </c>
      <c r="F926" t="s">
        <v>40</v>
      </c>
      <c r="G926">
        <v>4</v>
      </c>
      <c r="H926">
        <v>15000</v>
      </c>
      <c r="I926">
        <v>60758</v>
      </c>
      <c r="J926">
        <v>6076</v>
      </c>
    </row>
    <row r="927" spans="1:10" x14ac:dyDescent="0.3">
      <c r="A927" t="s">
        <v>10</v>
      </c>
      <c r="B927" t="s">
        <v>81</v>
      </c>
      <c r="C927" t="s">
        <v>26</v>
      </c>
      <c r="D927" t="s">
        <v>53</v>
      </c>
      <c r="E927" s="36">
        <v>45913</v>
      </c>
      <c r="F927" t="s">
        <v>36</v>
      </c>
      <c r="G927">
        <v>3</v>
      </c>
      <c r="H927">
        <v>55000</v>
      </c>
      <c r="I927">
        <v>173915</v>
      </c>
      <c r="J927">
        <v>38261</v>
      </c>
    </row>
    <row r="928" spans="1:10" x14ac:dyDescent="0.3">
      <c r="A928" t="s">
        <v>15</v>
      </c>
      <c r="B928" t="s">
        <v>81</v>
      </c>
      <c r="C928" t="s">
        <v>26</v>
      </c>
      <c r="D928" t="s">
        <v>193</v>
      </c>
      <c r="E928" s="36">
        <v>45720</v>
      </c>
      <c r="F928" t="s">
        <v>36</v>
      </c>
      <c r="G928">
        <v>10</v>
      </c>
      <c r="H928">
        <v>55000</v>
      </c>
      <c r="I928">
        <v>542892</v>
      </c>
      <c r="J928">
        <v>119436</v>
      </c>
    </row>
    <row r="929" spans="1:10" x14ac:dyDescent="0.3">
      <c r="A929" t="s">
        <v>10</v>
      </c>
      <c r="B929" t="s">
        <v>81</v>
      </c>
      <c r="C929" t="s">
        <v>26</v>
      </c>
      <c r="D929" t="s">
        <v>235</v>
      </c>
      <c r="E929" s="36">
        <v>45849</v>
      </c>
      <c r="F929" t="s">
        <v>14</v>
      </c>
      <c r="G929">
        <v>1</v>
      </c>
      <c r="H929">
        <v>18500</v>
      </c>
      <c r="I929">
        <v>18769</v>
      </c>
      <c r="J929">
        <v>2252</v>
      </c>
    </row>
    <row r="930" spans="1:10" x14ac:dyDescent="0.3">
      <c r="A930" t="s">
        <v>18</v>
      </c>
      <c r="B930" t="s">
        <v>81</v>
      </c>
      <c r="C930" t="s">
        <v>26</v>
      </c>
      <c r="D930" t="s">
        <v>210</v>
      </c>
      <c r="E930" s="36">
        <v>45926</v>
      </c>
      <c r="F930" t="s">
        <v>36</v>
      </c>
      <c r="G930">
        <v>6</v>
      </c>
      <c r="H930">
        <v>55000</v>
      </c>
      <c r="I930">
        <v>328667</v>
      </c>
      <c r="J930">
        <v>72307</v>
      </c>
    </row>
    <row r="931" spans="1:10" x14ac:dyDescent="0.3">
      <c r="A931" t="s">
        <v>41</v>
      </c>
      <c r="B931" t="s">
        <v>81</v>
      </c>
      <c r="C931" t="s">
        <v>26</v>
      </c>
      <c r="D931" t="s">
        <v>242</v>
      </c>
      <c r="E931" s="36">
        <v>45810</v>
      </c>
      <c r="F931" t="s">
        <v>36</v>
      </c>
      <c r="G931">
        <v>10</v>
      </c>
      <c r="H931">
        <v>55000</v>
      </c>
      <c r="I931">
        <v>564772</v>
      </c>
      <c r="J931">
        <v>124250</v>
      </c>
    </row>
    <row r="932" spans="1:10" x14ac:dyDescent="0.3">
      <c r="A932" t="s">
        <v>37</v>
      </c>
      <c r="B932" t="s">
        <v>81</v>
      </c>
      <c r="C932" t="s">
        <v>26</v>
      </c>
      <c r="D932" t="s">
        <v>165</v>
      </c>
      <c r="E932" s="36">
        <v>46009</v>
      </c>
      <c r="F932" t="s">
        <v>36</v>
      </c>
      <c r="G932">
        <v>10</v>
      </c>
      <c r="H932">
        <v>55000</v>
      </c>
      <c r="I932">
        <v>566011</v>
      </c>
      <c r="J932">
        <v>124522</v>
      </c>
    </row>
    <row r="933" spans="1:10" x14ac:dyDescent="0.3">
      <c r="A933" t="s">
        <v>15</v>
      </c>
      <c r="B933" t="s">
        <v>81</v>
      </c>
      <c r="C933" t="s">
        <v>26</v>
      </c>
      <c r="D933" t="s">
        <v>216</v>
      </c>
      <c r="E933" s="36">
        <v>45682</v>
      </c>
      <c r="F933" t="s">
        <v>40</v>
      </c>
      <c r="G933">
        <v>7</v>
      </c>
      <c r="H933">
        <v>15000</v>
      </c>
      <c r="I933">
        <v>111423</v>
      </c>
      <c r="J933">
        <v>11142</v>
      </c>
    </row>
    <row r="934" spans="1:10" x14ac:dyDescent="0.3">
      <c r="A934" t="s">
        <v>10</v>
      </c>
      <c r="B934" t="s">
        <v>81</v>
      </c>
      <c r="C934" t="s">
        <v>26</v>
      </c>
      <c r="D934" t="s">
        <v>201</v>
      </c>
      <c r="E934" s="36">
        <v>45929</v>
      </c>
      <c r="F934" t="s">
        <v>40</v>
      </c>
      <c r="G934">
        <v>8</v>
      </c>
      <c r="H934">
        <v>15000</v>
      </c>
      <c r="I934">
        <v>119045</v>
      </c>
      <c r="J934">
        <v>11904</v>
      </c>
    </row>
    <row r="935" spans="1:10" x14ac:dyDescent="0.3">
      <c r="A935" t="s">
        <v>37</v>
      </c>
      <c r="B935" t="s">
        <v>81</v>
      </c>
      <c r="C935" t="s">
        <v>26</v>
      </c>
      <c r="D935" t="s">
        <v>72</v>
      </c>
      <c r="E935" s="36">
        <v>45819</v>
      </c>
      <c r="F935" t="s">
        <v>33</v>
      </c>
      <c r="G935">
        <v>1</v>
      </c>
      <c r="H935">
        <v>45000</v>
      </c>
      <c r="I935">
        <v>48981</v>
      </c>
      <c r="J935">
        <v>8817</v>
      </c>
    </row>
    <row r="936" spans="1:10" x14ac:dyDescent="0.3">
      <c r="A936" t="s">
        <v>15</v>
      </c>
      <c r="B936" t="s">
        <v>81</v>
      </c>
      <c r="C936" t="s">
        <v>26</v>
      </c>
      <c r="D936" t="s">
        <v>174</v>
      </c>
      <c r="E936" s="36">
        <v>45723</v>
      </c>
      <c r="F936" t="s">
        <v>14</v>
      </c>
      <c r="G936">
        <v>2</v>
      </c>
      <c r="H936">
        <v>18500</v>
      </c>
      <c r="I936">
        <v>33797</v>
      </c>
      <c r="J936">
        <v>4056</v>
      </c>
    </row>
    <row r="937" spans="1:10" x14ac:dyDescent="0.3">
      <c r="A937" t="s">
        <v>37</v>
      </c>
      <c r="B937" t="s">
        <v>81</v>
      </c>
      <c r="C937" t="s">
        <v>26</v>
      </c>
      <c r="D937" t="s">
        <v>135</v>
      </c>
      <c r="E937" s="36">
        <v>46006</v>
      </c>
      <c r="F937" t="s">
        <v>14</v>
      </c>
      <c r="G937">
        <v>6</v>
      </c>
      <c r="H937">
        <v>18500</v>
      </c>
      <c r="I937">
        <v>107328</v>
      </c>
      <c r="J937">
        <v>12879</v>
      </c>
    </row>
    <row r="938" spans="1:10" x14ac:dyDescent="0.3">
      <c r="A938" t="s">
        <v>41</v>
      </c>
      <c r="B938" t="s">
        <v>81</v>
      </c>
      <c r="C938" t="s">
        <v>26</v>
      </c>
      <c r="D938" t="s">
        <v>79</v>
      </c>
      <c r="E938" s="36">
        <v>45707</v>
      </c>
      <c r="F938" t="s">
        <v>14</v>
      </c>
      <c r="G938">
        <v>6</v>
      </c>
      <c r="H938">
        <v>18500</v>
      </c>
      <c r="I938">
        <v>113986</v>
      </c>
      <c r="J938">
        <v>13678</v>
      </c>
    </row>
    <row r="939" spans="1:10" x14ac:dyDescent="0.3">
      <c r="A939" t="s">
        <v>15</v>
      </c>
      <c r="B939" t="s">
        <v>81</v>
      </c>
      <c r="C939" t="s">
        <v>26</v>
      </c>
      <c r="D939" t="s">
        <v>198</v>
      </c>
      <c r="E939" s="36">
        <v>45930</v>
      </c>
      <c r="F939" t="s">
        <v>36</v>
      </c>
      <c r="G939">
        <v>3</v>
      </c>
      <c r="H939">
        <v>55000</v>
      </c>
      <c r="I939">
        <v>171402</v>
      </c>
      <c r="J939">
        <v>37708</v>
      </c>
    </row>
    <row r="940" spans="1:10" x14ac:dyDescent="0.3">
      <c r="A940" t="s">
        <v>10</v>
      </c>
      <c r="B940" t="s">
        <v>81</v>
      </c>
      <c r="C940" t="s">
        <v>26</v>
      </c>
      <c r="D940" t="s">
        <v>234</v>
      </c>
      <c r="E940" s="36">
        <v>45880</v>
      </c>
      <c r="F940" t="s">
        <v>33</v>
      </c>
      <c r="G940">
        <v>2</v>
      </c>
      <c r="H940">
        <v>45000</v>
      </c>
      <c r="I940">
        <v>94328</v>
      </c>
      <c r="J940">
        <v>16979</v>
      </c>
    </row>
    <row r="941" spans="1:10" x14ac:dyDescent="0.3">
      <c r="A941" t="s">
        <v>18</v>
      </c>
      <c r="B941" t="s">
        <v>81</v>
      </c>
      <c r="C941" t="s">
        <v>26</v>
      </c>
      <c r="D941" t="s">
        <v>210</v>
      </c>
      <c r="E941" s="36">
        <v>45693</v>
      </c>
      <c r="F941" t="s">
        <v>14</v>
      </c>
      <c r="G941">
        <v>9</v>
      </c>
      <c r="H941">
        <v>18500</v>
      </c>
      <c r="I941">
        <v>153368</v>
      </c>
      <c r="J941">
        <v>18404</v>
      </c>
    </row>
    <row r="942" spans="1:10" x14ac:dyDescent="0.3">
      <c r="A942" t="s">
        <v>10</v>
      </c>
      <c r="B942" t="s">
        <v>81</v>
      </c>
      <c r="C942" t="s">
        <v>26</v>
      </c>
      <c r="D942" t="s">
        <v>109</v>
      </c>
      <c r="E942" s="36">
        <v>45692</v>
      </c>
      <c r="F942" t="s">
        <v>14</v>
      </c>
      <c r="G942">
        <v>5</v>
      </c>
      <c r="H942">
        <v>18500</v>
      </c>
      <c r="I942">
        <v>86428</v>
      </c>
      <c r="J942">
        <v>10371</v>
      </c>
    </row>
    <row r="943" spans="1:10" x14ac:dyDescent="0.3">
      <c r="A943" t="s">
        <v>18</v>
      </c>
      <c r="B943" t="s">
        <v>81</v>
      </c>
      <c r="C943" t="s">
        <v>26</v>
      </c>
      <c r="D943" t="s">
        <v>195</v>
      </c>
      <c r="E943" s="36">
        <v>45697</v>
      </c>
      <c r="F943" t="s">
        <v>33</v>
      </c>
      <c r="G943">
        <v>4</v>
      </c>
      <c r="H943">
        <v>45000</v>
      </c>
      <c r="I943">
        <v>181922</v>
      </c>
      <c r="J943">
        <v>32746</v>
      </c>
    </row>
    <row r="944" spans="1:10" x14ac:dyDescent="0.3">
      <c r="A944" t="s">
        <v>10</v>
      </c>
      <c r="B944" t="s">
        <v>81</v>
      </c>
      <c r="C944" t="s">
        <v>26</v>
      </c>
      <c r="D944" t="s">
        <v>201</v>
      </c>
      <c r="E944" s="36">
        <v>45744</v>
      </c>
      <c r="F944" t="s">
        <v>14</v>
      </c>
      <c r="G944">
        <v>6</v>
      </c>
      <c r="H944">
        <v>18500</v>
      </c>
      <c r="I944">
        <v>112057</v>
      </c>
      <c r="J944">
        <v>13447</v>
      </c>
    </row>
    <row r="945" spans="1:10" x14ac:dyDescent="0.3">
      <c r="A945" t="s">
        <v>41</v>
      </c>
      <c r="B945" t="s">
        <v>81</v>
      </c>
      <c r="C945" t="s">
        <v>26</v>
      </c>
      <c r="D945" t="s">
        <v>261</v>
      </c>
      <c r="E945" s="36">
        <v>45853</v>
      </c>
      <c r="F945" t="s">
        <v>14</v>
      </c>
      <c r="G945">
        <v>8</v>
      </c>
      <c r="H945">
        <v>18500</v>
      </c>
      <c r="I945">
        <v>133225</v>
      </c>
      <c r="J945">
        <v>15987</v>
      </c>
    </row>
    <row r="946" spans="1:10" x14ac:dyDescent="0.3">
      <c r="A946" t="s">
        <v>15</v>
      </c>
      <c r="B946" t="s">
        <v>81</v>
      </c>
      <c r="C946" t="s">
        <v>26</v>
      </c>
      <c r="D946" t="s">
        <v>146</v>
      </c>
      <c r="E946" s="36">
        <v>45724</v>
      </c>
      <c r="F946" t="s">
        <v>14</v>
      </c>
      <c r="G946">
        <v>10</v>
      </c>
      <c r="H946">
        <v>18500</v>
      </c>
      <c r="I946">
        <v>172771</v>
      </c>
      <c r="J946">
        <v>20733</v>
      </c>
    </row>
    <row r="947" spans="1:10" x14ac:dyDescent="0.3">
      <c r="A947" t="s">
        <v>18</v>
      </c>
      <c r="B947" t="s">
        <v>81</v>
      </c>
      <c r="C947" t="s">
        <v>26</v>
      </c>
      <c r="D947" t="s">
        <v>136</v>
      </c>
      <c r="E947" s="36">
        <v>45881</v>
      </c>
      <c r="F947" t="s">
        <v>14</v>
      </c>
      <c r="G947">
        <v>9</v>
      </c>
      <c r="H947">
        <v>18500</v>
      </c>
      <c r="I947">
        <v>153278</v>
      </c>
      <c r="J947">
        <v>18393</v>
      </c>
    </row>
    <row r="948" spans="1:10" x14ac:dyDescent="0.3">
      <c r="A948" t="s">
        <v>10</v>
      </c>
      <c r="B948" t="s">
        <v>81</v>
      </c>
      <c r="C948" t="s">
        <v>26</v>
      </c>
      <c r="D948" t="s">
        <v>78</v>
      </c>
      <c r="E948" s="36">
        <v>45724</v>
      </c>
      <c r="F948" t="s">
        <v>36</v>
      </c>
      <c r="G948">
        <v>4</v>
      </c>
      <c r="H948">
        <v>55000</v>
      </c>
      <c r="I948">
        <v>210009</v>
      </c>
      <c r="J948">
        <v>46202</v>
      </c>
    </row>
    <row r="949" spans="1:10" x14ac:dyDescent="0.3">
      <c r="A949" t="s">
        <v>37</v>
      </c>
      <c r="B949" t="s">
        <v>81</v>
      </c>
      <c r="C949" t="s">
        <v>26</v>
      </c>
      <c r="D949" t="s">
        <v>210</v>
      </c>
      <c r="E949" s="36">
        <v>45711</v>
      </c>
      <c r="F949" t="s">
        <v>33</v>
      </c>
      <c r="G949">
        <v>8</v>
      </c>
      <c r="H949">
        <v>45000</v>
      </c>
      <c r="I949">
        <v>393328</v>
      </c>
      <c r="J949">
        <v>70799</v>
      </c>
    </row>
    <row r="950" spans="1:10" x14ac:dyDescent="0.3">
      <c r="A950" t="s">
        <v>10</v>
      </c>
      <c r="B950" t="s">
        <v>81</v>
      </c>
      <c r="C950" t="s">
        <v>26</v>
      </c>
      <c r="D950" t="s">
        <v>254</v>
      </c>
      <c r="E950" s="36">
        <v>45983</v>
      </c>
      <c r="F950" t="s">
        <v>14</v>
      </c>
      <c r="G950">
        <v>10</v>
      </c>
      <c r="H950">
        <v>18500</v>
      </c>
      <c r="I950">
        <v>177582</v>
      </c>
      <c r="J950">
        <v>21310</v>
      </c>
    </row>
    <row r="951" spans="1:10" x14ac:dyDescent="0.3">
      <c r="A951" t="s">
        <v>18</v>
      </c>
      <c r="B951" t="s">
        <v>81</v>
      </c>
      <c r="C951" t="s">
        <v>26</v>
      </c>
      <c r="D951" t="s">
        <v>248</v>
      </c>
      <c r="E951" s="36">
        <v>45849</v>
      </c>
      <c r="F951" t="s">
        <v>40</v>
      </c>
      <c r="G951">
        <v>5</v>
      </c>
      <c r="H951">
        <v>15000</v>
      </c>
      <c r="I951">
        <v>80945</v>
      </c>
      <c r="J951">
        <v>8094</v>
      </c>
    </row>
    <row r="952" spans="1:10" x14ac:dyDescent="0.3">
      <c r="A952" t="s">
        <v>37</v>
      </c>
      <c r="B952" t="s">
        <v>81</v>
      </c>
      <c r="C952" t="s">
        <v>26</v>
      </c>
      <c r="D952" t="s">
        <v>109</v>
      </c>
      <c r="E952" s="36">
        <v>45820</v>
      </c>
      <c r="F952" t="s">
        <v>33</v>
      </c>
      <c r="G952">
        <v>7</v>
      </c>
      <c r="H952">
        <v>45000</v>
      </c>
      <c r="I952">
        <v>292656</v>
      </c>
      <c r="J952">
        <v>52678</v>
      </c>
    </row>
    <row r="953" spans="1:10" x14ac:dyDescent="0.3">
      <c r="A953" t="s">
        <v>15</v>
      </c>
      <c r="B953" t="s">
        <v>81</v>
      </c>
      <c r="C953" t="s">
        <v>26</v>
      </c>
      <c r="D953" t="s">
        <v>123</v>
      </c>
      <c r="E953" s="36">
        <v>45888</v>
      </c>
      <c r="F953" t="s">
        <v>36</v>
      </c>
      <c r="G953">
        <v>8</v>
      </c>
      <c r="H953">
        <v>55000</v>
      </c>
      <c r="I953">
        <v>413770</v>
      </c>
      <c r="J953">
        <v>91029</v>
      </c>
    </row>
    <row r="954" spans="1:10" x14ac:dyDescent="0.3">
      <c r="A954" t="s">
        <v>18</v>
      </c>
      <c r="B954" t="s">
        <v>81</v>
      </c>
      <c r="C954" t="s">
        <v>26</v>
      </c>
      <c r="D954" t="s">
        <v>230</v>
      </c>
      <c r="E954" s="36">
        <v>45702</v>
      </c>
      <c r="F954" t="s">
        <v>40</v>
      </c>
      <c r="G954">
        <v>1</v>
      </c>
      <c r="H954">
        <v>15000</v>
      </c>
      <c r="I954">
        <v>15486</v>
      </c>
      <c r="J954">
        <v>1549</v>
      </c>
    </row>
    <row r="955" spans="1:10" x14ac:dyDescent="0.3">
      <c r="A955" t="s">
        <v>10</v>
      </c>
      <c r="B955" t="s">
        <v>81</v>
      </c>
      <c r="C955" t="s">
        <v>26</v>
      </c>
      <c r="D955" t="s">
        <v>230</v>
      </c>
      <c r="E955" s="36">
        <v>45948</v>
      </c>
      <c r="F955" t="s">
        <v>33</v>
      </c>
      <c r="G955">
        <v>4</v>
      </c>
      <c r="H955">
        <v>45000</v>
      </c>
      <c r="I955">
        <v>172665</v>
      </c>
      <c r="J955">
        <v>31080</v>
      </c>
    </row>
    <row r="956" spans="1:10" x14ac:dyDescent="0.3">
      <c r="A956" t="s">
        <v>41</v>
      </c>
      <c r="B956" t="s">
        <v>81</v>
      </c>
      <c r="C956" t="s">
        <v>26</v>
      </c>
      <c r="D956" t="s">
        <v>212</v>
      </c>
      <c r="E956" s="36">
        <v>45900</v>
      </c>
      <c r="F956" t="s">
        <v>40</v>
      </c>
      <c r="G956">
        <v>7</v>
      </c>
      <c r="H956">
        <v>15000</v>
      </c>
      <c r="I956">
        <v>101893</v>
      </c>
      <c r="J956">
        <v>10189</v>
      </c>
    </row>
    <row r="957" spans="1:10" x14ac:dyDescent="0.3">
      <c r="A957" t="s">
        <v>41</v>
      </c>
      <c r="B957" t="s">
        <v>81</v>
      </c>
      <c r="C957" t="s">
        <v>26</v>
      </c>
      <c r="D957" t="s">
        <v>141</v>
      </c>
      <c r="E957" s="36">
        <v>45809</v>
      </c>
      <c r="F957" t="s">
        <v>36</v>
      </c>
      <c r="G957">
        <v>9</v>
      </c>
      <c r="H957">
        <v>55000</v>
      </c>
      <c r="I957">
        <v>460246</v>
      </c>
      <c r="J957">
        <v>101254</v>
      </c>
    </row>
    <row r="958" spans="1:10" x14ac:dyDescent="0.3">
      <c r="A958" t="s">
        <v>15</v>
      </c>
      <c r="B958" t="s">
        <v>81</v>
      </c>
      <c r="C958" t="s">
        <v>26</v>
      </c>
      <c r="D958" t="s">
        <v>60</v>
      </c>
      <c r="E958" s="36">
        <v>45999</v>
      </c>
      <c r="F958" t="s">
        <v>40</v>
      </c>
      <c r="G958">
        <v>7</v>
      </c>
      <c r="H958">
        <v>15000</v>
      </c>
      <c r="I958">
        <v>108770</v>
      </c>
      <c r="J958">
        <v>10877</v>
      </c>
    </row>
    <row r="959" spans="1:10" x14ac:dyDescent="0.3">
      <c r="A959" t="s">
        <v>37</v>
      </c>
      <c r="B959" t="s">
        <v>81</v>
      </c>
      <c r="C959" t="s">
        <v>26</v>
      </c>
      <c r="D959" t="s">
        <v>112</v>
      </c>
      <c r="E959" s="36">
        <v>45865</v>
      </c>
      <c r="F959" t="s">
        <v>14</v>
      </c>
      <c r="G959">
        <v>10</v>
      </c>
      <c r="H959">
        <v>18500</v>
      </c>
      <c r="I959">
        <v>168639</v>
      </c>
      <c r="J959">
        <v>20237</v>
      </c>
    </row>
    <row r="960" spans="1:10" x14ac:dyDescent="0.3">
      <c r="A960" t="s">
        <v>10</v>
      </c>
      <c r="B960" t="s">
        <v>81</v>
      </c>
      <c r="C960" t="s">
        <v>26</v>
      </c>
      <c r="D960" t="s">
        <v>20</v>
      </c>
      <c r="E960" s="36">
        <v>45727</v>
      </c>
      <c r="F960" t="s">
        <v>14</v>
      </c>
      <c r="G960">
        <v>7</v>
      </c>
      <c r="H960">
        <v>18500</v>
      </c>
      <c r="I960">
        <v>138066</v>
      </c>
      <c r="J960">
        <v>16568</v>
      </c>
    </row>
    <row r="961" spans="1:10" x14ac:dyDescent="0.3">
      <c r="A961" t="s">
        <v>10</v>
      </c>
      <c r="B961" t="s">
        <v>81</v>
      </c>
      <c r="C961" t="s">
        <v>26</v>
      </c>
      <c r="D961" t="s">
        <v>194</v>
      </c>
      <c r="E961" s="36">
        <v>45981</v>
      </c>
      <c r="F961" t="s">
        <v>36</v>
      </c>
      <c r="G961">
        <v>2</v>
      </c>
      <c r="H961">
        <v>55000</v>
      </c>
      <c r="I961">
        <v>113092</v>
      </c>
      <c r="J961">
        <v>24880</v>
      </c>
    </row>
    <row r="962" spans="1:10" x14ac:dyDescent="0.3">
      <c r="A962" t="s">
        <v>18</v>
      </c>
      <c r="B962" t="s">
        <v>81</v>
      </c>
      <c r="C962" t="s">
        <v>26</v>
      </c>
      <c r="D962" t="s">
        <v>126</v>
      </c>
      <c r="E962" s="36">
        <v>45841</v>
      </c>
      <c r="F962" t="s">
        <v>14</v>
      </c>
      <c r="G962">
        <v>6</v>
      </c>
      <c r="H962">
        <v>18500</v>
      </c>
      <c r="I962">
        <v>109066</v>
      </c>
      <c r="J962">
        <v>13088</v>
      </c>
    </row>
    <row r="963" spans="1:10" x14ac:dyDescent="0.3">
      <c r="A963" t="s">
        <v>15</v>
      </c>
      <c r="B963" t="s">
        <v>81</v>
      </c>
      <c r="C963" t="s">
        <v>26</v>
      </c>
      <c r="D963" t="s">
        <v>168</v>
      </c>
      <c r="E963" s="36">
        <v>45747</v>
      </c>
      <c r="F963" t="s">
        <v>33</v>
      </c>
      <c r="G963">
        <v>2</v>
      </c>
      <c r="H963">
        <v>45000</v>
      </c>
      <c r="I963">
        <v>82284</v>
      </c>
      <c r="J963">
        <v>14811</v>
      </c>
    </row>
    <row r="964" spans="1:10" x14ac:dyDescent="0.3">
      <c r="A964" t="s">
        <v>10</v>
      </c>
      <c r="B964" t="s">
        <v>81</v>
      </c>
      <c r="C964" t="s">
        <v>26</v>
      </c>
      <c r="D964" t="s">
        <v>214</v>
      </c>
      <c r="E964" s="36">
        <v>45999</v>
      </c>
      <c r="F964" t="s">
        <v>36</v>
      </c>
      <c r="G964">
        <v>4</v>
      </c>
      <c r="H964">
        <v>55000</v>
      </c>
      <c r="I964">
        <v>198940</v>
      </c>
      <c r="J964">
        <v>43767</v>
      </c>
    </row>
    <row r="965" spans="1:10" x14ac:dyDescent="0.3">
      <c r="A965" t="s">
        <v>37</v>
      </c>
      <c r="B965" t="s">
        <v>81</v>
      </c>
      <c r="C965" t="s">
        <v>26</v>
      </c>
      <c r="D965" t="s">
        <v>237</v>
      </c>
      <c r="E965" s="36">
        <v>45813</v>
      </c>
      <c r="F965" t="s">
        <v>36</v>
      </c>
      <c r="G965">
        <v>3</v>
      </c>
      <c r="H965">
        <v>55000</v>
      </c>
      <c r="I965">
        <v>174565</v>
      </c>
      <c r="J965">
        <v>38404</v>
      </c>
    </row>
    <row r="966" spans="1:10" x14ac:dyDescent="0.3">
      <c r="A966" t="s">
        <v>15</v>
      </c>
      <c r="B966" t="s">
        <v>81</v>
      </c>
      <c r="C966" t="s">
        <v>26</v>
      </c>
      <c r="D966" t="s">
        <v>239</v>
      </c>
      <c r="E966" s="36">
        <v>46006</v>
      </c>
      <c r="F966" t="s">
        <v>36</v>
      </c>
      <c r="G966">
        <v>3</v>
      </c>
      <c r="H966">
        <v>55000</v>
      </c>
      <c r="I966">
        <v>174444</v>
      </c>
      <c r="J966">
        <v>38378</v>
      </c>
    </row>
    <row r="967" spans="1:10" x14ac:dyDescent="0.3">
      <c r="A967" t="s">
        <v>18</v>
      </c>
      <c r="B967" t="s">
        <v>81</v>
      </c>
      <c r="C967" t="s">
        <v>26</v>
      </c>
      <c r="D967" t="s">
        <v>103</v>
      </c>
      <c r="E967" s="36">
        <v>46012</v>
      </c>
      <c r="F967" t="s">
        <v>33</v>
      </c>
      <c r="G967">
        <v>6</v>
      </c>
      <c r="H967">
        <v>45000</v>
      </c>
      <c r="I967">
        <v>256293</v>
      </c>
      <c r="J967">
        <v>46133</v>
      </c>
    </row>
    <row r="968" spans="1:10" x14ac:dyDescent="0.3">
      <c r="A968" t="s">
        <v>41</v>
      </c>
      <c r="B968" t="s">
        <v>81</v>
      </c>
      <c r="C968" t="s">
        <v>26</v>
      </c>
      <c r="D968" t="s">
        <v>190</v>
      </c>
      <c r="E968" s="36">
        <v>45780</v>
      </c>
      <c r="F968" t="s">
        <v>14</v>
      </c>
      <c r="G968">
        <v>2</v>
      </c>
      <c r="H968">
        <v>18500</v>
      </c>
      <c r="I968">
        <v>34017</v>
      </c>
      <c r="J968">
        <v>4082</v>
      </c>
    </row>
    <row r="969" spans="1:10" x14ac:dyDescent="0.3">
      <c r="A969" t="s">
        <v>37</v>
      </c>
      <c r="B969" t="s">
        <v>81</v>
      </c>
      <c r="C969" t="s">
        <v>26</v>
      </c>
      <c r="D969" t="s">
        <v>44</v>
      </c>
      <c r="E969" s="36">
        <v>45999</v>
      </c>
      <c r="F969" t="s">
        <v>33</v>
      </c>
      <c r="G969">
        <v>1</v>
      </c>
      <c r="H969">
        <v>45000</v>
      </c>
      <c r="I969">
        <v>43186</v>
      </c>
      <c r="J969">
        <v>7773</v>
      </c>
    </row>
    <row r="970" spans="1:10" x14ac:dyDescent="0.3">
      <c r="A970" t="s">
        <v>18</v>
      </c>
      <c r="B970" t="s">
        <v>81</v>
      </c>
      <c r="C970" t="s">
        <v>26</v>
      </c>
      <c r="D970" t="s">
        <v>115</v>
      </c>
      <c r="E970" s="36">
        <v>45737</v>
      </c>
      <c r="F970" t="s">
        <v>14</v>
      </c>
      <c r="G970">
        <v>2</v>
      </c>
      <c r="H970">
        <v>18500</v>
      </c>
      <c r="I970">
        <v>40490</v>
      </c>
      <c r="J970">
        <v>4859</v>
      </c>
    </row>
    <row r="971" spans="1:10" x14ac:dyDescent="0.3">
      <c r="A971" t="s">
        <v>10</v>
      </c>
      <c r="B971" t="s">
        <v>81</v>
      </c>
      <c r="C971" t="s">
        <v>26</v>
      </c>
      <c r="D971" t="s">
        <v>227</v>
      </c>
      <c r="E971" s="36">
        <v>45717</v>
      </c>
      <c r="F971" t="s">
        <v>36</v>
      </c>
      <c r="G971">
        <v>6</v>
      </c>
      <c r="H971">
        <v>55000</v>
      </c>
      <c r="I971">
        <v>301551</v>
      </c>
      <c r="J971">
        <v>66341</v>
      </c>
    </row>
    <row r="972" spans="1:10" x14ac:dyDescent="0.3">
      <c r="A972" t="s">
        <v>41</v>
      </c>
      <c r="B972" t="s">
        <v>81</v>
      </c>
      <c r="C972" t="s">
        <v>26</v>
      </c>
      <c r="D972" t="s">
        <v>243</v>
      </c>
      <c r="E972" s="36">
        <v>45921</v>
      </c>
      <c r="F972" t="s">
        <v>36</v>
      </c>
      <c r="G972">
        <v>6</v>
      </c>
      <c r="H972">
        <v>55000</v>
      </c>
      <c r="I972">
        <v>317985</v>
      </c>
      <c r="J972">
        <v>69957</v>
      </c>
    </row>
    <row r="973" spans="1:10" x14ac:dyDescent="0.3">
      <c r="A973" t="s">
        <v>18</v>
      </c>
      <c r="B973" t="s">
        <v>81</v>
      </c>
      <c r="C973" t="s">
        <v>26</v>
      </c>
      <c r="D973" t="s">
        <v>242</v>
      </c>
      <c r="E973" s="36">
        <v>45921</v>
      </c>
      <c r="F973" t="s">
        <v>40</v>
      </c>
      <c r="G973">
        <v>9</v>
      </c>
      <c r="H973">
        <v>15000</v>
      </c>
      <c r="I973">
        <v>136665</v>
      </c>
      <c r="J973">
        <v>13666</v>
      </c>
    </row>
    <row r="974" spans="1:10" x14ac:dyDescent="0.3">
      <c r="A974" t="s">
        <v>41</v>
      </c>
      <c r="B974" t="s">
        <v>81</v>
      </c>
      <c r="C974" t="s">
        <v>26</v>
      </c>
      <c r="D974" t="s">
        <v>58</v>
      </c>
      <c r="E974" s="36">
        <v>45692</v>
      </c>
      <c r="F974" t="s">
        <v>33</v>
      </c>
      <c r="G974">
        <v>6</v>
      </c>
      <c r="H974">
        <v>45000</v>
      </c>
      <c r="I974">
        <v>261881</v>
      </c>
      <c r="J974">
        <v>47139</v>
      </c>
    </row>
    <row r="975" spans="1:10" x14ac:dyDescent="0.3">
      <c r="A975" t="s">
        <v>15</v>
      </c>
      <c r="B975" t="s">
        <v>81</v>
      </c>
      <c r="C975" t="s">
        <v>26</v>
      </c>
      <c r="D975" t="s">
        <v>180</v>
      </c>
      <c r="E975" s="36">
        <v>45826</v>
      </c>
      <c r="F975" t="s">
        <v>36</v>
      </c>
      <c r="G975">
        <v>3</v>
      </c>
      <c r="H975">
        <v>55000</v>
      </c>
      <c r="I975">
        <v>153772</v>
      </c>
      <c r="J975">
        <v>33830</v>
      </c>
    </row>
    <row r="976" spans="1:10" x14ac:dyDescent="0.3">
      <c r="A976" t="s">
        <v>15</v>
      </c>
      <c r="B976" t="s">
        <v>29</v>
      </c>
      <c r="C976" t="s">
        <v>26</v>
      </c>
      <c r="D976" t="s">
        <v>72</v>
      </c>
      <c r="E976" s="36">
        <v>45826</v>
      </c>
      <c r="F976" t="s">
        <v>33</v>
      </c>
      <c r="G976">
        <v>4</v>
      </c>
      <c r="H976">
        <v>45000</v>
      </c>
      <c r="I976">
        <v>176536</v>
      </c>
      <c r="J976">
        <v>31776</v>
      </c>
    </row>
    <row r="977" spans="1:10" x14ac:dyDescent="0.3">
      <c r="A977" t="s">
        <v>37</v>
      </c>
      <c r="B977" t="s">
        <v>29</v>
      </c>
      <c r="C977" t="s">
        <v>26</v>
      </c>
      <c r="D977" t="s">
        <v>83</v>
      </c>
      <c r="E977" s="36">
        <v>45816</v>
      </c>
      <c r="F977" t="s">
        <v>14</v>
      </c>
      <c r="G977">
        <v>1</v>
      </c>
      <c r="H977">
        <v>18500</v>
      </c>
      <c r="I977">
        <v>16873</v>
      </c>
      <c r="J977">
        <v>2025</v>
      </c>
    </row>
    <row r="978" spans="1:10" x14ac:dyDescent="0.3">
      <c r="A978" t="s">
        <v>37</v>
      </c>
      <c r="B978" t="s">
        <v>29</v>
      </c>
      <c r="C978" t="s">
        <v>26</v>
      </c>
      <c r="D978" t="s">
        <v>74</v>
      </c>
      <c r="E978" s="36">
        <v>45830</v>
      </c>
      <c r="F978" t="s">
        <v>14</v>
      </c>
      <c r="G978">
        <v>4</v>
      </c>
      <c r="H978">
        <v>18500</v>
      </c>
      <c r="I978">
        <v>69420</v>
      </c>
      <c r="J978">
        <v>8330</v>
      </c>
    </row>
    <row r="979" spans="1:10" x14ac:dyDescent="0.3">
      <c r="A979" t="s">
        <v>37</v>
      </c>
      <c r="B979" t="s">
        <v>29</v>
      </c>
      <c r="C979" t="s">
        <v>26</v>
      </c>
      <c r="D979" t="s">
        <v>85</v>
      </c>
      <c r="E979" s="36">
        <v>45727</v>
      </c>
      <c r="F979" t="s">
        <v>14</v>
      </c>
      <c r="G979">
        <v>5</v>
      </c>
      <c r="H979">
        <v>18500</v>
      </c>
      <c r="I979">
        <v>101703</v>
      </c>
      <c r="J979">
        <v>12204</v>
      </c>
    </row>
    <row r="980" spans="1:10" x14ac:dyDescent="0.3">
      <c r="A980" t="s">
        <v>15</v>
      </c>
      <c r="B980" t="s">
        <v>29</v>
      </c>
      <c r="C980" t="s">
        <v>26</v>
      </c>
      <c r="D980" t="s">
        <v>127</v>
      </c>
      <c r="E980" s="36">
        <v>45983</v>
      </c>
      <c r="F980" t="s">
        <v>36</v>
      </c>
      <c r="G980">
        <v>3</v>
      </c>
      <c r="H980">
        <v>55000</v>
      </c>
      <c r="I980">
        <v>175504</v>
      </c>
      <c r="J980">
        <v>38611</v>
      </c>
    </row>
    <row r="981" spans="1:10" x14ac:dyDescent="0.3">
      <c r="A981" t="s">
        <v>18</v>
      </c>
      <c r="B981" t="s">
        <v>29</v>
      </c>
      <c r="C981" t="s">
        <v>26</v>
      </c>
      <c r="D981" t="s">
        <v>131</v>
      </c>
      <c r="E981" s="36">
        <v>45934</v>
      </c>
      <c r="F981" t="s">
        <v>36</v>
      </c>
      <c r="G981">
        <v>8</v>
      </c>
      <c r="H981">
        <v>55000</v>
      </c>
      <c r="I981">
        <v>402519</v>
      </c>
      <c r="J981">
        <v>88554</v>
      </c>
    </row>
    <row r="982" spans="1:10" x14ac:dyDescent="0.3">
      <c r="A982" t="s">
        <v>18</v>
      </c>
      <c r="B982" t="s">
        <v>29</v>
      </c>
      <c r="C982" t="s">
        <v>26</v>
      </c>
      <c r="D982" t="s">
        <v>139</v>
      </c>
      <c r="E982" s="36">
        <v>45914</v>
      </c>
      <c r="F982" t="s">
        <v>14</v>
      </c>
      <c r="G982">
        <v>6</v>
      </c>
      <c r="H982">
        <v>18500</v>
      </c>
      <c r="I982">
        <v>115028</v>
      </c>
      <c r="J982">
        <v>13803</v>
      </c>
    </row>
    <row r="983" spans="1:10" x14ac:dyDescent="0.3">
      <c r="A983" t="s">
        <v>37</v>
      </c>
      <c r="B983" t="s">
        <v>29</v>
      </c>
      <c r="C983" t="s">
        <v>26</v>
      </c>
      <c r="D983" t="s">
        <v>143</v>
      </c>
      <c r="E983" s="36">
        <v>45671</v>
      </c>
      <c r="F983" t="s">
        <v>40</v>
      </c>
      <c r="G983">
        <v>9</v>
      </c>
      <c r="H983">
        <v>15000</v>
      </c>
      <c r="I983">
        <v>125626</v>
      </c>
      <c r="J983">
        <v>12563</v>
      </c>
    </row>
    <row r="984" spans="1:10" x14ac:dyDescent="0.3">
      <c r="A984" t="s">
        <v>37</v>
      </c>
      <c r="B984" t="s">
        <v>29</v>
      </c>
      <c r="C984" t="s">
        <v>26</v>
      </c>
      <c r="D984" t="s">
        <v>150</v>
      </c>
      <c r="E984" s="36">
        <v>45946</v>
      </c>
      <c r="F984" t="s">
        <v>36</v>
      </c>
      <c r="G984">
        <v>5</v>
      </c>
      <c r="H984">
        <v>55000</v>
      </c>
      <c r="I984">
        <v>280181</v>
      </c>
      <c r="J984">
        <v>61640</v>
      </c>
    </row>
    <row r="985" spans="1:10" x14ac:dyDescent="0.3">
      <c r="A985" t="s">
        <v>10</v>
      </c>
      <c r="B985" t="s">
        <v>29</v>
      </c>
      <c r="C985" t="s">
        <v>26</v>
      </c>
      <c r="D985" t="s">
        <v>174</v>
      </c>
      <c r="E985" s="36">
        <v>45980</v>
      </c>
      <c r="F985" t="s">
        <v>40</v>
      </c>
      <c r="G985">
        <v>6</v>
      </c>
      <c r="H985">
        <v>15000</v>
      </c>
      <c r="I985">
        <v>90746</v>
      </c>
      <c r="J985">
        <v>9075</v>
      </c>
    </row>
    <row r="986" spans="1:10" x14ac:dyDescent="0.3">
      <c r="A986" t="s">
        <v>18</v>
      </c>
      <c r="B986" t="s">
        <v>29</v>
      </c>
      <c r="C986" t="s">
        <v>26</v>
      </c>
      <c r="D986" t="s">
        <v>52</v>
      </c>
      <c r="E986" s="36">
        <v>45661</v>
      </c>
      <c r="F986" t="s">
        <v>36</v>
      </c>
      <c r="G986">
        <v>3</v>
      </c>
      <c r="H986">
        <v>55000</v>
      </c>
      <c r="I986">
        <v>163236</v>
      </c>
      <c r="J986">
        <v>35912</v>
      </c>
    </row>
    <row r="987" spans="1:10" x14ac:dyDescent="0.3">
      <c r="A987" t="s">
        <v>37</v>
      </c>
      <c r="B987" t="s">
        <v>29</v>
      </c>
      <c r="C987" t="s">
        <v>26</v>
      </c>
      <c r="D987" t="s">
        <v>167</v>
      </c>
      <c r="E987" s="36">
        <v>45920</v>
      </c>
      <c r="F987" t="s">
        <v>40</v>
      </c>
      <c r="G987">
        <v>4</v>
      </c>
      <c r="H987">
        <v>15000</v>
      </c>
      <c r="I987">
        <v>54040</v>
      </c>
      <c r="J987">
        <v>5404</v>
      </c>
    </row>
    <row r="988" spans="1:10" x14ac:dyDescent="0.3">
      <c r="A988" t="s">
        <v>37</v>
      </c>
      <c r="B988" t="s">
        <v>29</v>
      </c>
      <c r="C988" t="s">
        <v>26</v>
      </c>
      <c r="D988" t="s">
        <v>43</v>
      </c>
      <c r="E988" s="36">
        <v>45804</v>
      </c>
      <c r="F988" t="s">
        <v>36</v>
      </c>
      <c r="G988">
        <v>3</v>
      </c>
      <c r="H988">
        <v>55000</v>
      </c>
      <c r="I988">
        <v>169495</v>
      </c>
      <c r="J988">
        <v>37289</v>
      </c>
    </row>
    <row r="989" spans="1:10" x14ac:dyDescent="0.3">
      <c r="A989" t="s">
        <v>18</v>
      </c>
      <c r="B989" t="s">
        <v>29</v>
      </c>
      <c r="C989" t="s">
        <v>26</v>
      </c>
      <c r="D989" t="s">
        <v>193</v>
      </c>
      <c r="E989" s="36">
        <v>45928</v>
      </c>
      <c r="F989" t="s">
        <v>14</v>
      </c>
      <c r="G989">
        <v>8</v>
      </c>
      <c r="H989">
        <v>18500</v>
      </c>
      <c r="I989">
        <v>135297</v>
      </c>
      <c r="J989">
        <v>16236</v>
      </c>
    </row>
    <row r="990" spans="1:10" x14ac:dyDescent="0.3">
      <c r="A990" t="s">
        <v>18</v>
      </c>
      <c r="B990" t="s">
        <v>29</v>
      </c>
      <c r="C990" t="s">
        <v>26</v>
      </c>
      <c r="D990" t="s">
        <v>203</v>
      </c>
      <c r="E990" s="36">
        <v>45705</v>
      </c>
      <c r="F990" t="s">
        <v>33</v>
      </c>
      <c r="G990">
        <v>4</v>
      </c>
      <c r="H990">
        <v>45000</v>
      </c>
      <c r="I990">
        <v>192093</v>
      </c>
      <c r="J990">
        <v>34577</v>
      </c>
    </row>
    <row r="991" spans="1:10" x14ac:dyDescent="0.3">
      <c r="A991" t="s">
        <v>37</v>
      </c>
      <c r="B991" t="s">
        <v>29</v>
      </c>
      <c r="C991" t="s">
        <v>26</v>
      </c>
      <c r="D991" t="s">
        <v>198</v>
      </c>
      <c r="E991" s="36">
        <v>45818</v>
      </c>
      <c r="F991" t="s">
        <v>36</v>
      </c>
      <c r="G991">
        <v>5</v>
      </c>
      <c r="H991">
        <v>55000</v>
      </c>
      <c r="I991">
        <v>281517</v>
      </c>
      <c r="J991">
        <v>61934</v>
      </c>
    </row>
    <row r="992" spans="1:10" x14ac:dyDescent="0.3">
      <c r="A992" t="s">
        <v>37</v>
      </c>
      <c r="B992" t="s">
        <v>29</v>
      </c>
      <c r="C992" t="s">
        <v>26</v>
      </c>
      <c r="D992" t="s">
        <v>102</v>
      </c>
      <c r="E992" s="36">
        <v>45715</v>
      </c>
      <c r="F992" t="s">
        <v>40</v>
      </c>
      <c r="G992">
        <v>9</v>
      </c>
      <c r="H992">
        <v>15000</v>
      </c>
      <c r="I992">
        <v>132182</v>
      </c>
      <c r="J992">
        <v>13218</v>
      </c>
    </row>
    <row r="993" spans="1:10" x14ac:dyDescent="0.3">
      <c r="A993" t="s">
        <v>18</v>
      </c>
      <c r="B993" t="s">
        <v>29</v>
      </c>
      <c r="C993" t="s">
        <v>26</v>
      </c>
      <c r="D993" t="s">
        <v>127</v>
      </c>
      <c r="E993" s="36">
        <v>45709</v>
      </c>
      <c r="F993" t="s">
        <v>33</v>
      </c>
      <c r="G993">
        <v>10</v>
      </c>
      <c r="H993">
        <v>45000</v>
      </c>
      <c r="I993">
        <v>422982</v>
      </c>
      <c r="J993">
        <v>76137</v>
      </c>
    </row>
    <row r="994" spans="1:10" x14ac:dyDescent="0.3">
      <c r="A994" t="s">
        <v>18</v>
      </c>
      <c r="B994" t="s">
        <v>29</v>
      </c>
      <c r="C994" t="s">
        <v>26</v>
      </c>
      <c r="D994" t="s">
        <v>141</v>
      </c>
      <c r="E994" s="36">
        <v>45791</v>
      </c>
      <c r="F994" t="s">
        <v>40</v>
      </c>
      <c r="G994">
        <v>4</v>
      </c>
      <c r="H994">
        <v>15000</v>
      </c>
      <c r="I994">
        <v>63802</v>
      </c>
      <c r="J994">
        <v>6380</v>
      </c>
    </row>
    <row r="995" spans="1:10" x14ac:dyDescent="0.3">
      <c r="A995" t="s">
        <v>41</v>
      </c>
      <c r="B995" t="s">
        <v>29</v>
      </c>
      <c r="C995" t="s">
        <v>26</v>
      </c>
      <c r="D995" t="s">
        <v>162</v>
      </c>
      <c r="E995" s="36">
        <v>45838</v>
      </c>
      <c r="F995" t="s">
        <v>14</v>
      </c>
      <c r="G995">
        <v>5</v>
      </c>
      <c r="H995">
        <v>18500</v>
      </c>
      <c r="I995">
        <v>84215</v>
      </c>
      <c r="J995">
        <v>10106</v>
      </c>
    </row>
    <row r="996" spans="1:10" x14ac:dyDescent="0.3">
      <c r="A996" t="s">
        <v>10</v>
      </c>
      <c r="B996" t="s">
        <v>29</v>
      </c>
      <c r="C996" t="s">
        <v>26</v>
      </c>
      <c r="D996" t="s">
        <v>186</v>
      </c>
      <c r="E996" s="36">
        <v>45911</v>
      </c>
      <c r="F996" t="s">
        <v>40</v>
      </c>
      <c r="G996">
        <v>4</v>
      </c>
      <c r="H996">
        <v>15000</v>
      </c>
      <c r="I996">
        <v>61003</v>
      </c>
      <c r="J996">
        <v>6100</v>
      </c>
    </row>
    <row r="997" spans="1:10" x14ac:dyDescent="0.3">
      <c r="A997" t="s">
        <v>18</v>
      </c>
      <c r="B997" t="s">
        <v>29</v>
      </c>
      <c r="C997" t="s">
        <v>26</v>
      </c>
      <c r="D997" t="s">
        <v>137</v>
      </c>
      <c r="E997" s="36">
        <v>45965</v>
      </c>
      <c r="F997" t="s">
        <v>40</v>
      </c>
      <c r="G997">
        <v>7</v>
      </c>
      <c r="H997">
        <v>15000</v>
      </c>
      <c r="I997">
        <v>94923</v>
      </c>
      <c r="J997">
        <v>9492</v>
      </c>
    </row>
    <row r="998" spans="1:10" x14ac:dyDescent="0.3">
      <c r="A998" t="s">
        <v>41</v>
      </c>
      <c r="B998" t="s">
        <v>29</v>
      </c>
      <c r="C998" t="s">
        <v>26</v>
      </c>
      <c r="D998" t="s">
        <v>226</v>
      </c>
      <c r="E998" s="36">
        <v>46004</v>
      </c>
      <c r="F998" t="s">
        <v>40</v>
      </c>
      <c r="G998">
        <v>8</v>
      </c>
      <c r="H998">
        <v>15000</v>
      </c>
      <c r="I998">
        <v>130641</v>
      </c>
      <c r="J998">
        <v>13064</v>
      </c>
    </row>
    <row r="999" spans="1:10" x14ac:dyDescent="0.3">
      <c r="A999" t="s">
        <v>37</v>
      </c>
      <c r="B999" t="s">
        <v>29</v>
      </c>
      <c r="C999" t="s">
        <v>26</v>
      </c>
      <c r="D999" t="s">
        <v>161</v>
      </c>
      <c r="E999" s="36">
        <v>45784</v>
      </c>
      <c r="F999" t="s">
        <v>40</v>
      </c>
      <c r="G999">
        <v>7</v>
      </c>
      <c r="H999">
        <v>15000</v>
      </c>
      <c r="I999">
        <v>108932</v>
      </c>
      <c r="J999">
        <v>10893</v>
      </c>
    </row>
    <row r="1000" spans="1:10" x14ac:dyDescent="0.3">
      <c r="A1000" t="s">
        <v>41</v>
      </c>
      <c r="B1000" t="s">
        <v>29</v>
      </c>
      <c r="C1000" t="s">
        <v>26</v>
      </c>
      <c r="D1000" t="s">
        <v>203</v>
      </c>
      <c r="E1000" s="36">
        <v>45932</v>
      </c>
      <c r="F1000" t="s">
        <v>14</v>
      </c>
      <c r="G1000">
        <v>3</v>
      </c>
      <c r="H1000">
        <v>18500</v>
      </c>
      <c r="I1000">
        <v>52591</v>
      </c>
      <c r="J1000">
        <v>6311</v>
      </c>
    </row>
    <row r="1001" spans="1:10" x14ac:dyDescent="0.3">
      <c r="A1001" t="s">
        <v>15</v>
      </c>
      <c r="B1001" t="s">
        <v>29</v>
      </c>
      <c r="C1001" t="s">
        <v>26</v>
      </c>
      <c r="D1001" t="s">
        <v>192</v>
      </c>
      <c r="E1001" s="36">
        <v>45846</v>
      </c>
      <c r="F1001" t="s">
        <v>14</v>
      </c>
      <c r="G1001">
        <v>1</v>
      </c>
      <c r="H1001">
        <v>18500</v>
      </c>
      <c r="I1001">
        <v>18350</v>
      </c>
      <c r="J1001">
        <v>2202</v>
      </c>
    </row>
    <row r="1002" spans="1:10" x14ac:dyDescent="0.3">
      <c r="A1002" t="s">
        <v>10</v>
      </c>
      <c r="B1002" t="s">
        <v>29</v>
      </c>
      <c r="C1002" t="s">
        <v>26</v>
      </c>
      <c r="D1002" t="s">
        <v>34</v>
      </c>
      <c r="E1002" s="36">
        <v>45750</v>
      </c>
      <c r="F1002" t="s">
        <v>40</v>
      </c>
      <c r="G1002">
        <v>9</v>
      </c>
      <c r="H1002">
        <v>15000</v>
      </c>
      <c r="I1002">
        <v>131168</v>
      </c>
      <c r="J1002">
        <v>13117</v>
      </c>
    </row>
    <row r="1003" spans="1:10" x14ac:dyDescent="0.3">
      <c r="A1003" t="s">
        <v>10</v>
      </c>
      <c r="B1003" t="s">
        <v>29</v>
      </c>
      <c r="C1003" t="s">
        <v>26</v>
      </c>
      <c r="D1003" t="s">
        <v>144</v>
      </c>
      <c r="E1003" s="36">
        <v>45760</v>
      </c>
      <c r="F1003" t="s">
        <v>36</v>
      </c>
      <c r="G1003">
        <v>9</v>
      </c>
      <c r="H1003">
        <v>55000</v>
      </c>
      <c r="I1003">
        <v>452741</v>
      </c>
      <c r="J1003">
        <v>99603</v>
      </c>
    </row>
    <row r="1004" spans="1:10" x14ac:dyDescent="0.3">
      <c r="A1004" t="s">
        <v>18</v>
      </c>
      <c r="B1004" t="s">
        <v>29</v>
      </c>
      <c r="C1004" t="s">
        <v>26</v>
      </c>
      <c r="D1004" t="s">
        <v>249</v>
      </c>
      <c r="E1004" s="36">
        <v>45683</v>
      </c>
      <c r="F1004" t="s">
        <v>40</v>
      </c>
      <c r="G1004">
        <v>2</v>
      </c>
      <c r="H1004">
        <v>15000</v>
      </c>
      <c r="I1004">
        <v>28063</v>
      </c>
      <c r="J1004">
        <v>2806</v>
      </c>
    </row>
    <row r="1005" spans="1:10" x14ac:dyDescent="0.3">
      <c r="A1005" t="s">
        <v>37</v>
      </c>
      <c r="B1005" t="s">
        <v>29</v>
      </c>
      <c r="C1005" t="s">
        <v>26</v>
      </c>
      <c r="D1005" t="s">
        <v>154</v>
      </c>
      <c r="E1005" s="36">
        <v>45968</v>
      </c>
      <c r="F1005" t="s">
        <v>14</v>
      </c>
      <c r="G1005">
        <v>9</v>
      </c>
      <c r="H1005">
        <v>18500</v>
      </c>
      <c r="I1005">
        <v>159781</v>
      </c>
      <c r="J1005">
        <v>19174</v>
      </c>
    </row>
    <row r="1006" spans="1:10" x14ac:dyDescent="0.3">
      <c r="A1006" t="s">
        <v>10</v>
      </c>
      <c r="B1006" t="s">
        <v>29</v>
      </c>
      <c r="C1006" t="s">
        <v>26</v>
      </c>
      <c r="D1006" t="s">
        <v>142</v>
      </c>
      <c r="E1006" s="36">
        <v>45832</v>
      </c>
      <c r="F1006" t="s">
        <v>33</v>
      </c>
      <c r="G1006">
        <v>7</v>
      </c>
      <c r="H1006">
        <v>45000</v>
      </c>
      <c r="I1006">
        <v>312511</v>
      </c>
      <c r="J1006">
        <v>56252</v>
      </c>
    </row>
    <row r="1007" spans="1:10" x14ac:dyDescent="0.3">
      <c r="A1007" t="s">
        <v>15</v>
      </c>
      <c r="B1007" t="s">
        <v>29</v>
      </c>
      <c r="C1007" t="s">
        <v>26</v>
      </c>
      <c r="D1007" t="s">
        <v>141</v>
      </c>
      <c r="E1007" s="36">
        <v>45699</v>
      </c>
      <c r="F1007" t="s">
        <v>14</v>
      </c>
      <c r="G1007">
        <v>7</v>
      </c>
      <c r="H1007">
        <v>18500</v>
      </c>
      <c r="I1007">
        <v>128245</v>
      </c>
      <c r="J1007">
        <v>15389</v>
      </c>
    </row>
    <row r="1008" spans="1:10" x14ac:dyDescent="0.3">
      <c r="A1008" t="s">
        <v>10</v>
      </c>
      <c r="B1008" t="s">
        <v>29</v>
      </c>
      <c r="C1008" t="s">
        <v>26</v>
      </c>
      <c r="D1008" t="s">
        <v>47</v>
      </c>
      <c r="E1008" s="36">
        <v>45694</v>
      </c>
      <c r="F1008" t="s">
        <v>40</v>
      </c>
      <c r="G1008">
        <v>3</v>
      </c>
      <c r="H1008">
        <v>15000</v>
      </c>
      <c r="I1008">
        <v>48751</v>
      </c>
      <c r="J1008">
        <v>4875</v>
      </c>
    </row>
    <row r="1009" spans="1:10" x14ac:dyDescent="0.3">
      <c r="A1009" t="s">
        <v>10</v>
      </c>
      <c r="B1009" t="s">
        <v>29</v>
      </c>
      <c r="C1009" t="s">
        <v>26</v>
      </c>
      <c r="D1009" t="s">
        <v>241</v>
      </c>
      <c r="E1009" s="36">
        <v>45844</v>
      </c>
      <c r="F1009" t="s">
        <v>40</v>
      </c>
      <c r="G1009">
        <v>7</v>
      </c>
      <c r="H1009">
        <v>15000</v>
      </c>
      <c r="I1009">
        <v>105566</v>
      </c>
      <c r="J1009">
        <v>10557</v>
      </c>
    </row>
    <row r="1010" spans="1:10" x14ac:dyDescent="0.3">
      <c r="A1010" t="s">
        <v>18</v>
      </c>
      <c r="B1010" t="s">
        <v>29</v>
      </c>
      <c r="C1010" t="s">
        <v>26</v>
      </c>
      <c r="D1010" t="s">
        <v>238</v>
      </c>
      <c r="E1010" s="36">
        <v>45931</v>
      </c>
      <c r="F1010" t="s">
        <v>33</v>
      </c>
      <c r="G1010">
        <v>9</v>
      </c>
      <c r="H1010">
        <v>45000</v>
      </c>
      <c r="I1010">
        <v>388685</v>
      </c>
      <c r="J1010">
        <v>69963</v>
      </c>
    </row>
    <row r="1011" spans="1:10" x14ac:dyDescent="0.3">
      <c r="A1011" t="s">
        <v>15</v>
      </c>
      <c r="B1011" t="s">
        <v>29</v>
      </c>
      <c r="C1011" t="s">
        <v>26</v>
      </c>
      <c r="D1011" t="s">
        <v>177</v>
      </c>
      <c r="E1011" s="36">
        <v>45890</v>
      </c>
      <c r="F1011" t="s">
        <v>36</v>
      </c>
      <c r="G1011">
        <v>8</v>
      </c>
      <c r="H1011">
        <v>55000</v>
      </c>
      <c r="I1011">
        <v>473916</v>
      </c>
      <c r="J1011">
        <v>104262</v>
      </c>
    </row>
    <row r="1012" spans="1:10" x14ac:dyDescent="0.3">
      <c r="A1012" t="s">
        <v>10</v>
      </c>
      <c r="B1012" t="s">
        <v>29</v>
      </c>
      <c r="C1012" t="s">
        <v>26</v>
      </c>
      <c r="D1012" t="s">
        <v>236</v>
      </c>
      <c r="E1012" s="36">
        <v>45931</v>
      </c>
      <c r="F1012" t="s">
        <v>36</v>
      </c>
      <c r="G1012">
        <v>7</v>
      </c>
      <c r="H1012">
        <v>55000</v>
      </c>
      <c r="I1012">
        <v>381237</v>
      </c>
      <c r="J1012">
        <v>83872</v>
      </c>
    </row>
    <row r="1013" spans="1:10" x14ac:dyDescent="0.3">
      <c r="A1013" t="s">
        <v>10</v>
      </c>
      <c r="B1013" t="s">
        <v>29</v>
      </c>
      <c r="C1013" t="s">
        <v>26</v>
      </c>
      <c r="D1013" t="s">
        <v>202</v>
      </c>
      <c r="E1013" s="36">
        <v>45701</v>
      </c>
      <c r="F1013" t="s">
        <v>14</v>
      </c>
      <c r="G1013">
        <v>8</v>
      </c>
      <c r="H1013">
        <v>18500</v>
      </c>
      <c r="I1013">
        <v>141131</v>
      </c>
      <c r="J1013">
        <v>16936</v>
      </c>
    </row>
    <row r="1014" spans="1:10" x14ac:dyDescent="0.3">
      <c r="A1014" t="s">
        <v>18</v>
      </c>
      <c r="B1014" t="s">
        <v>29</v>
      </c>
      <c r="C1014" t="s">
        <v>26</v>
      </c>
      <c r="D1014" t="s">
        <v>162</v>
      </c>
      <c r="E1014" s="36">
        <v>45855</v>
      </c>
      <c r="F1014" t="s">
        <v>36</v>
      </c>
      <c r="G1014">
        <v>8</v>
      </c>
      <c r="H1014">
        <v>55000</v>
      </c>
      <c r="I1014">
        <v>408511</v>
      </c>
      <c r="J1014">
        <v>89872</v>
      </c>
    </row>
    <row r="1015" spans="1:10" x14ac:dyDescent="0.3">
      <c r="A1015" t="s">
        <v>15</v>
      </c>
      <c r="B1015" t="s">
        <v>29</v>
      </c>
      <c r="C1015" t="s">
        <v>26</v>
      </c>
      <c r="D1015" t="s">
        <v>98</v>
      </c>
      <c r="E1015" s="36">
        <v>45800</v>
      </c>
      <c r="F1015" t="s">
        <v>33</v>
      </c>
      <c r="G1015">
        <v>6</v>
      </c>
      <c r="H1015">
        <v>45000</v>
      </c>
      <c r="I1015">
        <v>293550</v>
      </c>
      <c r="J1015">
        <v>52839</v>
      </c>
    </row>
    <row r="1016" spans="1:10" x14ac:dyDescent="0.3">
      <c r="A1016" t="s">
        <v>18</v>
      </c>
      <c r="B1016" t="s">
        <v>29</v>
      </c>
      <c r="C1016" t="s">
        <v>26</v>
      </c>
      <c r="D1016" t="s">
        <v>129</v>
      </c>
      <c r="E1016" s="36">
        <v>45757</v>
      </c>
      <c r="F1016" t="s">
        <v>33</v>
      </c>
      <c r="G1016">
        <v>8</v>
      </c>
      <c r="H1016">
        <v>45000</v>
      </c>
      <c r="I1016">
        <v>394518</v>
      </c>
      <c r="J1016">
        <v>71013</v>
      </c>
    </row>
    <row r="1017" spans="1:10" x14ac:dyDescent="0.3">
      <c r="A1017" t="s">
        <v>10</v>
      </c>
      <c r="B1017" t="s">
        <v>29</v>
      </c>
      <c r="C1017" t="s">
        <v>26</v>
      </c>
      <c r="D1017" t="s">
        <v>178</v>
      </c>
      <c r="E1017" s="36">
        <v>45843</v>
      </c>
      <c r="F1017" t="s">
        <v>36</v>
      </c>
      <c r="G1017">
        <v>9</v>
      </c>
      <c r="H1017">
        <v>55000</v>
      </c>
      <c r="I1017">
        <v>487148</v>
      </c>
      <c r="J1017">
        <v>107173</v>
      </c>
    </row>
    <row r="1018" spans="1:10" x14ac:dyDescent="0.3">
      <c r="A1018" t="s">
        <v>18</v>
      </c>
      <c r="B1018" t="s">
        <v>29</v>
      </c>
      <c r="C1018" t="s">
        <v>26</v>
      </c>
      <c r="D1018" t="s">
        <v>99</v>
      </c>
      <c r="E1018" s="36">
        <v>45678</v>
      </c>
      <c r="F1018" t="s">
        <v>33</v>
      </c>
      <c r="G1018">
        <v>3</v>
      </c>
      <c r="H1018">
        <v>45000</v>
      </c>
      <c r="I1018">
        <v>147495</v>
      </c>
      <c r="J1018">
        <v>26549</v>
      </c>
    </row>
    <row r="1019" spans="1:10" x14ac:dyDescent="0.3">
      <c r="A1019" t="s">
        <v>10</v>
      </c>
      <c r="B1019" t="s">
        <v>29</v>
      </c>
      <c r="C1019" t="s">
        <v>26</v>
      </c>
      <c r="D1019" t="s">
        <v>140</v>
      </c>
      <c r="E1019" s="36">
        <v>45783</v>
      </c>
      <c r="F1019" t="s">
        <v>36</v>
      </c>
      <c r="G1019">
        <v>9</v>
      </c>
      <c r="H1019">
        <v>55000</v>
      </c>
      <c r="I1019">
        <v>519105</v>
      </c>
      <c r="J1019">
        <v>114203</v>
      </c>
    </row>
    <row r="1020" spans="1:10" x14ac:dyDescent="0.3">
      <c r="A1020" t="s">
        <v>41</v>
      </c>
      <c r="B1020" t="s">
        <v>29</v>
      </c>
      <c r="C1020" t="s">
        <v>26</v>
      </c>
      <c r="D1020" t="s">
        <v>94</v>
      </c>
      <c r="E1020" s="36">
        <v>46013</v>
      </c>
      <c r="F1020" t="s">
        <v>33</v>
      </c>
      <c r="G1020">
        <v>2</v>
      </c>
      <c r="H1020">
        <v>45000</v>
      </c>
      <c r="I1020">
        <v>87079</v>
      </c>
      <c r="J1020">
        <v>15674</v>
      </c>
    </row>
    <row r="1021" spans="1:10" x14ac:dyDescent="0.3">
      <c r="A1021" t="s">
        <v>10</v>
      </c>
      <c r="B1021" t="s">
        <v>29</v>
      </c>
      <c r="C1021" t="s">
        <v>26</v>
      </c>
      <c r="D1021" t="s">
        <v>101</v>
      </c>
      <c r="E1021" s="36">
        <v>45980</v>
      </c>
      <c r="F1021" t="s">
        <v>33</v>
      </c>
      <c r="G1021">
        <v>5</v>
      </c>
      <c r="H1021">
        <v>45000</v>
      </c>
      <c r="I1021">
        <v>227399</v>
      </c>
      <c r="J1021">
        <v>40932</v>
      </c>
    </row>
    <row r="1022" spans="1:10" x14ac:dyDescent="0.3">
      <c r="A1022" t="s">
        <v>18</v>
      </c>
      <c r="B1022" t="s">
        <v>29</v>
      </c>
      <c r="C1022" t="s">
        <v>26</v>
      </c>
      <c r="D1022" t="s">
        <v>159</v>
      </c>
      <c r="E1022" s="36">
        <v>45785</v>
      </c>
      <c r="F1022" t="s">
        <v>36</v>
      </c>
      <c r="G1022">
        <v>4</v>
      </c>
      <c r="H1022">
        <v>55000</v>
      </c>
      <c r="I1022">
        <v>224698</v>
      </c>
      <c r="J1022">
        <v>49434</v>
      </c>
    </row>
    <row r="1023" spans="1:10" x14ac:dyDescent="0.3">
      <c r="A1023" t="s">
        <v>10</v>
      </c>
      <c r="B1023" t="s">
        <v>29</v>
      </c>
      <c r="C1023" t="s">
        <v>26</v>
      </c>
      <c r="D1023" t="s">
        <v>220</v>
      </c>
      <c r="E1023" s="36">
        <v>46016</v>
      </c>
      <c r="F1023" t="s">
        <v>14</v>
      </c>
      <c r="G1023">
        <v>8</v>
      </c>
      <c r="H1023">
        <v>18500</v>
      </c>
      <c r="I1023">
        <v>134528</v>
      </c>
      <c r="J1023">
        <v>16143</v>
      </c>
    </row>
    <row r="1024" spans="1:10" x14ac:dyDescent="0.3">
      <c r="A1024" t="s">
        <v>10</v>
      </c>
      <c r="B1024" t="s">
        <v>29</v>
      </c>
      <c r="C1024" t="s">
        <v>26</v>
      </c>
      <c r="D1024" t="s">
        <v>87</v>
      </c>
      <c r="E1024" s="36">
        <v>45883</v>
      </c>
      <c r="F1024" t="s">
        <v>14</v>
      </c>
      <c r="G1024">
        <v>8</v>
      </c>
      <c r="H1024">
        <v>18500</v>
      </c>
      <c r="I1024">
        <v>160220</v>
      </c>
      <c r="J1024">
        <v>19226</v>
      </c>
    </row>
    <row r="1025" spans="1:10" x14ac:dyDescent="0.3">
      <c r="A1025" t="s">
        <v>15</v>
      </c>
      <c r="B1025" t="s">
        <v>29</v>
      </c>
      <c r="C1025" t="s">
        <v>26</v>
      </c>
      <c r="D1025" t="s">
        <v>161</v>
      </c>
      <c r="E1025" s="36">
        <v>45713</v>
      </c>
      <c r="F1025" t="s">
        <v>36</v>
      </c>
      <c r="G1025">
        <v>6</v>
      </c>
      <c r="H1025">
        <v>55000</v>
      </c>
      <c r="I1025">
        <v>353107</v>
      </c>
      <c r="J1025">
        <v>77684</v>
      </c>
    </row>
    <row r="1026" spans="1:10" x14ac:dyDescent="0.3">
      <c r="A1026" t="s">
        <v>37</v>
      </c>
      <c r="B1026" t="s">
        <v>29</v>
      </c>
      <c r="C1026" t="s">
        <v>26</v>
      </c>
      <c r="D1026" t="s">
        <v>106</v>
      </c>
      <c r="E1026" s="36">
        <v>45967</v>
      </c>
      <c r="F1026" t="s">
        <v>14</v>
      </c>
      <c r="G1026">
        <v>1</v>
      </c>
      <c r="H1026">
        <v>18500</v>
      </c>
      <c r="I1026">
        <v>17112</v>
      </c>
      <c r="J1026">
        <v>2053</v>
      </c>
    </row>
    <row r="1027" spans="1:10" x14ac:dyDescent="0.3">
      <c r="A1027" t="s">
        <v>18</v>
      </c>
      <c r="B1027" t="s">
        <v>29</v>
      </c>
      <c r="C1027" t="s">
        <v>26</v>
      </c>
      <c r="D1027" t="s">
        <v>237</v>
      </c>
      <c r="E1027" s="36">
        <v>45807</v>
      </c>
      <c r="F1027" t="s">
        <v>40</v>
      </c>
      <c r="G1027">
        <v>8</v>
      </c>
      <c r="H1027">
        <v>15000</v>
      </c>
      <c r="I1027">
        <v>113022</v>
      </c>
      <c r="J1027">
        <v>11302</v>
      </c>
    </row>
    <row r="1028" spans="1:10" x14ac:dyDescent="0.3">
      <c r="A1028" t="s">
        <v>10</v>
      </c>
      <c r="B1028" t="s">
        <v>29</v>
      </c>
      <c r="C1028" t="s">
        <v>26</v>
      </c>
      <c r="D1028" t="s">
        <v>187</v>
      </c>
      <c r="E1028" s="36">
        <v>45735</v>
      </c>
      <c r="F1028" t="s">
        <v>40</v>
      </c>
      <c r="G1028">
        <v>2</v>
      </c>
      <c r="H1028">
        <v>15000</v>
      </c>
      <c r="I1028">
        <v>32379</v>
      </c>
      <c r="J1028">
        <v>3238</v>
      </c>
    </row>
    <row r="1029" spans="1:10" x14ac:dyDescent="0.3">
      <c r="A1029" t="s">
        <v>41</v>
      </c>
      <c r="B1029" t="s">
        <v>29</v>
      </c>
      <c r="C1029" t="s">
        <v>26</v>
      </c>
      <c r="D1029" t="s">
        <v>217</v>
      </c>
      <c r="E1029" s="36">
        <v>45815</v>
      </c>
      <c r="F1029" t="s">
        <v>33</v>
      </c>
      <c r="G1029">
        <v>5</v>
      </c>
      <c r="H1029">
        <v>45000</v>
      </c>
      <c r="I1029">
        <v>203735</v>
      </c>
      <c r="J1029">
        <v>36672</v>
      </c>
    </row>
    <row r="1030" spans="1:10" x14ac:dyDescent="0.3">
      <c r="A1030" t="s">
        <v>41</v>
      </c>
      <c r="B1030" t="s">
        <v>29</v>
      </c>
      <c r="C1030" t="s">
        <v>26</v>
      </c>
      <c r="D1030" t="s">
        <v>158</v>
      </c>
      <c r="E1030" s="36">
        <v>45934</v>
      </c>
      <c r="F1030" t="s">
        <v>14</v>
      </c>
      <c r="G1030">
        <v>3</v>
      </c>
      <c r="H1030">
        <v>18500</v>
      </c>
      <c r="I1030">
        <v>55207</v>
      </c>
      <c r="J1030">
        <v>6625</v>
      </c>
    </row>
    <row r="1031" spans="1:10" x14ac:dyDescent="0.3">
      <c r="A1031" t="s">
        <v>41</v>
      </c>
      <c r="B1031" t="s">
        <v>29</v>
      </c>
      <c r="C1031" t="s">
        <v>26</v>
      </c>
      <c r="D1031" t="s">
        <v>135</v>
      </c>
      <c r="E1031" s="36">
        <v>45824</v>
      </c>
      <c r="F1031" t="s">
        <v>14</v>
      </c>
      <c r="G1031">
        <v>2</v>
      </c>
      <c r="H1031">
        <v>18500</v>
      </c>
      <c r="I1031">
        <v>35747</v>
      </c>
      <c r="J1031">
        <v>4290</v>
      </c>
    </row>
    <row r="1032" spans="1:10" x14ac:dyDescent="0.3">
      <c r="A1032" t="s">
        <v>41</v>
      </c>
      <c r="B1032" t="s">
        <v>29</v>
      </c>
      <c r="C1032" t="s">
        <v>26</v>
      </c>
      <c r="D1032" t="s">
        <v>99</v>
      </c>
      <c r="E1032" s="36">
        <v>45703</v>
      </c>
      <c r="F1032" t="s">
        <v>40</v>
      </c>
      <c r="G1032">
        <v>1</v>
      </c>
      <c r="H1032">
        <v>15000</v>
      </c>
      <c r="I1032">
        <v>13884</v>
      </c>
      <c r="J1032">
        <v>1388</v>
      </c>
    </row>
    <row r="1033" spans="1:10" x14ac:dyDescent="0.3">
      <c r="A1033" t="s">
        <v>15</v>
      </c>
      <c r="B1033" t="s">
        <v>29</v>
      </c>
      <c r="C1033" t="s">
        <v>26</v>
      </c>
      <c r="D1033" t="s">
        <v>49</v>
      </c>
      <c r="E1033" s="36">
        <v>45670</v>
      </c>
      <c r="F1033" t="s">
        <v>14</v>
      </c>
      <c r="G1033">
        <v>2</v>
      </c>
      <c r="H1033">
        <v>18500</v>
      </c>
      <c r="I1033">
        <v>34280</v>
      </c>
      <c r="J1033">
        <v>4114</v>
      </c>
    </row>
    <row r="1034" spans="1:10" x14ac:dyDescent="0.3">
      <c r="A1034" t="s">
        <v>41</v>
      </c>
      <c r="B1034" t="s">
        <v>29</v>
      </c>
      <c r="C1034" t="s">
        <v>26</v>
      </c>
      <c r="D1034" t="s">
        <v>106</v>
      </c>
      <c r="E1034" s="36">
        <v>45937</v>
      </c>
      <c r="F1034" t="s">
        <v>33</v>
      </c>
      <c r="G1034">
        <v>2</v>
      </c>
      <c r="H1034">
        <v>45000</v>
      </c>
      <c r="I1034">
        <v>97563</v>
      </c>
      <c r="J1034">
        <v>17561</v>
      </c>
    </row>
    <row r="1035" spans="1:10" x14ac:dyDescent="0.3">
      <c r="A1035" t="s">
        <v>37</v>
      </c>
      <c r="B1035" t="s">
        <v>29</v>
      </c>
      <c r="C1035" t="s">
        <v>26</v>
      </c>
      <c r="D1035" t="s">
        <v>50</v>
      </c>
      <c r="E1035" s="36">
        <v>45925</v>
      </c>
      <c r="F1035" t="s">
        <v>36</v>
      </c>
      <c r="G1035">
        <v>7</v>
      </c>
      <c r="H1035">
        <v>55000</v>
      </c>
      <c r="I1035">
        <v>408384</v>
      </c>
      <c r="J1035">
        <v>89844</v>
      </c>
    </row>
    <row r="1036" spans="1:10" x14ac:dyDescent="0.3">
      <c r="A1036" t="s">
        <v>41</v>
      </c>
      <c r="B1036" t="s">
        <v>29</v>
      </c>
      <c r="C1036" t="s">
        <v>26</v>
      </c>
      <c r="D1036" t="s">
        <v>108</v>
      </c>
      <c r="E1036" s="36">
        <v>45962</v>
      </c>
      <c r="F1036" t="s">
        <v>33</v>
      </c>
      <c r="G1036">
        <v>2</v>
      </c>
      <c r="H1036">
        <v>45000</v>
      </c>
      <c r="I1036">
        <v>87789</v>
      </c>
      <c r="J1036">
        <v>15802</v>
      </c>
    </row>
    <row r="1037" spans="1:10" x14ac:dyDescent="0.3">
      <c r="A1037" t="s">
        <v>15</v>
      </c>
      <c r="B1037" t="s">
        <v>29</v>
      </c>
      <c r="C1037" t="s">
        <v>26</v>
      </c>
      <c r="D1037" t="s">
        <v>150</v>
      </c>
      <c r="E1037" s="36">
        <v>45776</v>
      </c>
      <c r="F1037" t="s">
        <v>14</v>
      </c>
      <c r="G1037">
        <v>3</v>
      </c>
      <c r="H1037">
        <v>18500</v>
      </c>
      <c r="I1037">
        <v>50375</v>
      </c>
      <c r="J1037">
        <v>6045</v>
      </c>
    </row>
    <row r="1038" spans="1:10" x14ac:dyDescent="0.3">
      <c r="A1038" t="s">
        <v>41</v>
      </c>
      <c r="B1038" t="s">
        <v>29</v>
      </c>
      <c r="C1038" t="s">
        <v>26</v>
      </c>
      <c r="D1038" t="s">
        <v>192</v>
      </c>
      <c r="E1038" s="36">
        <v>45773</v>
      </c>
      <c r="F1038" t="s">
        <v>36</v>
      </c>
      <c r="G1038">
        <v>10</v>
      </c>
      <c r="H1038">
        <v>55000</v>
      </c>
      <c r="I1038">
        <v>532707</v>
      </c>
      <c r="J1038">
        <v>117196</v>
      </c>
    </row>
    <row r="1039" spans="1:10" x14ac:dyDescent="0.3">
      <c r="A1039" t="s">
        <v>15</v>
      </c>
      <c r="B1039" t="s">
        <v>29</v>
      </c>
      <c r="C1039" t="s">
        <v>26</v>
      </c>
      <c r="D1039" t="s">
        <v>136</v>
      </c>
      <c r="E1039" s="36">
        <v>45777</v>
      </c>
      <c r="F1039" t="s">
        <v>33</v>
      </c>
      <c r="G1039">
        <v>4</v>
      </c>
      <c r="H1039">
        <v>45000</v>
      </c>
      <c r="I1039">
        <v>163722</v>
      </c>
      <c r="J1039">
        <v>29470</v>
      </c>
    </row>
    <row r="1040" spans="1:10" x14ac:dyDescent="0.3">
      <c r="A1040" t="s">
        <v>37</v>
      </c>
      <c r="B1040" t="s">
        <v>29</v>
      </c>
      <c r="C1040" t="s">
        <v>26</v>
      </c>
      <c r="D1040" t="s">
        <v>177</v>
      </c>
      <c r="E1040" s="36">
        <v>45967</v>
      </c>
      <c r="F1040" t="s">
        <v>40</v>
      </c>
      <c r="G1040">
        <v>2</v>
      </c>
      <c r="H1040">
        <v>15000</v>
      </c>
      <c r="I1040">
        <v>28710</v>
      </c>
      <c r="J1040">
        <v>2871</v>
      </c>
    </row>
    <row r="1041" spans="1:10" x14ac:dyDescent="0.3">
      <c r="A1041" t="s">
        <v>15</v>
      </c>
      <c r="B1041" t="s">
        <v>29</v>
      </c>
      <c r="C1041" t="s">
        <v>26</v>
      </c>
      <c r="D1041" t="s">
        <v>176</v>
      </c>
      <c r="E1041" s="36">
        <v>45765</v>
      </c>
      <c r="F1041" t="s">
        <v>14</v>
      </c>
      <c r="G1041">
        <v>1</v>
      </c>
      <c r="H1041">
        <v>18500</v>
      </c>
      <c r="I1041">
        <v>18642</v>
      </c>
      <c r="J1041">
        <v>2237</v>
      </c>
    </row>
    <row r="1042" spans="1:10" x14ac:dyDescent="0.3">
      <c r="A1042" t="s">
        <v>41</v>
      </c>
      <c r="B1042" t="s">
        <v>29</v>
      </c>
      <c r="C1042" t="s">
        <v>26</v>
      </c>
      <c r="D1042" t="s">
        <v>180</v>
      </c>
      <c r="E1042" s="36">
        <v>45743</v>
      </c>
      <c r="F1042" t="s">
        <v>36</v>
      </c>
      <c r="G1042">
        <v>10</v>
      </c>
      <c r="H1042">
        <v>55000</v>
      </c>
      <c r="I1042">
        <v>557880</v>
      </c>
      <c r="J1042">
        <v>122734</v>
      </c>
    </row>
    <row r="1043" spans="1:10" x14ac:dyDescent="0.3">
      <c r="A1043" t="s">
        <v>41</v>
      </c>
      <c r="B1043" t="s">
        <v>29</v>
      </c>
      <c r="C1043" t="s">
        <v>26</v>
      </c>
      <c r="D1043" t="s">
        <v>120</v>
      </c>
      <c r="E1043" s="36">
        <v>45841</v>
      </c>
      <c r="F1043" t="s">
        <v>14</v>
      </c>
      <c r="G1043">
        <v>9</v>
      </c>
      <c r="H1043">
        <v>18500</v>
      </c>
      <c r="I1043">
        <v>177447</v>
      </c>
      <c r="J1043">
        <v>21294</v>
      </c>
    </row>
    <row r="1044" spans="1:10" x14ac:dyDescent="0.3">
      <c r="A1044" t="s">
        <v>37</v>
      </c>
      <c r="B1044" t="s">
        <v>29</v>
      </c>
      <c r="C1044" t="s">
        <v>26</v>
      </c>
      <c r="D1044" t="s">
        <v>241</v>
      </c>
      <c r="E1044" s="36">
        <v>46018</v>
      </c>
      <c r="F1044" t="s">
        <v>33</v>
      </c>
      <c r="G1044">
        <v>8</v>
      </c>
      <c r="H1044">
        <v>45000</v>
      </c>
      <c r="I1044">
        <v>366127</v>
      </c>
      <c r="J1044">
        <v>65903</v>
      </c>
    </row>
    <row r="1045" spans="1:10" x14ac:dyDescent="0.3">
      <c r="A1045" t="s">
        <v>18</v>
      </c>
      <c r="B1045" t="s">
        <v>29</v>
      </c>
      <c r="C1045" t="s">
        <v>26</v>
      </c>
      <c r="D1045" t="s">
        <v>262</v>
      </c>
      <c r="E1045" s="36">
        <v>45927</v>
      </c>
      <c r="F1045" t="s">
        <v>40</v>
      </c>
      <c r="G1045">
        <v>7</v>
      </c>
      <c r="H1045">
        <v>15000</v>
      </c>
      <c r="I1045">
        <v>104903</v>
      </c>
      <c r="J1045">
        <v>10490</v>
      </c>
    </row>
    <row r="1046" spans="1:10" x14ac:dyDescent="0.3">
      <c r="A1046" t="s">
        <v>41</v>
      </c>
      <c r="B1046" t="s">
        <v>29</v>
      </c>
      <c r="C1046" t="s">
        <v>26</v>
      </c>
      <c r="D1046" t="s">
        <v>75</v>
      </c>
      <c r="E1046" s="36">
        <v>46013</v>
      </c>
      <c r="F1046" t="s">
        <v>36</v>
      </c>
      <c r="G1046">
        <v>4</v>
      </c>
      <c r="H1046">
        <v>55000</v>
      </c>
      <c r="I1046">
        <v>231021</v>
      </c>
      <c r="J1046">
        <v>50825</v>
      </c>
    </row>
    <row r="1047" spans="1:10" x14ac:dyDescent="0.3">
      <c r="A1047" t="s">
        <v>37</v>
      </c>
      <c r="B1047" t="s">
        <v>29</v>
      </c>
      <c r="C1047" t="s">
        <v>26</v>
      </c>
      <c r="D1047" t="s">
        <v>137</v>
      </c>
      <c r="E1047" s="36">
        <v>45882</v>
      </c>
      <c r="F1047" t="s">
        <v>36</v>
      </c>
      <c r="G1047">
        <v>5</v>
      </c>
      <c r="H1047">
        <v>55000</v>
      </c>
      <c r="I1047">
        <v>255457</v>
      </c>
      <c r="J1047">
        <v>56201</v>
      </c>
    </row>
    <row r="1048" spans="1:10" x14ac:dyDescent="0.3">
      <c r="A1048" t="s">
        <v>15</v>
      </c>
      <c r="B1048" t="s">
        <v>29</v>
      </c>
      <c r="C1048" t="s">
        <v>26</v>
      </c>
      <c r="D1048" t="s">
        <v>117</v>
      </c>
      <c r="E1048" s="36">
        <v>46021</v>
      </c>
      <c r="F1048" t="s">
        <v>33</v>
      </c>
      <c r="G1048">
        <v>3</v>
      </c>
      <c r="H1048">
        <v>45000</v>
      </c>
      <c r="I1048">
        <v>139411</v>
      </c>
      <c r="J1048">
        <v>25094</v>
      </c>
    </row>
    <row r="1049" spans="1:10" x14ac:dyDescent="0.3">
      <c r="A1049" t="s">
        <v>37</v>
      </c>
      <c r="B1049" t="s">
        <v>29</v>
      </c>
      <c r="C1049" t="s">
        <v>26</v>
      </c>
      <c r="D1049" t="s">
        <v>128</v>
      </c>
      <c r="E1049" s="36">
        <v>45987</v>
      </c>
      <c r="F1049" t="s">
        <v>33</v>
      </c>
      <c r="G1049">
        <v>1</v>
      </c>
      <c r="H1049">
        <v>45000</v>
      </c>
      <c r="I1049">
        <v>48808</v>
      </c>
      <c r="J1049">
        <v>8785</v>
      </c>
    </row>
    <row r="1050" spans="1:10" x14ac:dyDescent="0.3">
      <c r="A1050" t="s">
        <v>15</v>
      </c>
      <c r="B1050" t="s">
        <v>29</v>
      </c>
      <c r="C1050" t="s">
        <v>26</v>
      </c>
      <c r="D1050" t="s">
        <v>214</v>
      </c>
      <c r="E1050" s="36">
        <v>46019</v>
      </c>
      <c r="F1050" t="s">
        <v>33</v>
      </c>
      <c r="G1050">
        <v>7</v>
      </c>
      <c r="H1050">
        <v>45000</v>
      </c>
      <c r="I1050">
        <v>326992</v>
      </c>
      <c r="J1050">
        <v>58859</v>
      </c>
    </row>
    <row r="1051" spans="1:10" x14ac:dyDescent="0.3">
      <c r="A1051" t="s">
        <v>15</v>
      </c>
      <c r="B1051" t="s">
        <v>29</v>
      </c>
      <c r="C1051" t="s">
        <v>26</v>
      </c>
      <c r="D1051" t="s">
        <v>206</v>
      </c>
      <c r="E1051" s="36">
        <v>45889</v>
      </c>
      <c r="F1051" t="s">
        <v>36</v>
      </c>
      <c r="G1051">
        <v>9</v>
      </c>
      <c r="H1051">
        <v>55000</v>
      </c>
      <c r="I1051">
        <v>513520</v>
      </c>
      <c r="J1051">
        <v>112974</v>
      </c>
    </row>
    <row r="1052" spans="1:10" x14ac:dyDescent="0.3">
      <c r="A1052" t="s">
        <v>15</v>
      </c>
      <c r="B1052" t="s">
        <v>29</v>
      </c>
      <c r="C1052" t="s">
        <v>26</v>
      </c>
      <c r="D1052" t="s">
        <v>82</v>
      </c>
      <c r="E1052" s="36">
        <v>45870</v>
      </c>
      <c r="F1052" t="s">
        <v>14</v>
      </c>
      <c r="G1052">
        <v>6</v>
      </c>
      <c r="H1052">
        <v>18500</v>
      </c>
      <c r="I1052">
        <v>109933</v>
      </c>
      <c r="J1052">
        <v>13192</v>
      </c>
    </row>
    <row r="1053" spans="1:10" x14ac:dyDescent="0.3">
      <c r="A1053" t="s">
        <v>10</v>
      </c>
      <c r="B1053" t="s">
        <v>29</v>
      </c>
      <c r="C1053" t="s">
        <v>26</v>
      </c>
      <c r="D1053" t="s">
        <v>124</v>
      </c>
      <c r="E1053" s="36">
        <v>45993</v>
      </c>
      <c r="F1053" t="s">
        <v>14</v>
      </c>
      <c r="G1053">
        <v>3</v>
      </c>
      <c r="H1053">
        <v>18500</v>
      </c>
      <c r="I1053">
        <v>50561</v>
      </c>
      <c r="J1053">
        <v>6067</v>
      </c>
    </row>
    <row r="1054" spans="1:10" x14ac:dyDescent="0.3">
      <c r="A1054" t="s">
        <v>41</v>
      </c>
      <c r="B1054" t="s">
        <v>29</v>
      </c>
      <c r="C1054" t="s">
        <v>26</v>
      </c>
      <c r="D1054" t="s">
        <v>228</v>
      </c>
      <c r="E1054" s="36">
        <v>45897</v>
      </c>
      <c r="F1054" t="s">
        <v>33</v>
      </c>
      <c r="G1054">
        <v>3</v>
      </c>
      <c r="H1054">
        <v>45000</v>
      </c>
      <c r="I1054">
        <v>144633</v>
      </c>
      <c r="J1054">
        <v>26034</v>
      </c>
    </row>
    <row r="1055" spans="1:10" x14ac:dyDescent="0.3">
      <c r="A1055" t="s">
        <v>18</v>
      </c>
      <c r="B1055" t="s">
        <v>29</v>
      </c>
      <c r="C1055" t="s">
        <v>26</v>
      </c>
      <c r="D1055" t="s">
        <v>244</v>
      </c>
      <c r="E1055" s="36">
        <v>45842</v>
      </c>
      <c r="F1055" t="s">
        <v>33</v>
      </c>
      <c r="G1055">
        <v>9</v>
      </c>
      <c r="H1055">
        <v>45000</v>
      </c>
      <c r="I1055">
        <v>397927</v>
      </c>
      <c r="J1055">
        <v>71627</v>
      </c>
    </row>
    <row r="1056" spans="1:10" x14ac:dyDescent="0.3">
      <c r="A1056" t="s">
        <v>15</v>
      </c>
      <c r="B1056" t="s">
        <v>29</v>
      </c>
      <c r="C1056" t="s">
        <v>26</v>
      </c>
      <c r="D1056" t="s">
        <v>245</v>
      </c>
      <c r="E1056" s="36">
        <v>45695</v>
      </c>
      <c r="F1056" t="s">
        <v>40</v>
      </c>
      <c r="G1056">
        <v>8</v>
      </c>
      <c r="H1056">
        <v>15000</v>
      </c>
      <c r="I1056">
        <v>123821</v>
      </c>
      <c r="J1056">
        <v>12382</v>
      </c>
    </row>
    <row r="1057" spans="1:10" x14ac:dyDescent="0.3">
      <c r="A1057" t="s">
        <v>10</v>
      </c>
      <c r="B1057" t="s">
        <v>29</v>
      </c>
      <c r="C1057" t="s">
        <v>26</v>
      </c>
      <c r="D1057" t="s">
        <v>125</v>
      </c>
      <c r="E1057" s="36">
        <v>45658</v>
      </c>
      <c r="F1057" t="s">
        <v>14</v>
      </c>
      <c r="G1057">
        <v>7</v>
      </c>
      <c r="H1057">
        <v>18500</v>
      </c>
      <c r="I1057">
        <v>136901</v>
      </c>
      <c r="J1057">
        <v>16428</v>
      </c>
    </row>
    <row r="1058" spans="1:10" x14ac:dyDescent="0.3">
      <c r="A1058" t="s">
        <v>41</v>
      </c>
      <c r="B1058" t="s">
        <v>29</v>
      </c>
      <c r="C1058" t="s">
        <v>26</v>
      </c>
      <c r="D1058" t="s">
        <v>250</v>
      </c>
      <c r="E1058" s="36">
        <v>45831</v>
      </c>
      <c r="F1058" t="s">
        <v>33</v>
      </c>
      <c r="G1058">
        <v>7</v>
      </c>
      <c r="H1058">
        <v>45000</v>
      </c>
      <c r="I1058">
        <v>286855</v>
      </c>
      <c r="J1058">
        <v>51634</v>
      </c>
    </row>
    <row r="1059" spans="1:10" x14ac:dyDescent="0.3">
      <c r="A1059" t="s">
        <v>15</v>
      </c>
      <c r="B1059" t="s">
        <v>29</v>
      </c>
      <c r="C1059" t="s">
        <v>26</v>
      </c>
      <c r="D1059" t="s">
        <v>255</v>
      </c>
      <c r="E1059" s="36">
        <v>45897</v>
      </c>
      <c r="F1059" t="s">
        <v>40</v>
      </c>
      <c r="G1059">
        <v>5</v>
      </c>
      <c r="H1059">
        <v>15000</v>
      </c>
      <c r="I1059">
        <v>78002</v>
      </c>
      <c r="J1059">
        <v>7800</v>
      </c>
    </row>
    <row r="1060" spans="1:10" x14ac:dyDescent="0.3">
      <c r="A1060" t="s">
        <v>15</v>
      </c>
      <c r="B1060" t="s">
        <v>29</v>
      </c>
      <c r="C1060" t="s">
        <v>26</v>
      </c>
      <c r="D1060" t="s">
        <v>244</v>
      </c>
      <c r="E1060" s="36">
        <v>45946</v>
      </c>
      <c r="F1060" t="s">
        <v>33</v>
      </c>
      <c r="G1060">
        <v>2</v>
      </c>
      <c r="H1060">
        <v>45000</v>
      </c>
      <c r="I1060">
        <v>89990</v>
      </c>
      <c r="J1060">
        <v>16198</v>
      </c>
    </row>
    <row r="1061" spans="1:10" x14ac:dyDescent="0.3">
      <c r="A1061" t="s">
        <v>37</v>
      </c>
      <c r="B1061" t="s">
        <v>29</v>
      </c>
      <c r="C1061" t="s">
        <v>26</v>
      </c>
      <c r="D1061" t="s">
        <v>248</v>
      </c>
      <c r="E1061" s="36">
        <v>45943</v>
      </c>
      <c r="F1061" t="s">
        <v>33</v>
      </c>
      <c r="G1061">
        <v>10</v>
      </c>
      <c r="H1061">
        <v>45000</v>
      </c>
      <c r="I1061">
        <v>428923</v>
      </c>
      <c r="J1061">
        <v>77206</v>
      </c>
    </row>
    <row r="1062" spans="1:10" x14ac:dyDescent="0.3">
      <c r="A1062" t="s">
        <v>15</v>
      </c>
      <c r="B1062" t="s">
        <v>29</v>
      </c>
      <c r="C1062" t="s">
        <v>26</v>
      </c>
      <c r="D1062" t="s">
        <v>256</v>
      </c>
      <c r="E1062" s="36">
        <v>45894</v>
      </c>
      <c r="F1062" t="s">
        <v>33</v>
      </c>
      <c r="G1062">
        <v>1</v>
      </c>
      <c r="H1062">
        <v>45000</v>
      </c>
      <c r="I1062">
        <v>41640</v>
      </c>
      <c r="J1062">
        <v>7495</v>
      </c>
    </row>
    <row r="1063" spans="1:10" x14ac:dyDescent="0.3">
      <c r="A1063" t="s">
        <v>41</v>
      </c>
      <c r="B1063" t="s">
        <v>29</v>
      </c>
      <c r="C1063" t="s">
        <v>26</v>
      </c>
      <c r="D1063" t="s">
        <v>79</v>
      </c>
      <c r="E1063" s="36">
        <v>45981</v>
      </c>
      <c r="F1063" t="s">
        <v>36</v>
      </c>
      <c r="G1063">
        <v>2</v>
      </c>
      <c r="H1063">
        <v>55000</v>
      </c>
      <c r="I1063">
        <v>116831</v>
      </c>
      <c r="J1063">
        <v>25703</v>
      </c>
    </row>
    <row r="1064" spans="1:10" x14ac:dyDescent="0.3">
      <c r="A1064" t="s">
        <v>37</v>
      </c>
      <c r="B1064" t="s">
        <v>29</v>
      </c>
      <c r="C1064" t="s">
        <v>26</v>
      </c>
      <c r="D1064" t="s">
        <v>50</v>
      </c>
      <c r="E1064" s="36">
        <v>45745</v>
      </c>
      <c r="F1064" t="s">
        <v>36</v>
      </c>
      <c r="G1064">
        <v>3</v>
      </c>
      <c r="H1064">
        <v>55000</v>
      </c>
      <c r="I1064">
        <v>152527</v>
      </c>
      <c r="J1064">
        <v>33556</v>
      </c>
    </row>
    <row r="1065" spans="1:10" x14ac:dyDescent="0.3">
      <c r="A1065" t="s">
        <v>15</v>
      </c>
      <c r="B1065" t="s">
        <v>29</v>
      </c>
      <c r="C1065" t="s">
        <v>26</v>
      </c>
      <c r="D1065" t="s">
        <v>262</v>
      </c>
      <c r="E1065" s="36">
        <v>45803</v>
      </c>
      <c r="F1065" t="s">
        <v>33</v>
      </c>
      <c r="G1065">
        <v>9</v>
      </c>
      <c r="H1065">
        <v>45000</v>
      </c>
      <c r="I1065">
        <v>372916</v>
      </c>
      <c r="J1065">
        <v>67125</v>
      </c>
    </row>
    <row r="1066" spans="1:10" x14ac:dyDescent="0.3">
      <c r="A1066" t="s">
        <v>18</v>
      </c>
      <c r="B1066" t="s">
        <v>29</v>
      </c>
      <c r="C1066" t="s">
        <v>26</v>
      </c>
      <c r="D1066" t="s">
        <v>122</v>
      </c>
      <c r="E1066" s="36">
        <v>45694</v>
      </c>
      <c r="F1066" t="s">
        <v>14</v>
      </c>
      <c r="G1066">
        <v>6</v>
      </c>
      <c r="H1066">
        <v>18500</v>
      </c>
      <c r="I1066">
        <v>111194</v>
      </c>
      <c r="J1066">
        <v>13343</v>
      </c>
    </row>
    <row r="1067" spans="1:10" x14ac:dyDescent="0.3">
      <c r="A1067" t="s">
        <v>37</v>
      </c>
      <c r="B1067" t="s">
        <v>29</v>
      </c>
      <c r="C1067" t="s">
        <v>26</v>
      </c>
      <c r="D1067" t="s">
        <v>256</v>
      </c>
      <c r="E1067" s="36">
        <v>45845</v>
      </c>
      <c r="F1067" t="s">
        <v>40</v>
      </c>
      <c r="G1067">
        <v>5</v>
      </c>
      <c r="H1067">
        <v>15000</v>
      </c>
      <c r="I1067">
        <v>73663</v>
      </c>
      <c r="J1067">
        <v>7366</v>
      </c>
    </row>
    <row r="1068" spans="1:10" x14ac:dyDescent="0.3">
      <c r="A1068" t="s">
        <v>37</v>
      </c>
      <c r="B1068" t="s">
        <v>46</v>
      </c>
      <c r="C1068" t="s">
        <v>26</v>
      </c>
      <c r="D1068" t="s">
        <v>47</v>
      </c>
      <c r="E1068" s="36">
        <v>45948</v>
      </c>
      <c r="F1068" t="s">
        <v>14</v>
      </c>
      <c r="G1068">
        <v>2</v>
      </c>
      <c r="H1068">
        <v>18500</v>
      </c>
      <c r="I1068">
        <v>33418</v>
      </c>
      <c r="J1068">
        <v>4010</v>
      </c>
    </row>
    <row r="1069" spans="1:10" x14ac:dyDescent="0.3">
      <c r="A1069" t="s">
        <v>10</v>
      </c>
      <c r="B1069" t="s">
        <v>46</v>
      </c>
      <c r="C1069" t="s">
        <v>26</v>
      </c>
      <c r="D1069" t="s">
        <v>91</v>
      </c>
      <c r="E1069" s="36">
        <v>45818</v>
      </c>
      <c r="F1069" t="s">
        <v>40</v>
      </c>
      <c r="G1069">
        <v>5</v>
      </c>
      <c r="H1069">
        <v>15000</v>
      </c>
      <c r="I1069">
        <v>74995</v>
      </c>
      <c r="J1069">
        <v>7500</v>
      </c>
    </row>
    <row r="1070" spans="1:10" x14ac:dyDescent="0.3">
      <c r="A1070" t="s">
        <v>15</v>
      </c>
      <c r="B1070" t="s">
        <v>46</v>
      </c>
      <c r="C1070" t="s">
        <v>26</v>
      </c>
      <c r="D1070" t="s">
        <v>107</v>
      </c>
      <c r="E1070" s="36">
        <v>45743</v>
      </c>
      <c r="F1070" t="s">
        <v>36</v>
      </c>
      <c r="G1070">
        <v>1</v>
      </c>
      <c r="H1070">
        <v>55000</v>
      </c>
      <c r="I1070">
        <v>53470</v>
      </c>
      <c r="J1070">
        <v>11763</v>
      </c>
    </row>
    <row r="1071" spans="1:10" x14ac:dyDescent="0.3">
      <c r="A1071" t="s">
        <v>15</v>
      </c>
      <c r="B1071" t="s">
        <v>46</v>
      </c>
      <c r="C1071" t="s">
        <v>26</v>
      </c>
      <c r="D1071" t="s">
        <v>111</v>
      </c>
      <c r="E1071" s="36">
        <v>45923</v>
      </c>
      <c r="F1071" t="s">
        <v>33</v>
      </c>
      <c r="G1071">
        <v>10</v>
      </c>
      <c r="H1071">
        <v>45000</v>
      </c>
      <c r="I1071">
        <v>435035</v>
      </c>
      <c r="J1071">
        <v>78306</v>
      </c>
    </row>
    <row r="1072" spans="1:10" x14ac:dyDescent="0.3">
      <c r="A1072" t="s">
        <v>10</v>
      </c>
      <c r="B1072" t="s">
        <v>46</v>
      </c>
      <c r="C1072" t="s">
        <v>26</v>
      </c>
      <c r="D1072" t="s">
        <v>71</v>
      </c>
      <c r="E1072" s="36">
        <v>45780</v>
      </c>
      <c r="F1072" t="s">
        <v>14</v>
      </c>
      <c r="G1072">
        <v>8</v>
      </c>
      <c r="H1072">
        <v>18500</v>
      </c>
      <c r="I1072">
        <v>154309</v>
      </c>
      <c r="J1072">
        <v>18517</v>
      </c>
    </row>
    <row r="1073" spans="1:10" x14ac:dyDescent="0.3">
      <c r="A1073" t="s">
        <v>41</v>
      </c>
      <c r="B1073" t="s">
        <v>46</v>
      </c>
      <c r="C1073" t="s">
        <v>26</v>
      </c>
      <c r="D1073" t="s">
        <v>140</v>
      </c>
      <c r="E1073" s="36">
        <v>45867</v>
      </c>
      <c r="F1073" t="s">
        <v>33</v>
      </c>
      <c r="G1073">
        <v>10</v>
      </c>
      <c r="H1073">
        <v>45000</v>
      </c>
      <c r="I1073">
        <v>440982</v>
      </c>
      <c r="J1073">
        <v>79377</v>
      </c>
    </row>
    <row r="1074" spans="1:10" x14ac:dyDescent="0.3">
      <c r="A1074" t="s">
        <v>41</v>
      </c>
      <c r="B1074" t="s">
        <v>46</v>
      </c>
      <c r="C1074" t="s">
        <v>26</v>
      </c>
      <c r="D1074" t="s">
        <v>103</v>
      </c>
      <c r="E1074" s="36">
        <v>45972</v>
      </c>
      <c r="F1074" t="s">
        <v>33</v>
      </c>
      <c r="G1074">
        <v>9</v>
      </c>
      <c r="H1074">
        <v>45000</v>
      </c>
      <c r="I1074">
        <v>399093</v>
      </c>
      <c r="J1074">
        <v>71837</v>
      </c>
    </row>
    <row r="1075" spans="1:10" x14ac:dyDescent="0.3">
      <c r="A1075" t="s">
        <v>37</v>
      </c>
      <c r="B1075" t="s">
        <v>46</v>
      </c>
      <c r="C1075" t="s">
        <v>26</v>
      </c>
      <c r="D1075" t="s">
        <v>92</v>
      </c>
      <c r="E1075" s="36">
        <v>45905</v>
      </c>
      <c r="F1075" t="s">
        <v>14</v>
      </c>
      <c r="G1075">
        <v>7</v>
      </c>
      <c r="H1075">
        <v>18500</v>
      </c>
      <c r="I1075">
        <v>132274</v>
      </c>
      <c r="J1075">
        <v>15873</v>
      </c>
    </row>
    <row r="1076" spans="1:10" x14ac:dyDescent="0.3">
      <c r="A1076" t="s">
        <v>15</v>
      </c>
      <c r="B1076" t="s">
        <v>46</v>
      </c>
      <c r="C1076" t="s">
        <v>26</v>
      </c>
      <c r="D1076" t="s">
        <v>139</v>
      </c>
      <c r="E1076" s="36">
        <v>45779</v>
      </c>
      <c r="F1076" t="s">
        <v>36</v>
      </c>
      <c r="G1076">
        <v>6</v>
      </c>
      <c r="H1076">
        <v>55000</v>
      </c>
      <c r="I1076">
        <v>305862</v>
      </c>
      <c r="J1076">
        <v>67290</v>
      </c>
    </row>
    <row r="1077" spans="1:10" x14ac:dyDescent="0.3">
      <c r="A1077" t="s">
        <v>10</v>
      </c>
      <c r="B1077" t="s">
        <v>46</v>
      </c>
      <c r="C1077" t="s">
        <v>26</v>
      </c>
      <c r="D1077" t="s">
        <v>133</v>
      </c>
      <c r="E1077" s="36">
        <v>45880</v>
      </c>
      <c r="F1077" t="s">
        <v>36</v>
      </c>
      <c r="G1077">
        <v>9</v>
      </c>
      <c r="H1077">
        <v>55000</v>
      </c>
      <c r="I1077">
        <v>519717</v>
      </c>
      <c r="J1077">
        <v>114338</v>
      </c>
    </row>
    <row r="1078" spans="1:10" x14ac:dyDescent="0.3">
      <c r="A1078" t="s">
        <v>10</v>
      </c>
      <c r="B1078" t="s">
        <v>46</v>
      </c>
      <c r="C1078" t="s">
        <v>26</v>
      </c>
      <c r="D1078" t="s">
        <v>166</v>
      </c>
      <c r="E1078" s="36">
        <v>45904</v>
      </c>
      <c r="F1078" t="s">
        <v>14</v>
      </c>
      <c r="G1078">
        <v>4</v>
      </c>
      <c r="H1078">
        <v>18500</v>
      </c>
      <c r="I1078">
        <v>76807</v>
      </c>
      <c r="J1078">
        <v>9217</v>
      </c>
    </row>
    <row r="1079" spans="1:10" x14ac:dyDescent="0.3">
      <c r="A1079" t="s">
        <v>37</v>
      </c>
      <c r="B1079" t="s">
        <v>46</v>
      </c>
      <c r="C1079" t="s">
        <v>26</v>
      </c>
      <c r="D1079" t="s">
        <v>126</v>
      </c>
      <c r="E1079" s="36">
        <v>45862</v>
      </c>
      <c r="F1079" t="s">
        <v>40</v>
      </c>
      <c r="G1079">
        <v>1</v>
      </c>
      <c r="H1079">
        <v>15000</v>
      </c>
      <c r="I1079">
        <v>14860</v>
      </c>
      <c r="J1079">
        <v>1486</v>
      </c>
    </row>
    <row r="1080" spans="1:10" x14ac:dyDescent="0.3">
      <c r="A1080" t="s">
        <v>37</v>
      </c>
      <c r="B1080" t="s">
        <v>46</v>
      </c>
      <c r="C1080" t="s">
        <v>26</v>
      </c>
      <c r="D1080" t="s">
        <v>185</v>
      </c>
      <c r="E1080" s="36">
        <v>45858</v>
      </c>
      <c r="F1080" t="s">
        <v>36</v>
      </c>
      <c r="G1080">
        <v>8</v>
      </c>
      <c r="H1080">
        <v>55000</v>
      </c>
      <c r="I1080">
        <v>432093</v>
      </c>
      <c r="J1080">
        <v>95060</v>
      </c>
    </row>
    <row r="1081" spans="1:10" x14ac:dyDescent="0.3">
      <c r="A1081" t="s">
        <v>10</v>
      </c>
      <c r="B1081" t="s">
        <v>46</v>
      </c>
      <c r="C1081" t="s">
        <v>26</v>
      </c>
      <c r="D1081" t="s">
        <v>111</v>
      </c>
      <c r="E1081" s="36">
        <v>45882</v>
      </c>
      <c r="F1081" t="s">
        <v>40</v>
      </c>
      <c r="G1081">
        <v>2</v>
      </c>
      <c r="H1081">
        <v>15000</v>
      </c>
      <c r="I1081">
        <v>31104</v>
      </c>
      <c r="J1081">
        <v>3110</v>
      </c>
    </row>
    <row r="1082" spans="1:10" x14ac:dyDescent="0.3">
      <c r="A1082" t="s">
        <v>18</v>
      </c>
      <c r="B1082" t="s">
        <v>46</v>
      </c>
      <c r="C1082" t="s">
        <v>26</v>
      </c>
      <c r="D1082" t="s">
        <v>196</v>
      </c>
      <c r="E1082" s="36">
        <v>46015</v>
      </c>
      <c r="F1082" t="s">
        <v>14</v>
      </c>
      <c r="G1082">
        <v>8</v>
      </c>
      <c r="H1082">
        <v>18500</v>
      </c>
      <c r="I1082">
        <v>142519</v>
      </c>
      <c r="J1082">
        <v>17102</v>
      </c>
    </row>
    <row r="1083" spans="1:10" x14ac:dyDescent="0.3">
      <c r="A1083" t="s">
        <v>37</v>
      </c>
      <c r="B1083" t="s">
        <v>46</v>
      </c>
      <c r="C1083" t="s">
        <v>26</v>
      </c>
      <c r="D1083" t="s">
        <v>111</v>
      </c>
      <c r="E1083" s="36">
        <v>45928</v>
      </c>
      <c r="F1083" t="s">
        <v>14</v>
      </c>
      <c r="G1083">
        <v>5</v>
      </c>
      <c r="H1083">
        <v>18500</v>
      </c>
      <c r="I1083">
        <v>100853</v>
      </c>
      <c r="J1083">
        <v>12102</v>
      </c>
    </row>
    <row r="1084" spans="1:10" x14ac:dyDescent="0.3">
      <c r="A1084" t="s">
        <v>10</v>
      </c>
      <c r="B1084" t="s">
        <v>46</v>
      </c>
      <c r="C1084" t="s">
        <v>26</v>
      </c>
      <c r="D1084" t="s">
        <v>138</v>
      </c>
      <c r="E1084" s="36">
        <v>45853</v>
      </c>
      <c r="F1084" t="s">
        <v>36</v>
      </c>
      <c r="G1084">
        <v>4</v>
      </c>
      <c r="H1084">
        <v>55000</v>
      </c>
      <c r="I1084">
        <v>218021</v>
      </c>
      <c r="J1084">
        <v>47965</v>
      </c>
    </row>
    <row r="1085" spans="1:10" x14ac:dyDescent="0.3">
      <c r="A1085" t="s">
        <v>37</v>
      </c>
      <c r="B1085" t="s">
        <v>46</v>
      </c>
      <c r="C1085" t="s">
        <v>26</v>
      </c>
      <c r="D1085" t="s">
        <v>113</v>
      </c>
      <c r="E1085" s="36">
        <v>46006</v>
      </c>
      <c r="F1085" t="s">
        <v>40</v>
      </c>
      <c r="G1085">
        <v>4</v>
      </c>
      <c r="H1085">
        <v>15000</v>
      </c>
      <c r="I1085">
        <v>63317</v>
      </c>
      <c r="J1085">
        <v>6332</v>
      </c>
    </row>
    <row r="1086" spans="1:10" x14ac:dyDescent="0.3">
      <c r="A1086" t="s">
        <v>18</v>
      </c>
      <c r="B1086" t="s">
        <v>46</v>
      </c>
      <c r="C1086" t="s">
        <v>26</v>
      </c>
      <c r="D1086" t="s">
        <v>58</v>
      </c>
      <c r="E1086" s="36">
        <v>45824</v>
      </c>
      <c r="F1086" t="s">
        <v>33</v>
      </c>
      <c r="G1086">
        <v>9</v>
      </c>
      <c r="H1086">
        <v>45000</v>
      </c>
      <c r="I1086">
        <v>443447</v>
      </c>
      <c r="J1086">
        <v>79820</v>
      </c>
    </row>
    <row r="1087" spans="1:10" x14ac:dyDescent="0.3">
      <c r="A1087" t="s">
        <v>15</v>
      </c>
      <c r="B1087" t="s">
        <v>46</v>
      </c>
      <c r="C1087" t="s">
        <v>26</v>
      </c>
      <c r="D1087" t="s">
        <v>30</v>
      </c>
      <c r="E1087" s="36">
        <v>45905</v>
      </c>
      <c r="F1087" t="s">
        <v>36</v>
      </c>
      <c r="G1087">
        <v>3</v>
      </c>
      <c r="H1087">
        <v>55000</v>
      </c>
      <c r="I1087">
        <v>154406</v>
      </c>
      <c r="J1087">
        <v>33969</v>
      </c>
    </row>
    <row r="1088" spans="1:10" x14ac:dyDescent="0.3">
      <c r="A1088" t="s">
        <v>10</v>
      </c>
      <c r="B1088" t="s">
        <v>46</v>
      </c>
      <c r="C1088" t="s">
        <v>26</v>
      </c>
      <c r="D1088" t="s">
        <v>214</v>
      </c>
      <c r="E1088" s="36">
        <v>45788</v>
      </c>
      <c r="F1088" t="s">
        <v>33</v>
      </c>
      <c r="G1088">
        <v>7</v>
      </c>
      <c r="H1088">
        <v>45000</v>
      </c>
      <c r="I1088">
        <v>332761</v>
      </c>
      <c r="J1088">
        <v>59897</v>
      </c>
    </row>
    <row r="1089" spans="1:10" x14ac:dyDescent="0.3">
      <c r="A1089" t="s">
        <v>10</v>
      </c>
      <c r="B1089" t="s">
        <v>46</v>
      </c>
      <c r="C1089" t="s">
        <v>26</v>
      </c>
      <c r="D1089" t="s">
        <v>221</v>
      </c>
      <c r="E1089" s="36">
        <v>45887</v>
      </c>
      <c r="F1089" t="s">
        <v>36</v>
      </c>
      <c r="G1089">
        <v>9</v>
      </c>
      <c r="H1089">
        <v>55000</v>
      </c>
      <c r="I1089">
        <v>482806</v>
      </c>
      <c r="J1089">
        <v>106217</v>
      </c>
    </row>
    <row r="1090" spans="1:10" x14ac:dyDescent="0.3">
      <c r="A1090" t="s">
        <v>18</v>
      </c>
      <c r="B1090" t="s">
        <v>46</v>
      </c>
      <c r="C1090" t="s">
        <v>26</v>
      </c>
      <c r="D1090" t="s">
        <v>97</v>
      </c>
      <c r="E1090" s="36">
        <v>45733</v>
      </c>
      <c r="F1090" t="s">
        <v>36</v>
      </c>
      <c r="G1090">
        <v>2</v>
      </c>
      <c r="H1090">
        <v>55000</v>
      </c>
      <c r="I1090">
        <v>113640</v>
      </c>
      <c r="J1090">
        <v>25001</v>
      </c>
    </row>
    <row r="1091" spans="1:10" x14ac:dyDescent="0.3">
      <c r="A1091" t="s">
        <v>37</v>
      </c>
      <c r="B1091" t="s">
        <v>46</v>
      </c>
      <c r="C1091" t="s">
        <v>26</v>
      </c>
      <c r="D1091" t="s">
        <v>164</v>
      </c>
      <c r="E1091" s="36">
        <v>45892</v>
      </c>
      <c r="F1091" t="s">
        <v>40</v>
      </c>
      <c r="G1091">
        <v>4</v>
      </c>
      <c r="H1091">
        <v>15000</v>
      </c>
      <c r="I1091">
        <v>57448</v>
      </c>
      <c r="J1091">
        <v>5745</v>
      </c>
    </row>
    <row r="1092" spans="1:10" x14ac:dyDescent="0.3">
      <c r="A1092" t="s">
        <v>15</v>
      </c>
      <c r="B1092" t="s">
        <v>46</v>
      </c>
      <c r="C1092" t="s">
        <v>26</v>
      </c>
      <c r="D1092" t="s">
        <v>161</v>
      </c>
      <c r="E1092" s="36">
        <v>45761</v>
      </c>
      <c r="F1092" t="s">
        <v>36</v>
      </c>
      <c r="G1092">
        <v>8</v>
      </c>
      <c r="H1092">
        <v>55000</v>
      </c>
      <c r="I1092">
        <v>445265</v>
      </c>
      <c r="J1092">
        <v>97958</v>
      </c>
    </row>
    <row r="1093" spans="1:10" x14ac:dyDescent="0.3">
      <c r="A1093" t="s">
        <v>37</v>
      </c>
      <c r="B1093" t="s">
        <v>46</v>
      </c>
      <c r="C1093" t="s">
        <v>26</v>
      </c>
      <c r="D1093" t="s">
        <v>233</v>
      </c>
      <c r="E1093" s="36">
        <v>45986</v>
      </c>
      <c r="F1093" t="s">
        <v>36</v>
      </c>
      <c r="G1093">
        <v>4</v>
      </c>
      <c r="H1093">
        <v>55000</v>
      </c>
      <c r="I1093">
        <v>214185</v>
      </c>
      <c r="J1093">
        <v>47121</v>
      </c>
    </row>
    <row r="1094" spans="1:10" x14ac:dyDescent="0.3">
      <c r="A1094" t="s">
        <v>41</v>
      </c>
      <c r="B1094" t="s">
        <v>46</v>
      </c>
      <c r="C1094" t="s">
        <v>26</v>
      </c>
      <c r="D1094" t="s">
        <v>112</v>
      </c>
      <c r="E1094" s="36">
        <v>45892</v>
      </c>
      <c r="F1094" t="s">
        <v>36</v>
      </c>
      <c r="G1094">
        <v>6</v>
      </c>
      <c r="H1094">
        <v>55000</v>
      </c>
      <c r="I1094">
        <v>315388</v>
      </c>
      <c r="J1094">
        <v>69385</v>
      </c>
    </row>
    <row r="1095" spans="1:10" x14ac:dyDescent="0.3">
      <c r="A1095" t="s">
        <v>41</v>
      </c>
      <c r="B1095" t="s">
        <v>46</v>
      </c>
      <c r="C1095" t="s">
        <v>26</v>
      </c>
      <c r="D1095" t="s">
        <v>17</v>
      </c>
      <c r="E1095" s="36">
        <v>45698</v>
      </c>
      <c r="F1095" t="s">
        <v>40</v>
      </c>
      <c r="G1095">
        <v>2</v>
      </c>
      <c r="H1095">
        <v>15000</v>
      </c>
      <c r="I1095">
        <v>32462</v>
      </c>
      <c r="J1095">
        <v>3246</v>
      </c>
    </row>
    <row r="1096" spans="1:10" x14ac:dyDescent="0.3">
      <c r="A1096" t="s">
        <v>37</v>
      </c>
      <c r="B1096" t="s">
        <v>46</v>
      </c>
      <c r="C1096" t="s">
        <v>26</v>
      </c>
      <c r="D1096" t="s">
        <v>111</v>
      </c>
      <c r="E1096" s="36">
        <v>45737</v>
      </c>
      <c r="F1096" t="s">
        <v>14</v>
      </c>
      <c r="G1096">
        <v>1</v>
      </c>
      <c r="H1096">
        <v>18500</v>
      </c>
      <c r="I1096">
        <v>19124</v>
      </c>
      <c r="J1096">
        <v>2295</v>
      </c>
    </row>
    <row r="1097" spans="1:10" x14ac:dyDescent="0.3">
      <c r="A1097" t="s">
        <v>10</v>
      </c>
      <c r="B1097" t="s">
        <v>46</v>
      </c>
      <c r="C1097" t="s">
        <v>26</v>
      </c>
      <c r="D1097" t="s">
        <v>57</v>
      </c>
      <c r="E1097" s="36">
        <v>45814</v>
      </c>
      <c r="F1097" t="s">
        <v>40</v>
      </c>
      <c r="G1097">
        <v>4</v>
      </c>
      <c r="H1097">
        <v>15000</v>
      </c>
      <c r="I1097">
        <v>61655</v>
      </c>
      <c r="J1097">
        <v>6166</v>
      </c>
    </row>
    <row r="1098" spans="1:10" x14ac:dyDescent="0.3">
      <c r="A1098" t="s">
        <v>15</v>
      </c>
      <c r="B1098" t="s">
        <v>46</v>
      </c>
      <c r="C1098" t="s">
        <v>26</v>
      </c>
      <c r="D1098" t="s">
        <v>30</v>
      </c>
      <c r="E1098" s="36">
        <v>45910</v>
      </c>
      <c r="F1098" t="s">
        <v>36</v>
      </c>
      <c r="G1098">
        <v>3</v>
      </c>
      <c r="H1098">
        <v>55000</v>
      </c>
      <c r="I1098">
        <v>162128</v>
      </c>
      <c r="J1098">
        <v>35668</v>
      </c>
    </row>
    <row r="1099" spans="1:10" x14ac:dyDescent="0.3">
      <c r="A1099" t="s">
        <v>41</v>
      </c>
      <c r="B1099" t="s">
        <v>46</v>
      </c>
      <c r="C1099" t="s">
        <v>26</v>
      </c>
      <c r="D1099" t="s">
        <v>220</v>
      </c>
      <c r="E1099" s="36">
        <v>46004</v>
      </c>
      <c r="F1099" t="s">
        <v>36</v>
      </c>
      <c r="G1099">
        <v>2</v>
      </c>
      <c r="H1099">
        <v>55000</v>
      </c>
      <c r="I1099">
        <v>103302</v>
      </c>
      <c r="J1099">
        <v>22726</v>
      </c>
    </row>
    <row r="1100" spans="1:10" x14ac:dyDescent="0.3">
      <c r="A1100" t="s">
        <v>41</v>
      </c>
      <c r="B1100" t="s">
        <v>46</v>
      </c>
      <c r="C1100" t="s">
        <v>26</v>
      </c>
      <c r="D1100" t="s">
        <v>164</v>
      </c>
      <c r="E1100" s="36">
        <v>45914</v>
      </c>
      <c r="F1100" t="s">
        <v>36</v>
      </c>
      <c r="G1100">
        <v>5</v>
      </c>
      <c r="H1100">
        <v>55000</v>
      </c>
      <c r="I1100">
        <v>284176</v>
      </c>
      <c r="J1100">
        <v>62519</v>
      </c>
    </row>
    <row r="1101" spans="1:10" x14ac:dyDescent="0.3">
      <c r="A1101" t="s">
        <v>41</v>
      </c>
      <c r="B1101" t="s">
        <v>46</v>
      </c>
      <c r="C1101" t="s">
        <v>26</v>
      </c>
      <c r="D1101" t="s">
        <v>244</v>
      </c>
      <c r="E1101" s="36">
        <v>45977</v>
      </c>
      <c r="F1101" t="s">
        <v>40</v>
      </c>
      <c r="G1101">
        <v>4</v>
      </c>
      <c r="H1101">
        <v>15000</v>
      </c>
      <c r="I1101">
        <v>55032</v>
      </c>
      <c r="J1101">
        <v>5503</v>
      </c>
    </row>
    <row r="1102" spans="1:10" x14ac:dyDescent="0.3">
      <c r="A1102" t="s">
        <v>10</v>
      </c>
      <c r="B1102" t="s">
        <v>46</v>
      </c>
      <c r="C1102" t="s">
        <v>26</v>
      </c>
      <c r="D1102" t="s">
        <v>195</v>
      </c>
      <c r="E1102" s="36">
        <v>45786</v>
      </c>
      <c r="F1102" t="s">
        <v>14</v>
      </c>
      <c r="G1102">
        <v>5</v>
      </c>
      <c r="H1102">
        <v>18500</v>
      </c>
      <c r="I1102">
        <v>100097</v>
      </c>
      <c r="J1102">
        <v>12012</v>
      </c>
    </row>
    <row r="1103" spans="1:10" x14ac:dyDescent="0.3">
      <c r="A1103" t="s">
        <v>18</v>
      </c>
      <c r="B1103" t="s">
        <v>46</v>
      </c>
      <c r="C1103" t="s">
        <v>26</v>
      </c>
      <c r="D1103" t="s">
        <v>96</v>
      </c>
      <c r="E1103" s="36">
        <v>45824</v>
      </c>
      <c r="F1103" t="s">
        <v>40</v>
      </c>
      <c r="G1103">
        <v>5</v>
      </c>
      <c r="H1103">
        <v>15000</v>
      </c>
      <c r="I1103">
        <v>67628</v>
      </c>
      <c r="J1103">
        <v>6763</v>
      </c>
    </row>
    <row r="1104" spans="1:10" x14ac:dyDescent="0.3">
      <c r="A1104" t="s">
        <v>18</v>
      </c>
      <c r="B1104" t="s">
        <v>46</v>
      </c>
      <c r="C1104" t="s">
        <v>26</v>
      </c>
      <c r="D1104" t="s">
        <v>145</v>
      </c>
      <c r="E1104" s="36">
        <v>45890</v>
      </c>
      <c r="F1104" t="s">
        <v>36</v>
      </c>
      <c r="G1104">
        <v>2</v>
      </c>
      <c r="H1104">
        <v>55000</v>
      </c>
      <c r="I1104">
        <v>115224</v>
      </c>
      <c r="J1104">
        <v>25349</v>
      </c>
    </row>
    <row r="1105" spans="1:10" x14ac:dyDescent="0.3">
      <c r="A1105" t="s">
        <v>41</v>
      </c>
      <c r="B1105" t="s">
        <v>46</v>
      </c>
      <c r="C1105" t="s">
        <v>26</v>
      </c>
      <c r="D1105" t="s">
        <v>73</v>
      </c>
      <c r="E1105" s="36">
        <v>45832</v>
      </c>
      <c r="F1105" t="s">
        <v>40</v>
      </c>
      <c r="G1105">
        <v>8</v>
      </c>
      <c r="H1105">
        <v>15000</v>
      </c>
      <c r="I1105">
        <v>122953</v>
      </c>
      <c r="J1105">
        <v>12295</v>
      </c>
    </row>
    <row r="1106" spans="1:10" x14ac:dyDescent="0.3">
      <c r="A1106" t="s">
        <v>37</v>
      </c>
      <c r="B1106" t="s">
        <v>46</v>
      </c>
      <c r="C1106" t="s">
        <v>26</v>
      </c>
      <c r="D1106" t="s">
        <v>207</v>
      </c>
      <c r="E1106" s="36">
        <v>45755</v>
      </c>
      <c r="F1106" t="s">
        <v>33</v>
      </c>
      <c r="G1106">
        <v>6</v>
      </c>
      <c r="H1106">
        <v>45000</v>
      </c>
      <c r="I1106">
        <v>250503</v>
      </c>
      <c r="J1106">
        <v>45091</v>
      </c>
    </row>
    <row r="1107" spans="1:10" x14ac:dyDescent="0.3">
      <c r="A1107" t="s">
        <v>10</v>
      </c>
      <c r="B1107" t="s">
        <v>46</v>
      </c>
      <c r="C1107" t="s">
        <v>26</v>
      </c>
      <c r="D1107" t="s">
        <v>175</v>
      </c>
      <c r="E1107" s="36">
        <v>45812</v>
      </c>
      <c r="F1107" t="s">
        <v>14</v>
      </c>
      <c r="G1107">
        <v>7</v>
      </c>
      <c r="H1107">
        <v>18500</v>
      </c>
      <c r="I1107">
        <v>121222</v>
      </c>
      <c r="J1107">
        <v>14547</v>
      </c>
    </row>
    <row r="1108" spans="1:10" x14ac:dyDescent="0.3">
      <c r="A1108" t="s">
        <v>15</v>
      </c>
      <c r="B1108" t="s">
        <v>46</v>
      </c>
      <c r="C1108" t="s">
        <v>26</v>
      </c>
      <c r="D1108" t="s">
        <v>112</v>
      </c>
      <c r="E1108" s="36">
        <v>45821</v>
      </c>
      <c r="F1108" t="s">
        <v>14</v>
      </c>
      <c r="G1108">
        <v>3</v>
      </c>
      <c r="H1108">
        <v>18500</v>
      </c>
      <c r="I1108">
        <v>50969</v>
      </c>
      <c r="J1108">
        <v>6116</v>
      </c>
    </row>
    <row r="1109" spans="1:10" x14ac:dyDescent="0.3">
      <c r="A1109" t="s">
        <v>10</v>
      </c>
      <c r="B1109" t="s">
        <v>46</v>
      </c>
      <c r="C1109" t="s">
        <v>26</v>
      </c>
      <c r="D1109" t="s">
        <v>169</v>
      </c>
      <c r="E1109" s="36">
        <v>45760</v>
      </c>
      <c r="F1109" t="s">
        <v>33</v>
      </c>
      <c r="G1109">
        <v>4</v>
      </c>
      <c r="H1109">
        <v>45000</v>
      </c>
      <c r="I1109">
        <v>187140</v>
      </c>
      <c r="J1109">
        <v>33685</v>
      </c>
    </row>
    <row r="1110" spans="1:10" x14ac:dyDescent="0.3">
      <c r="A1110" t="s">
        <v>10</v>
      </c>
      <c r="B1110" t="s">
        <v>46</v>
      </c>
      <c r="C1110" t="s">
        <v>26</v>
      </c>
      <c r="D1110" t="s">
        <v>143</v>
      </c>
      <c r="E1110" s="36">
        <v>46022</v>
      </c>
      <c r="F1110" t="s">
        <v>36</v>
      </c>
      <c r="G1110">
        <v>6</v>
      </c>
      <c r="H1110">
        <v>55000</v>
      </c>
      <c r="I1110">
        <v>350560</v>
      </c>
      <c r="J1110">
        <v>77123</v>
      </c>
    </row>
    <row r="1111" spans="1:10" x14ac:dyDescent="0.3">
      <c r="A1111" t="s">
        <v>41</v>
      </c>
      <c r="B1111" t="s">
        <v>46</v>
      </c>
      <c r="C1111" t="s">
        <v>26</v>
      </c>
      <c r="D1111" t="s">
        <v>154</v>
      </c>
      <c r="E1111" s="36">
        <v>45668</v>
      </c>
      <c r="F1111" t="s">
        <v>33</v>
      </c>
      <c r="G1111">
        <v>9</v>
      </c>
      <c r="H1111">
        <v>45000</v>
      </c>
      <c r="I1111">
        <v>418302</v>
      </c>
      <c r="J1111">
        <v>75294</v>
      </c>
    </row>
    <row r="1112" spans="1:10" x14ac:dyDescent="0.3">
      <c r="A1112" t="s">
        <v>18</v>
      </c>
      <c r="B1112" t="s">
        <v>46</v>
      </c>
      <c r="C1112" t="s">
        <v>26</v>
      </c>
      <c r="D1112" t="s">
        <v>168</v>
      </c>
      <c r="E1112" s="36">
        <v>45833</v>
      </c>
      <c r="F1112" t="s">
        <v>40</v>
      </c>
      <c r="G1112">
        <v>4</v>
      </c>
      <c r="H1112">
        <v>15000</v>
      </c>
      <c r="I1112">
        <v>58963</v>
      </c>
      <c r="J1112">
        <v>5896</v>
      </c>
    </row>
    <row r="1113" spans="1:10" x14ac:dyDescent="0.3">
      <c r="A1113" t="s">
        <v>37</v>
      </c>
      <c r="B1113" t="s">
        <v>46</v>
      </c>
      <c r="C1113" t="s">
        <v>26</v>
      </c>
      <c r="D1113" t="s">
        <v>252</v>
      </c>
      <c r="E1113" s="36">
        <v>45698</v>
      </c>
      <c r="F1113" t="s">
        <v>40</v>
      </c>
      <c r="G1113">
        <v>4</v>
      </c>
      <c r="H1113">
        <v>15000</v>
      </c>
      <c r="I1113">
        <v>58295</v>
      </c>
      <c r="J1113">
        <v>5830</v>
      </c>
    </row>
    <row r="1114" spans="1:10" x14ac:dyDescent="0.3">
      <c r="A1114" t="s">
        <v>18</v>
      </c>
      <c r="B1114" t="s">
        <v>46</v>
      </c>
      <c r="C1114" t="s">
        <v>26</v>
      </c>
      <c r="D1114" t="s">
        <v>113</v>
      </c>
      <c r="E1114" s="36">
        <v>45823</v>
      </c>
      <c r="F1114" t="s">
        <v>14</v>
      </c>
      <c r="G1114">
        <v>6</v>
      </c>
      <c r="H1114">
        <v>18500</v>
      </c>
      <c r="I1114">
        <v>116663</v>
      </c>
      <c r="J1114">
        <v>14000</v>
      </c>
    </row>
    <row r="1115" spans="1:10" x14ac:dyDescent="0.3">
      <c r="A1115" t="s">
        <v>10</v>
      </c>
      <c r="B1115" t="s">
        <v>46</v>
      </c>
      <c r="C1115" t="s">
        <v>26</v>
      </c>
      <c r="D1115" t="s">
        <v>220</v>
      </c>
      <c r="E1115" s="36">
        <v>45808</v>
      </c>
      <c r="F1115" t="s">
        <v>33</v>
      </c>
      <c r="G1115">
        <v>2</v>
      </c>
      <c r="H1115">
        <v>45000</v>
      </c>
      <c r="I1115">
        <v>92849</v>
      </c>
      <c r="J1115">
        <v>16713</v>
      </c>
    </row>
    <row r="1116" spans="1:10" x14ac:dyDescent="0.3">
      <c r="A1116" t="s">
        <v>18</v>
      </c>
      <c r="B1116" t="s">
        <v>46</v>
      </c>
      <c r="C1116" t="s">
        <v>26</v>
      </c>
      <c r="D1116" t="s">
        <v>93</v>
      </c>
      <c r="E1116" s="36">
        <v>46020</v>
      </c>
      <c r="F1116" t="s">
        <v>40</v>
      </c>
      <c r="G1116">
        <v>5</v>
      </c>
      <c r="H1116">
        <v>15000</v>
      </c>
      <c r="I1116">
        <v>68861</v>
      </c>
      <c r="J1116">
        <v>6886</v>
      </c>
    </row>
    <row r="1117" spans="1:10" x14ac:dyDescent="0.3">
      <c r="A1117" t="s">
        <v>18</v>
      </c>
      <c r="B1117" t="s">
        <v>46</v>
      </c>
      <c r="C1117" t="s">
        <v>26</v>
      </c>
      <c r="D1117" t="s">
        <v>253</v>
      </c>
      <c r="E1117" s="36">
        <v>45999</v>
      </c>
      <c r="F1117" t="s">
        <v>14</v>
      </c>
      <c r="G1117">
        <v>2</v>
      </c>
      <c r="H1117">
        <v>18500</v>
      </c>
      <c r="I1117">
        <v>35055</v>
      </c>
      <c r="J1117">
        <v>4207</v>
      </c>
    </row>
    <row r="1118" spans="1:10" x14ac:dyDescent="0.3">
      <c r="A1118" t="s">
        <v>10</v>
      </c>
      <c r="B1118" t="s">
        <v>46</v>
      </c>
      <c r="C1118" t="s">
        <v>26</v>
      </c>
      <c r="D1118" t="s">
        <v>203</v>
      </c>
      <c r="E1118" s="36">
        <v>45776</v>
      </c>
      <c r="F1118" t="s">
        <v>36</v>
      </c>
      <c r="G1118">
        <v>7</v>
      </c>
      <c r="H1118">
        <v>55000</v>
      </c>
      <c r="I1118">
        <v>365287</v>
      </c>
      <c r="J1118">
        <v>80363</v>
      </c>
    </row>
    <row r="1119" spans="1:10" x14ac:dyDescent="0.3">
      <c r="A1119" t="s">
        <v>37</v>
      </c>
      <c r="B1119" t="s">
        <v>46</v>
      </c>
      <c r="C1119" t="s">
        <v>26</v>
      </c>
      <c r="D1119" t="s">
        <v>43</v>
      </c>
      <c r="E1119" s="36">
        <v>45840</v>
      </c>
      <c r="F1119" t="s">
        <v>14</v>
      </c>
      <c r="G1119">
        <v>3</v>
      </c>
      <c r="H1119">
        <v>18500</v>
      </c>
      <c r="I1119">
        <v>60748</v>
      </c>
      <c r="J1119">
        <v>7290</v>
      </c>
    </row>
    <row r="1120" spans="1:10" x14ac:dyDescent="0.3">
      <c r="A1120" t="s">
        <v>37</v>
      </c>
      <c r="B1120" t="s">
        <v>46</v>
      </c>
      <c r="C1120" t="s">
        <v>26</v>
      </c>
      <c r="D1120" t="s">
        <v>80</v>
      </c>
      <c r="E1120" s="36">
        <v>45705</v>
      </c>
      <c r="F1120" t="s">
        <v>40</v>
      </c>
      <c r="G1120">
        <v>5</v>
      </c>
      <c r="H1120">
        <v>15000</v>
      </c>
      <c r="I1120">
        <v>72296</v>
      </c>
      <c r="J1120">
        <v>7230</v>
      </c>
    </row>
    <row r="1121" spans="1:10" x14ac:dyDescent="0.3">
      <c r="A1121" t="s">
        <v>10</v>
      </c>
      <c r="B1121" t="s">
        <v>46</v>
      </c>
      <c r="C1121" t="s">
        <v>26</v>
      </c>
      <c r="D1121" t="s">
        <v>240</v>
      </c>
      <c r="E1121" s="36">
        <v>45970</v>
      </c>
      <c r="F1121" t="s">
        <v>36</v>
      </c>
      <c r="G1121">
        <v>6</v>
      </c>
      <c r="H1121">
        <v>55000</v>
      </c>
      <c r="I1121">
        <v>342193</v>
      </c>
      <c r="J1121">
        <v>75282</v>
      </c>
    </row>
    <row r="1122" spans="1:10" x14ac:dyDescent="0.3">
      <c r="A1122" t="s">
        <v>41</v>
      </c>
      <c r="B1122" t="s">
        <v>46</v>
      </c>
      <c r="C1122" t="s">
        <v>26</v>
      </c>
      <c r="D1122" t="s">
        <v>85</v>
      </c>
      <c r="E1122" s="36">
        <v>45919</v>
      </c>
      <c r="F1122" t="s">
        <v>36</v>
      </c>
      <c r="G1122">
        <v>10</v>
      </c>
      <c r="H1122">
        <v>55000</v>
      </c>
      <c r="I1122">
        <v>551481</v>
      </c>
      <c r="J1122">
        <v>121326</v>
      </c>
    </row>
    <row r="1123" spans="1:10" x14ac:dyDescent="0.3">
      <c r="A1123" t="s">
        <v>41</v>
      </c>
      <c r="B1123" t="s">
        <v>46</v>
      </c>
      <c r="C1123" t="s">
        <v>26</v>
      </c>
      <c r="D1123" t="s">
        <v>63</v>
      </c>
      <c r="E1123" s="36">
        <v>45909</v>
      </c>
      <c r="F1123" t="s">
        <v>14</v>
      </c>
      <c r="G1123">
        <v>3</v>
      </c>
      <c r="H1123">
        <v>18500</v>
      </c>
      <c r="I1123">
        <v>51893</v>
      </c>
      <c r="J1123">
        <v>6227</v>
      </c>
    </row>
    <row r="1124" spans="1:10" x14ac:dyDescent="0.3">
      <c r="A1124" t="s">
        <v>41</v>
      </c>
      <c r="B1124" t="s">
        <v>46</v>
      </c>
      <c r="C1124" t="s">
        <v>26</v>
      </c>
      <c r="D1124" t="s">
        <v>183</v>
      </c>
      <c r="E1124" s="36">
        <v>45949</v>
      </c>
      <c r="F1124" t="s">
        <v>40</v>
      </c>
      <c r="G1124">
        <v>6</v>
      </c>
      <c r="H1124">
        <v>15000</v>
      </c>
      <c r="I1124">
        <v>96529</v>
      </c>
      <c r="J1124">
        <v>9653</v>
      </c>
    </row>
    <row r="1125" spans="1:10" x14ac:dyDescent="0.3">
      <c r="A1125" t="s">
        <v>15</v>
      </c>
      <c r="B1125" t="s">
        <v>46</v>
      </c>
      <c r="C1125" t="s">
        <v>26</v>
      </c>
      <c r="D1125" t="s">
        <v>71</v>
      </c>
      <c r="E1125" s="36">
        <v>45975</v>
      </c>
      <c r="F1125" t="s">
        <v>40</v>
      </c>
      <c r="G1125">
        <v>4</v>
      </c>
      <c r="H1125">
        <v>15000</v>
      </c>
      <c r="I1125">
        <v>59674</v>
      </c>
      <c r="J1125">
        <v>5967</v>
      </c>
    </row>
    <row r="1126" spans="1:10" x14ac:dyDescent="0.3">
      <c r="A1126" t="s">
        <v>37</v>
      </c>
      <c r="B1126" t="s">
        <v>46</v>
      </c>
      <c r="C1126" t="s">
        <v>26</v>
      </c>
      <c r="D1126" t="s">
        <v>153</v>
      </c>
      <c r="E1126" s="36">
        <v>45963</v>
      </c>
      <c r="F1126" t="s">
        <v>36</v>
      </c>
      <c r="G1126">
        <v>1</v>
      </c>
      <c r="H1126">
        <v>55000</v>
      </c>
      <c r="I1126">
        <v>51443</v>
      </c>
      <c r="J1126">
        <v>11317</v>
      </c>
    </row>
    <row r="1127" spans="1:10" x14ac:dyDescent="0.3">
      <c r="A1127" t="s">
        <v>10</v>
      </c>
      <c r="B1127" t="s">
        <v>46</v>
      </c>
      <c r="C1127" t="s">
        <v>26</v>
      </c>
      <c r="D1127" t="s">
        <v>75</v>
      </c>
      <c r="E1127" s="36">
        <v>45786</v>
      </c>
      <c r="F1127" t="s">
        <v>14</v>
      </c>
      <c r="G1127">
        <v>8</v>
      </c>
      <c r="H1127">
        <v>18500</v>
      </c>
      <c r="I1127">
        <v>152553</v>
      </c>
      <c r="J1127">
        <v>18306</v>
      </c>
    </row>
    <row r="1128" spans="1:10" x14ac:dyDescent="0.3">
      <c r="A1128" t="s">
        <v>10</v>
      </c>
      <c r="B1128" t="s">
        <v>46</v>
      </c>
      <c r="C1128" t="s">
        <v>26</v>
      </c>
      <c r="D1128" t="s">
        <v>113</v>
      </c>
      <c r="E1128" s="36">
        <v>45945</v>
      </c>
      <c r="F1128" t="s">
        <v>40</v>
      </c>
      <c r="G1128">
        <v>6</v>
      </c>
      <c r="H1128">
        <v>15000</v>
      </c>
      <c r="I1128">
        <v>87909</v>
      </c>
      <c r="J1128">
        <v>8791</v>
      </c>
    </row>
    <row r="1129" spans="1:10" x14ac:dyDescent="0.3">
      <c r="A1129" t="s">
        <v>15</v>
      </c>
      <c r="B1129" t="s">
        <v>46</v>
      </c>
      <c r="C1129" t="s">
        <v>26</v>
      </c>
      <c r="D1129" t="s">
        <v>214</v>
      </c>
      <c r="E1129" s="36">
        <v>45999</v>
      </c>
      <c r="F1129" t="s">
        <v>14</v>
      </c>
      <c r="G1129">
        <v>1</v>
      </c>
      <c r="H1129">
        <v>18500</v>
      </c>
      <c r="I1129">
        <v>17658</v>
      </c>
      <c r="J1129">
        <v>2119</v>
      </c>
    </row>
    <row r="1130" spans="1:10" x14ac:dyDescent="0.3">
      <c r="A1130" t="s">
        <v>41</v>
      </c>
      <c r="B1130" t="s">
        <v>46</v>
      </c>
      <c r="C1130" t="s">
        <v>26</v>
      </c>
      <c r="D1130" t="s">
        <v>231</v>
      </c>
      <c r="E1130" s="36">
        <v>45932</v>
      </c>
      <c r="F1130" t="s">
        <v>33</v>
      </c>
      <c r="G1130">
        <v>9</v>
      </c>
      <c r="H1130">
        <v>45000</v>
      </c>
      <c r="I1130">
        <v>414640</v>
      </c>
      <c r="J1130">
        <v>74635</v>
      </c>
    </row>
    <row r="1131" spans="1:10" x14ac:dyDescent="0.3">
      <c r="A1131" t="s">
        <v>37</v>
      </c>
      <c r="B1131" t="s">
        <v>46</v>
      </c>
      <c r="C1131" t="s">
        <v>26</v>
      </c>
      <c r="D1131" t="s">
        <v>245</v>
      </c>
      <c r="E1131" s="36">
        <v>45813</v>
      </c>
      <c r="F1131" t="s">
        <v>14</v>
      </c>
      <c r="G1131">
        <v>5</v>
      </c>
      <c r="H1131">
        <v>18500</v>
      </c>
      <c r="I1131">
        <v>90631</v>
      </c>
      <c r="J1131">
        <v>10876</v>
      </c>
    </row>
    <row r="1132" spans="1:10" x14ac:dyDescent="0.3">
      <c r="A1132" t="s">
        <v>10</v>
      </c>
      <c r="B1132" t="s">
        <v>46</v>
      </c>
      <c r="C1132" t="s">
        <v>26</v>
      </c>
      <c r="D1132" t="s">
        <v>52</v>
      </c>
      <c r="E1132" s="36">
        <v>45836</v>
      </c>
      <c r="F1132" t="s">
        <v>40</v>
      </c>
      <c r="G1132">
        <v>2</v>
      </c>
      <c r="H1132">
        <v>15000</v>
      </c>
      <c r="I1132">
        <v>29515</v>
      </c>
      <c r="J1132">
        <v>2952</v>
      </c>
    </row>
    <row r="1133" spans="1:10" x14ac:dyDescent="0.3">
      <c r="A1133" t="s">
        <v>41</v>
      </c>
      <c r="B1133" t="s">
        <v>46</v>
      </c>
      <c r="C1133" t="s">
        <v>26</v>
      </c>
      <c r="D1133" t="s">
        <v>53</v>
      </c>
      <c r="E1133" s="36">
        <v>45748</v>
      </c>
      <c r="F1133" t="s">
        <v>33</v>
      </c>
      <c r="G1133">
        <v>2</v>
      </c>
      <c r="H1133">
        <v>45000</v>
      </c>
      <c r="I1133">
        <v>94312</v>
      </c>
      <c r="J1133">
        <v>16976</v>
      </c>
    </row>
    <row r="1134" spans="1:10" x14ac:dyDescent="0.3">
      <c r="A1134" t="s">
        <v>10</v>
      </c>
      <c r="B1134" t="s">
        <v>46</v>
      </c>
      <c r="C1134" t="s">
        <v>26</v>
      </c>
      <c r="D1134" t="s">
        <v>240</v>
      </c>
      <c r="E1134" s="36">
        <v>45847</v>
      </c>
      <c r="F1134" t="s">
        <v>14</v>
      </c>
      <c r="G1134">
        <v>8</v>
      </c>
      <c r="H1134">
        <v>18500</v>
      </c>
      <c r="I1134">
        <v>157607</v>
      </c>
      <c r="J1134">
        <v>18913</v>
      </c>
    </row>
    <row r="1135" spans="1:10" x14ac:dyDescent="0.3">
      <c r="A1135" t="s">
        <v>18</v>
      </c>
      <c r="B1135" t="s">
        <v>46</v>
      </c>
      <c r="C1135" t="s">
        <v>26</v>
      </c>
      <c r="D1135" t="s">
        <v>252</v>
      </c>
      <c r="E1135" s="36">
        <v>45785</v>
      </c>
      <c r="F1135" t="s">
        <v>36</v>
      </c>
      <c r="G1135">
        <v>10</v>
      </c>
      <c r="H1135">
        <v>55000</v>
      </c>
      <c r="I1135">
        <v>495512</v>
      </c>
      <c r="J1135">
        <v>109013</v>
      </c>
    </row>
    <row r="1136" spans="1:10" x14ac:dyDescent="0.3">
      <c r="A1136" t="s">
        <v>41</v>
      </c>
      <c r="B1136" t="s">
        <v>46</v>
      </c>
      <c r="C1136" t="s">
        <v>26</v>
      </c>
      <c r="D1136" t="s">
        <v>189</v>
      </c>
      <c r="E1136" s="36">
        <v>45708</v>
      </c>
      <c r="F1136" t="s">
        <v>14</v>
      </c>
      <c r="G1136">
        <v>5</v>
      </c>
      <c r="H1136">
        <v>18500</v>
      </c>
      <c r="I1136">
        <v>88313</v>
      </c>
      <c r="J1136">
        <v>10598</v>
      </c>
    </row>
    <row r="1137" spans="1:10" x14ac:dyDescent="0.3">
      <c r="A1137" t="s">
        <v>41</v>
      </c>
      <c r="B1137" t="s">
        <v>46</v>
      </c>
      <c r="C1137" t="s">
        <v>26</v>
      </c>
      <c r="D1137" t="s">
        <v>133</v>
      </c>
      <c r="E1137" s="36">
        <v>45812</v>
      </c>
      <c r="F1137" t="s">
        <v>40</v>
      </c>
      <c r="G1137">
        <v>8</v>
      </c>
      <c r="H1137">
        <v>15000</v>
      </c>
      <c r="I1137">
        <v>114506</v>
      </c>
      <c r="J1137">
        <v>11451</v>
      </c>
    </row>
    <row r="1138" spans="1:10" x14ac:dyDescent="0.3">
      <c r="A1138" t="s">
        <v>41</v>
      </c>
      <c r="B1138" t="s">
        <v>46</v>
      </c>
      <c r="C1138" t="s">
        <v>26</v>
      </c>
      <c r="D1138" t="s">
        <v>216</v>
      </c>
      <c r="E1138" s="36">
        <v>45676</v>
      </c>
      <c r="F1138" t="s">
        <v>33</v>
      </c>
      <c r="G1138">
        <v>7</v>
      </c>
      <c r="H1138">
        <v>45000</v>
      </c>
      <c r="I1138">
        <v>289593</v>
      </c>
      <c r="J1138">
        <v>52127</v>
      </c>
    </row>
    <row r="1139" spans="1:10" x14ac:dyDescent="0.3">
      <c r="A1139" t="s">
        <v>10</v>
      </c>
      <c r="B1139" t="s">
        <v>46</v>
      </c>
      <c r="C1139" t="s">
        <v>26</v>
      </c>
      <c r="D1139" t="s">
        <v>79</v>
      </c>
      <c r="E1139" s="36">
        <v>46001</v>
      </c>
      <c r="F1139" t="s">
        <v>14</v>
      </c>
      <c r="G1139">
        <v>2</v>
      </c>
      <c r="H1139">
        <v>18500</v>
      </c>
      <c r="I1139">
        <v>33388</v>
      </c>
      <c r="J1139">
        <v>4007</v>
      </c>
    </row>
    <row r="1140" spans="1:10" x14ac:dyDescent="0.3">
      <c r="A1140" t="s">
        <v>18</v>
      </c>
      <c r="B1140" t="s">
        <v>46</v>
      </c>
      <c r="C1140" t="s">
        <v>26</v>
      </c>
      <c r="D1140" t="s">
        <v>64</v>
      </c>
      <c r="E1140" s="36">
        <v>46012</v>
      </c>
      <c r="F1140" t="s">
        <v>36</v>
      </c>
      <c r="G1140">
        <v>5</v>
      </c>
      <c r="H1140">
        <v>55000</v>
      </c>
      <c r="I1140">
        <v>288861</v>
      </c>
      <c r="J1140">
        <v>63549</v>
      </c>
    </row>
    <row r="1141" spans="1:10" x14ac:dyDescent="0.3">
      <c r="A1141" t="s">
        <v>10</v>
      </c>
      <c r="B1141" t="s">
        <v>46</v>
      </c>
      <c r="C1141" t="s">
        <v>26</v>
      </c>
      <c r="D1141" t="s">
        <v>43</v>
      </c>
      <c r="E1141" s="36">
        <v>45851</v>
      </c>
      <c r="F1141" t="s">
        <v>36</v>
      </c>
      <c r="G1141">
        <v>3</v>
      </c>
      <c r="H1141">
        <v>55000</v>
      </c>
      <c r="I1141">
        <v>159429</v>
      </c>
      <c r="J1141">
        <v>35074</v>
      </c>
    </row>
    <row r="1142" spans="1:10" x14ac:dyDescent="0.3">
      <c r="A1142" t="s">
        <v>18</v>
      </c>
      <c r="B1142" t="s">
        <v>46</v>
      </c>
      <c r="C1142" t="s">
        <v>26</v>
      </c>
      <c r="D1142" t="s">
        <v>233</v>
      </c>
      <c r="E1142" s="36">
        <v>45793</v>
      </c>
      <c r="F1142" t="s">
        <v>33</v>
      </c>
      <c r="G1142">
        <v>4</v>
      </c>
      <c r="H1142">
        <v>45000</v>
      </c>
      <c r="I1142">
        <v>171690</v>
      </c>
      <c r="J1142">
        <v>30904</v>
      </c>
    </row>
    <row r="1143" spans="1:10" x14ac:dyDescent="0.3">
      <c r="A1143" t="s">
        <v>37</v>
      </c>
      <c r="B1143" t="s">
        <v>46</v>
      </c>
      <c r="C1143" t="s">
        <v>26</v>
      </c>
      <c r="D1143" t="s">
        <v>27</v>
      </c>
      <c r="E1143" s="36">
        <v>45661</v>
      </c>
      <c r="F1143" t="s">
        <v>36</v>
      </c>
      <c r="G1143">
        <v>5</v>
      </c>
      <c r="H1143">
        <v>55000</v>
      </c>
      <c r="I1143">
        <v>253181</v>
      </c>
      <c r="J1143">
        <v>55700</v>
      </c>
    </row>
    <row r="1144" spans="1:10" x14ac:dyDescent="0.3">
      <c r="A1144" t="s">
        <v>18</v>
      </c>
      <c r="B1144" t="s">
        <v>46</v>
      </c>
      <c r="C1144" t="s">
        <v>26</v>
      </c>
      <c r="D1144" t="s">
        <v>32</v>
      </c>
      <c r="E1144" s="36">
        <v>45835</v>
      </c>
      <c r="F1144" t="s">
        <v>40</v>
      </c>
      <c r="G1144">
        <v>2</v>
      </c>
      <c r="H1144">
        <v>15000</v>
      </c>
      <c r="I1144">
        <v>29585</v>
      </c>
      <c r="J1144">
        <v>2958</v>
      </c>
    </row>
    <row r="1145" spans="1:10" x14ac:dyDescent="0.3">
      <c r="A1145" t="s">
        <v>37</v>
      </c>
      <c r="B1145" t="s">
        <v>46</v>
      </c>
      <c r="C1145" t="s">
        <v>26</v>
      </c>
      <c r="D1145" t="s">
        <v>62</v>
      </c>
      <c r="E1145" s="36">
        <v>45864</v>
      </c>
      <c r="F1145" t="s">
        <v>40</v>
      </c>
      <c r="G1145">
        <v>10</v>
      </c>
      <c r="H1145">
        <v>15000</v>
      </c>
      <c r="I1145">
        <v>163646</v>
      </c>
      <c r="J1145">
        <v>16365</v>
      </c>
    </row>
    <row r="1146" spans="1:10" x14ac:dyDescent="0.3">
      <c r="A1146" t="s">
        <v>15</v>
      </c>
      <c r="B1146" t="s">
        <v>46</v>
      </c>
      <c r="C1146" t="s">
        <v>26</v>
      </c>
      <c r="D1146" t="s">
        <v>87</v>
      </c>
      <c r="E1146" s="36">
        <v>45736</v>
      </c>
      <c r="F1146" t="s">
        <v>40</v>
      </c>
      <c r="G1146">
        <v>2</v>
      </c>
      <c r="H1146">
        <v>15000</v>
      </c>
      <c r="I1146">
        <v>29375</v>
      </c>
      <c r="J1146">
        <v>2938</v>
      </c>
    </row>
    <row r="1147" spans="1:10" x14ac:dyDescent="0.3">
      <c r="A1147" t="s">
        <v>41</v>
      </c>
      <c r="B1147" t="s">
        <v>46</v>
      </c>
      <c r="C1147" t="s">
        <v>26</v>
      </c>
      <c r="D1147" t="s">
        <v>146</v>
      </c>
      <c r="E1147" s="36">
        <v>45784</v>
      </c>
      <c r="F1147" t="s">
        <v>40</v>
      </c>
      <c r="G1147">
        <v>1</v>
      </c>
      <c r="H1147">
        <v>15000</v>
      </c>
      <c r="I1147">
        <v>13636</v>
      </c>
      <c r="J1147">
        <v>1364</v>
      </c>
    </row>
    <row r="1148" spans="1:10" x14ac:dyDescent="0.3">
      <c r="A1148" t="s">
        <v>41</v>
      </c>
      <c r="B1148" t="s">
        <v>46</v>
      </c>
      <c r="C1148" t="s">
        <v>26</v>
      </c>
      <c r="D1148" t="s">
        <v>185</v>
      </c>
      <c r="E1148" s="36">
        <v>46008</v>
      </c>
      <c r="F1148" t="s">
        <v>36</v>
      </c>
      <c r="G1148">
        <v>8</v>
      </c>
      <c r="H1148">
        <v>55000</v>
      </c>
      <c r="I1148">
        <v>404648</v>
      </c>
      <c r="J1148">
        <v>89023</v>
      </c>
    </row>
    <row r="1149" spans="1:10" x14ac:dyDescent="0.3">
      <c r="A1149" t="s">
        <v>15</v>
      </c>
      <c r="B1149" t="s">
        <v>46</v>
      </c>
      <c r="C1149" t="s">
        <v>26</v>
      </c>
      <c r="D1149" t="s">
        <v>163</v>
      </c>
      <c r="E1149" s="36">
        <v>45765</v>
      </c>
      <c r="F1149" t="s">
        <v>33</v>
      </c>
      <c r="G1149">
        <v>6</v>
      </c>
      <c r="H1149">
        <v>45000</v>
      </c>
      <c r="I1149">
        <v>267118</v>
      </c>
      <c r="J1149">
        <v>48081</v>
      </c>
    </row>
    <row r="1150" spans="1:10" x14ac:dyDescent="0.3">
      <c r="A1150" t="s">
        <v>15</v>
      </c>
      <c r="B1150" t="s">
        <v>46</v>
      </c>
      <c r="C1150" t="s">
        <v>26</v>
      </c>
      <c r="D1150" t="s">
        <v>64</v>
      </c>
      <c r="E1150" s="36">
        <v>45993</v>
      </c>
      <c r="F1150" t="s">
        <v>14</v>
      </c>
      <c r="G1150">
        <v>1</v>
      </c>
      <c r="H1150">
        <v>18500</v>
      </c>
      <c r="I1150">
        <v>18819</v>
      </c>
      <c r="J1150">
        <v>2258</v>
      </c>
    </row>
    <row r="1151" spans="1:10" x14ac:dyDescent="0.3">
      <c r="A1151" t="s">
        <v>15</v>
      </c>
      <c r="B1151" t="s">
        <v>46</v>
      </c>
      <c r="C1151" t="s">
        <v>26</v>
      </c>
      <c r="D1151" t="s">
        <v>153</v>
      </c>
      <c r="E1151" s="36">
        <v>45798</v>
      </c>
      <c r="F1151" t="s">
        <v>33</v>
      </c>
      <c r="G1151">
        <v>3</v>
      </c>
      <c r="H1151">
        <v>45000</v>
      </c>
      <c r="I1151">
        <v>124353</v>
      </c>
      <c r="J1151">
        <v>22384</v>
      </c>
    </row>
    <row r="1152" spans="1:10" x14ac:dyDescent="0.3">
      <c r="A1152" t="s">
        <v>18</v>
      </c>
      <c r="B1152" t="s">
        <v>46</v>
      </c>
      <c r="C1152" t="s">
        <v>26</v>
      </c>
      <c r="D1152" t="s">
        <v>92</v>
      </c>
      <c r="E1152" s="36">
        <v>45974</v>
      </c>
      <c r="F1152" t="s">
        <v>40</v>
      </c>
      <c r="G1152">
        <v>3</v>
      </c>
      <c r="H1152">
        <v>15000</v>
      </c>
      <c r="I1152">
        <v>41949</v>
      </c>
      <c r="J1152">
        <v>4195</v>
      </c>
    </row>
    <row r="1153" spans="1:10" x14ac:dyDescent="0.3">
      <c r="A1153" t="s">
        <v>18</v>
      </c>
      <c r="B1153" t="s">
        <v>46</v>
      </c>
      <c r="C1153" t="s">
        <v>26</v>
      </c>
      <c r="D1153" t="s">
        <v>82</v>
      </c>
      <c r="E1153" s="36">
        <v>45902</v>
      </c>
      <c r="F1153" t="s">
        <v>36</v>
      </c>
      <c r="G1153">
        <v>10</v>
      </c>
      <c r="H1153">
        <v>55000</v>
      </c>
      <c r="I1153">
        <v>576677</v>
      </c>
      <c r="J1153">
        <v>126869</v>
      </c>
    </row>
    <row r="1154" spans="1:10" x14ac:dyDescent="0.3">
      <c r="A1154" t="s">
        <v>37</v>
      </c>
      <c r="B1154" t="s">
        <v>46</v>
      </c>
      <c r="C1154" t="s">
        <v>26</v>
      </c>
      <c r="D1154" t="s">
        <v>233</v>
      </c>
      <c r="E1154" s="36">
        <v>45960</v>
      </c>
      <c r="F1154" t="s">
        <v>33</v>
      </c>
      <c r="G1154">
        <v>6</v>
      </c>
      <c r="H1154">
        <v>45000</v>
      </c>
      <c r="I1154">
        <v>249675</v>
      </c>
      <c r="J1154">
        <v>44942</v>
      </c>
    </row>
    <row r="1155" spans="1:10" x14ac:dyDescent="0.3">
      <c r="A1155" t="s">
        <v>37</v>
      </c>
      <c r="B1155" t="s">
        <v>46</v>
      </c>
      <c r="C1155" t="s">
        <v>26</v>
      </c>
      <c r="D1155" t="s">
        <v>119</v>
      </c>
      <c r="E1155" s="36">
        <v>45925</v>
      </c>
      <c r="F1155" t="s">
        <v>33</v>
      </c>
      <c r="G1155">
        <v>7</v>
      </c>
      <c r="H1155">
        <v>45000</v>
      </c>
      <c r="I1155">
        <v>319813</v>
      </c>
      <c r="J1155">
        <v>57566</v>
      </c>
    </row>
    <row r="1156" spans="1:10" x14ac:dyDescent="0.3">
      <c r="A1156" t="s">
        <v>15</v>
      </c>
      <c r="B1156" t="s">
        <v>46</v>
      </c>
      <c r="C1156" t="s">
        <v>26</v>
      </c>
      <c r="D1156" t="s">
        <v>196</v>
      </c>
      <c r="E1156" s="36">
        <v>45812</v>
      </c>
      <c r="F1156" t="s">
        <v>40</v>
      </c>
      <c r="G1156">
        <v>4</v>
      </c>
      <c r="H1156">
        <v>15000</v>
      </c>
      <c r="I1156">
        <v>59753</v>
      </c>
      <c r="J1156">
        <v>5975</v>
      </c>
    </row>
    <row r="1157" spans="1:10" x14ac:dyDescent="0.3">
      <c r="A1157" t="s">
        <v>10</v>
      </c>
      <c r="B1157" t="s">
        <v>46</v>
      </c>
      <c r="C1157" t="s">
        <v>26</v>
      </c>
      <c r="D1157" t="s">
        <v>53</v>
      </c>
      <c r="E1157" s="36">
        <v>45729</v>
      </c>
      <c r="F1157" t="s">
        <v>14</v>
      </c>
      <c r="G1157">
        <v>1</v>
      </c>
      <c r="H1157">
        <v>18500</v>
      </c>
      <c r="I1157">
        <v>19629</v>
      </c>
      <c r="J1157">
        <v>2355</v>
      </c>
    </row>
    <row r="1158" spans="1:10" x14ac:dyDescent="0.3">
      <c r="A1158" t="s">
        <v>37</v>
      </c>
      <c r="B1158" t="s">
        <v>46</v>
      </c>
      <c r="C1158" t="s">
        <v>26</v>
      </c>
      <c r="D1158" t="s">
        <v>62</v>
      </c>
      <c r="E1158" s="36">
        <v>46013</v>
      </c>
      <c r="F1158" t="s">
        <v>40</v>
      </c>
      <c r="G1158">
        <v>6</v>
      </c>
      <c r="H1158">
        <v>15000</v>
      </c>
      <c r="I1158">
        <v>83068</v>
      </c>
      <c r="J1158">
        <v>8307</v>
      </c>
    </row>
    <row r="1159" spans="1:10" x14ac:dyDescent="0.3">
      <c r="A1159" t="s">
        <v>10</v>
      </c>
      <c r="B1159" t="s">
        <v>46</v>
      </c>
      <c r="C1159" t="s">
        <v>26</v>
      </c>
      <c r="D1159" t="s">
        <v>24</v>
      </c>
      <c r="E1159" s="36">
        <v>45813</v>
      </c>
      <c r="F1159" t="s">
        <v>14</v>
      </c>
      <c r="G1159">
        <v>1</v>
      </c>
      <c r="H1159">
        <v>18500</v>
      </c>
      <c r="I1159">
        <v>17801</v>
      </c>
      <c r="J1159">
        <v>2136</v>
      </c>
    </row>
    <row r="1160" spans="1:10" x14ac:dyDescent="0.3">
      <c r="A1160" t="s">
        <v>15</v>
      </c>
      <c r="B1160" t="s">
        <v>46</v>
      </c>
      <c r="C1160" t="s">
        <v>26</v>
      </c>
      <c r="D1160" t="s">
        <v>180</v>
      </c>
      <c r="E1160" s="36">
        <v>45737</v>
      </c>
      <c r="F1160" t="s">
        <v>33</v>
      </c>
      <c r="G1160">
        <v>8</v>
      </c>
      <c r="H1160">
        <v>45000</v>
      </c>
      <c r="I1160">
        <v>384751</v>
      </c>
      <c r="J1160">
        <v>69255</v>
      </c>
    </row>
    <row r="1161" spans="1:10" x14ac:dyDescent="0.3">
      <c r="A1161" t="s">
        <v>18</v>
      </c>
      <c r="B1161" t="s">
        <v>46</v>
      </c>
      <c r="C1161" t="s">
        <v>26</v>
      </c>
      <c r="D1161" t="s">
        <v>219</v>
      </c>
      <c r="E1161" s="36">
        <v>45882</v>
      </c>
      <c r="F1161" t="s">
        <v>33</v>
      </c>
      <c r="G1161">
        <v>1</v>
      </c>
      <c r="H1161">
        <v>45000</v>
      </c>
      <c r="I1161">
        <v>49047</v>
      </c>
      <c r="J1161">
        <v>8828</v>
      </c>
    </row>
    <row r="1162" spans="1:10" x14ac:dyDescent="0.3">
      <c r="A1162" t="s">
        <v>37</v>
      </c>
      <c r="B1162" t="s">
        <v>46</v>
      </c>
      <c r="C1162" t="s">
        <v>26</v>
      </c>
      <c r="D1162" t="s">
        <v>208</v>
      </c>
      <c r="E1162" s="36">
        <v>45987</v>
      </c>
      <c r="F1162" t="s">
        <v>33</v>
      </c>
      <c r="G1162">
        <v>6</v>
      </c>
      <c r="H1162">
        <v>45000</v>
      </c>
      <c r="I1162">
        <v>269172</v>
      </c>
      <c r="J1162">
        <v>48451</v>
      </c>
    </row>
    <row r="1163" spans="1:10" x14ac:dyDescent="0.3">
      <c r="A1163" t="s">
        <v>10</v>
      </c>
      <c r="B1163" t="s">
        <v>46</v>
      </c>
      <c r="C1163" t="s">
        <v>26</v>
      </c>
      <c r="D1163" t="s">
        <v>149</v>
      </c>
      <c r="E1163" s="36">
        <v>45889</v>
      </c>
      <c r="F1163" t="s">
        <v>14</v>
      </c>
      <c r="G1163">
        <v>5</v>
      </c>
      <c r="H1163">
        <v>18500</v>
      </c>
      <c r="I1163">
        <v>84971</v>
      </c>
      <c r="J1163">
        <v>10197</v>
      </c>
    </row>
    <row r="1164" spans="1:10" x14ac:dyDescent="0.3">
      <c r="A1164" t="s">
        <v>15</v>
      </c>
      <c r="B1164" t="s">
        <v>25</v>
      </c>
      <c r="C1164" t="s">
        <v>26</v>
      </c>
      <c r="D1164" t="s">
        <v>27</v>
      </c>
      <c r="E1164" s="36">
        <v>46003</v>
      </c>
      <c r="F1164" t="s">
        <v>14</v>
      </c>
      <c r="G1164">
        <v>9</v>
      </c>
      <c r="H1164">
        <v>18500</v>
      </c>
      <c r="I1164">
        <v>149936</v>
      </c>
      <c r="J1164">
        <v>17992</v>
      </c>
    </row>
    <row r="1165" spans="1:10" x14ac:dyDescent="0.3">
      <c r="A1165" t="s">
        <v>15</v>
      </c>
      <c r="B1165" t="s">
        <v>25</v>
      </c>
      <c r="C1165" t="s">
        <v>26</v>
      </c>
      <c r="D1165" t="s">
        <v>50</v>
      </c>
      <c r="E1165" s="36">
        <v>45749</v>
      </c>
      <c r="F1165" t="s">
        <v>36</v>
      </c>
      <c r="G1165">
        <v>4</v>
      </c>
      <c r="H1165">
        <v>55000</v>
      </c>
      <c r="I1165">
        <v>204627</v>
      </c>
      <c r="J1165">
        <v>45018</v>
      </c>
    </row>
    <row r="1166" spans="1:10" x14ac:dyDescent="0.3">
      <c r="A1166" t="s">
        <v>15</v>
      </c>
      <c r="B1166" t="s">
        <v>25</v>
      </c>
      <c r="C1166" t="s">
        <v>26</v>
      </c>
      <c r="D1166" t="s">
        <v>60</v>
      </c>
      <c r="E1166" s="36">
        <v>45690</v>
      </c>
      <c r="F1166" t="s">
        <v>14</v>
      </c>
      <c r="G1166">
        <v>4</v>
      </c>
      <c r="H1166">
        <v>18500</v>
      </c>
      <c r="I1166">
        <v>68556</v>
      </c>
      <c r="J1166">
        <v>8227</v>
      </c>
    </row>
    <row r="1167" spans="1:10" x14ac:dyDescent="0.3">
      <c r="A1167" t="s">
        <v>10</v>
      </c>
      <c r="B1167" t="s">
        <v>25</v>
      </c>
      <c r="C1167" t="s">
        <v>26</v>
      </c>
      <c r="D1167" t="s">
        <v>39</v>
      </c>
      <c r="E1167" s="36">
        <v>45815</v>
      </c>
      <c r="F1167" t="s">
        <v>36</v>
      </c>
      <c r="G1167">
        <v>8</v>
      </c>
      <c r="H1167">
        <v>55000</v>
      </c>
      <c r="I1167">
        <v>453247</v>
      </c>
      <c r="J1167">
        <v>99714</v>
      </c>
    </row>
    <row r="1168" spans="1:10" x14ac:dyDescent="0.3">
      <c r="A1168" t="s">
        <v>18</v>
      </c>
      <c r="B1168" t="s">
        <v>25</v>
      </c>
      <c r="C1168" t="s">
        <v>26</v>
      </c>
      <c r="D1168" t="s">
        <v>87</v>
      </c>
      <c r="E1168" s="36">
        <v>45834</v>
      </c>
      <c r="F1168" t="s">
        <v>40</v>
      </c>
      <c r="G1168">
        <v>8</v>
      </c>
      <c r="H1168">
        <v>15000</v>
      </c>
      <c r="I1168">
        <v>119475</v>
      </c>
      <c r="J1168">
        <v>11948</v>
      </c>
    </row>
    <row r="1169" spans="1:10" x14ac:dyDescent="0.3">
      <c r="A1169" t="s">
        <v>15</v>
      </c>
      <c r="B1169" t="s">
        <v>25</v>
      </c>
      <c r="C1169" t="s">
        <v>26</v>
      </c>
      <c r="D1169" t="s">
        <v>66</v>
      </c>
      <c r="E1169" s="36">
        <v>45959</v>
      </c>
      <c r="F1169" t="s">
        <v>14</v>
      </c>
      <c r="G1169">
        <v>1</v>
      </c>
      <c r="H1169">
        <v>18500</v>
      </c>
      <c r="I1169">
        <v>20340</v>
      </c>
      <c r="J1169">
        <v>2441</v>
      </c>
    </row>
    <row r="1170" spans="1:10" x14ac:dyDescent="0.3">
      <c r="A1170" t="s">
        <v>37</v>
      </c>
      <c r="B1170" t="s">
        <v>25</v>
      </c>
      <c r="C1170" t="s">
        <v>26</v>
      </c>
      <c r="D1170" t="s">
        <v>125</v>
      </c>
      <c r="E1170" s="36">
        <v>45864</v>
      </c>
      <c r="F1170" t="s">
        <v>14</v>
      </c>
      <c r="G1170">
        <v>3</v>
      </c>
      <c r="H1170">
        <v>18500</v>
      </c>
      <c r="I1170">
        <v>52721</v>
      </c>
      <c r="J1170">
        <v>6327</v>
      </c>
    </row>
    <row r="1171" spans="1:10" x14ac:dyDescent="0.3">
      <c r="A1171" t="s">
        <v>10</v>
      </c>
      <c r="B1171" t="s">
        <v>25</v>
      </c>
      <c r="C1171" t="s">
        <v>26</v>
      </c>
      <c r="D1171" t="s">
        <v>87</v>
      </c>
      <c r="E1171" s="36">
        <v>45846</v>
      </c>
      <c r="F1171" t="s">
        <v>36</v>
      </c>
      <c r="G1171">
        <v>9</v>
      </c>
      <c r="H1171">
        <v>55000</v>
      </c>
      <c r="I1171">
        <v>487488</v>
      </c>
      <c r="J1171">
        <v>107247</v>
      </c>
    </row>
    <row r="1172" spans="1:10" x14ac:dyDescent="0.3">
      <c r="A1172" t="s">
        <v>18</v>
      </c>
      <c r="B1172" t="s">
        <v>25</v>
      </c>
      <c r="C1172" t="s">
        <v>26</v>
      </c>
      <c r="D1172" t="s">
        <v>113</v>
      </c>
      <c r="E1172" s="36">
        <v>45658</v>
      </c>
      <c r="F1172" t="s">
        <v>36</v>
      </c>
      <c r="G1172">
        <v>3</v>
      </c>
      <c r="H1172">
        <v>55000</v>
      </c>
      <c r="I1172">
        <v>177645</v>
      </c>
      <c r="J1172">
        <v>39082</v>
      </c>
    </row>
    <row r="1173" spans="1:10" x14ac:dyDescent="0.3">
      <c r="A1173" t="s">
        <v>18</v>
      </c>
      <c r="B1173" t="s">
        <v>25</v>
      </c>
      <c r="C1173" t="s">
        <v>26</v>
      </c>
      <c r="D1173" t="s">
        <v>163</v>
      </c>
      <c r="E1173" s="36">
        <v>45686</v>
      </c>
      <c r="F1173" t="s">
        <v>14</v>
      </c>
      <c r="G1173">
        <v>3</v>
      </c>
      <c r="H1173">
        <v>18500</v>
      </c>
      <c r="I1173">
        <v>56236</v>
      </c>
      <c r="J1173">
        <v>6748</v>
      </c>
    </row>
    <row r="1174" spans="1:10" x14ac:dyDescent="0.3">
      <c r="A1174" t="s">
        <v>18</v>
      </c>
      <c r="B1174" t="s">
        <v>25</v>
      </c>
      <c r="C1174" t="s">
        <v>26</v>
      </c>
      <c r="D1174" t="s">
        <v>89</v>
      </c>
      <c r="E1174" s="36">
        <v>45817</v>
      </c>
      <c r="F1174" t="s">
        <v>36</v>
      </c>
      <c r="G1174">
        <v>1</v>
      </c>
      <c r="H1174">
        <v>55000</v>
      </c>
      <c r="I1174">
        <v>50846</v>
      </c>
      <c r="J1174">
        <v>11186</v>
      </c>
    </row>
    <row r="1175" spans="1:10" x14ac:dyDescent="0.3">
      <c r="A1175" t="s">
        <v>15</v>
      </c>
      <c r="B1175" t="s">
        <v>25</v>
      </c>
      <c r="C1175" t="s">
        <v>26</v>
      </c>
      <c r="D1175" t="s">
        <v>168</v>
      </c>
      <c r="E1175" s="36">
        <v>45940</v>
      </c>
      <c r="F1175" t="s">
        <v>40</v>
      </c>
      <c r="G1175">
        <v>5</v>
      </c>
      <c r="H1175">
        <v>15000</v>
      </c>
      <c r="I1175">
        <v>70100</v>
      </c>
      <c r="J1175">
        <v>7010</v>
      </c>
    </row>
    <row r="1176" spans="1:10" x14ac:dyDescent="0.3">
      <c r="A1176" t="s">
        <v>41</v>
      </c>
      <c r="B1176" t="s">
        <v>25</v>
      </c>
      <c r="C1176" t="s">
        <v>26</v>
      </c>
      <c r="D1176" t="s">
        <v>159</v>
      </c>
      <c r="E1176" s="36">
        <v>45990</v>
      </c>
      <c r="F1176" t="s">
        <v>36</v>
      </c>
      <c r="G1176">
        <v>6</v>
      </c>
      <c r="H1176">
        <v>55000</v>
      </c>
      <c r="I1176">
        <v>341930</v>
      </c>
      <c r="J1176">
        <v>75225</v>
      </c>
    </row>
    <row r="1177" spans="1:10" x14ac:dyDescent="0.3">
      <c r="A1177" t="s">
        <v>10</v>
      </c>
      <c r="B1177" t="s">
        <v>25</v>
      </c>
      <c r="C1177" t="s">
        <v>26</v>
      </c>
      <c r="D1177" t="s">
        <v>54</v>
      </c>
      <c r="E1177" s="36">
        <v>45999</v>
      </c>
      <c r="F1177" t="s">
        <v>40</v>
      </c>
      <c r="G1177">
        <v>8</v>
      </c>
      <c r="H1177">
        <v>15000</v>
      </c>
      <c r="I1177">
        <v>111357</v>
      </c>
      <c r="J1177">
        <v>11136</v>
      </c>
    </row>
    <row r="1178" spans="1:10" x14ac:dyDescent="0.3">
      <c r="A1178" t="s">
        <v>18</v>
      </c>
      <c r="B1178" t="s">
        <v>25</v>
      </c>
      <c r="C1178" t="s">
        <v>26</v>
      </c>
      <c r="D1178" t="s">
        <v>156</v>
      </c>
      <c r="E1178" s="36">
        <v>45956</v>
      </c>
      <c r="F1178" t="s">
        <v>14</v>
      </c>
      <c r="G1178">
        <v>1</v>
      </c>
      <c r="H1178">
        <v>18500</v>
      </c>
      <c r="I1178">
        <v>19456</v>
      </c>
      <c r="J1178">
        <v>2335</v>
      </c>
    </row>
    <row r="1179" spans="1:10" x14ac:dyDescent="0.3">
      <c r="A1179" t="s">
        <v>10</v>
      </c>
      <c r="B1179" t="s">
        <v>25</v>
      </c>
      <c r="C1179" t="s">
        <v>26</v>
      </c>
      <c r="D1179" t="s">
        <v>191</v>
      </c>
      <c r="E1179" s="36">
        <v>45756</v>
      </c>
      <c r="F1179" t="s">
        <v>14</v>
      </c>
      <c r="G1179">
        <v>4</v>
      </c>
      <c r="H1179">
        <v>18500</v>
      </c>
      <c r="I1179">
        <v>67427</v>
      </c>
      <c r="J1179">
        <v>8091</v>
      </c>
    </row>
    <row r="1180" spans="1:10" x14ac:dyDescent="0.3">
      <c r="A1180" t="s">
        <v>18</v>
      </c>
      <c r="B1180" t="s">
        <v>25</v>
      </c>
      <c r="C1180" t="s">
        <v>26</v>
      </c>
      <c r="D1180" t="s">
        <v>194</v>
      </c>
      <c r="E1180" s="36">
        <v>45962</v>
      </c>
      <c r="F1180" t="s">
        <v>36</v>
      </c>
      <c r="G1180">
        <v>5</v>
      </c>
      <c r="H1180">
        <v>55000</v>
      </c>
      <c r="I1180">
        <v>255858</v>
      </c>
      <c r="J1180">
        <v>56289</v>
      </c>
    </row>
    <row r="1181" spans="1:10" x14ac:dyDescent="0.3">
      <c r="A1181" t="s">
        <v>15</v>
      </c>
      <c r="B1181" t="s">
        <v>25</v>
      </c>
      <c r="C1181" t="s">
        <v>26</v>
      </c>
      <c r="D1181" t="s">
        <v>80</v>
      </c>
      <c r="E1181" s="36">
        <v>45896</v>
      </c>
      <c r="F1181" t="s">
        <v>36</v>
      </c>
      <c r="G1181">
        <v>8</v>
      </c>
      <c r="H1181">
        <v>55000</v>
      </c>
      <c r="I1181">
        <v>449314</v>
      </c>
      <c r="J1181">
        <v>98849</v>
      </c>
    </row>
    <row r="1182" spans="1:10" x14ac:dyDescent="0.3">
      <c r="A1182" t="s">
        <v>10</v>
      </c>
      <c r="B1182" t="s">
        <v>25</v>
      </c>
      <c r="C1182" t="s">
        <v>26</v>
      </c>
      <c r="D1182" t="s">
        <v>157</v>
      </c>
      <c r="E1182" s="36">
        <v>45992</v>
      </c>
      <c r="F1182" t="s">
        <v>14</v>
      </c>
      <c r="G1182">
        <v>9</v>
      </c>
      <c r="H1182">
        <v>18500</v>
      </c>
      <c r="I1182">
        <v>178117</v>
      </c>
      <c r="J1182">
        <v>21374</v>
      </c>
    </row>
    <row r="1183" spans="1:10" x14ac:dyDescent="0.3">
      <c r="A1183" t="s">
        <v>18</v>
      </c>
      <c r="B1183" t="s">
        <v>25</v>
      </c>
      <c r="C1183" t="s">
        <v>26</v>
      </c>
      <c r="D1183" t="s">
        <v>125</v>
      </c>
      <c r="E1183" s="36">
        <v>45669</v>
      </c>
      <c r="F1183" t="s">
        <v>14</v>
      </c>
      <c r="G1183">
        <v>6</v>
      </c>
      <c r="H1183">
        <v>18500</v>
      </c>
      <c r="I1183">
        <v>114025</v>
      </c>
      <c r="J1183">
        <v>13683</v>
      </c>
    </row>
    <row r="1184" spans="1:10" x14ac:dyDescent="0.3">
      <c r="A1184" t="s">
        <v>37</v>
      </c>
      <c r="B1184" t="s">
        <v>25</v>
      </c>
      <c r="C1184" t="s">
        <v>26</v>
      </c>
      <c r="D1184" t="s">
        <v>101</v>
      </c>
      <c r="E1184" s="36">
        <v>45772</v>
      </c>
      <c r="F1184" t="s">
        <v>14</v>
      </c>
      <c r="G1184">
        <v>7</v>
      </c>
      <c r="H1184">
        <v>18500</v>
      </c>
      <c r="I1184">
        <v>140252</v>
      </c>
      <c r="J1184">
        <v>16830</v>
      </c>
    </row>
    <row r="1185" spans="1:10" x14ac:dyDescent="0.3">
      <c r="A1185" t="s">
        <v>10</v>
      </c>
      <c r="B1185" t="s">
        <v>25</v>
      </c>
      <c r="C1185" t="s">
        <v>26</v>
      </c>
      <c r="D1185" t="s">
        <v>223</v>
      </c>
      <c r="E1185" s="36">
        <v>45799</v>
      </c>
      <c r="F1185" t="s">
        <v>40</v>
      </c>
      <c r="G1185">
        <v>4</v>
      </c>
      <c r="H1185">
        <v>15000</v>
      </c>
      <c r="I1185">
        <v>62897</v>
      </c>
      <c r="J1185">
        <v>6290</v>
      </c>
    </row>
    <row r="1186" spans="1:10" x14ac:dyDescent="0.3">
      <c r="A1186" t="s">
        <v>18</v>
      </c>
      <c r="B1186" t="s">
        <v>25</v>
      </c>
      <c r="C1186" t="s">
        <v>26</v>
      </c>
      <c r="D1186" t="s">
        <v>170</v>
      </c>
      <c r="E1186" s="36">
        <v>45719</v>
      </c>
      <c r="F1186" t="s">
        <v>14</v>
      </c>
      <c r="G1186">
        <v>1</v>
      </c>
      <c r="H1186">
        <v>18500</v>
      </c>
      <c r="I1186">
        <v>17541</v>
      </c>
      <c r="J1186">
        <v>2105</v>
      </c>
    </row>
    <row r="1187" spans="1:10" x14ac:dyDescent="0.3">
      <c r="A1187" t="s">
        <v>10</v>
      </c>
      <c r="B1187" t="s">
        <v>25</v>
      </c>
      <c r="C1187" t="s">
        <v>26</v>
      </c>
      <c r="D1187" t="s">
        <v>147</v>
      </c>
      <c r="E1187" s="36">
        <v>45856</v>
      </c>
      <c r="F1187" t="s">
        <v>33</v>
      </c>
      <c r="G1187">
        <v>6</v>
      </c>
      <c r="H1187">
        <v>45000</v>
      </c>
      <c r="I1187">
        <v>266358</v>
      </c>
      <c r="J1187">
        <v>47944</v>
      </c>
    </row>
    <row r="1188" spans="1:10" x14ac:dyDescent="0.3">
      <c r="A1188" t="s">
        <v>37</v>
      </c>
      <c r="B1188" t="s">
        <v>25</v>
      </c>
      <c r="C1188" t="s">
        <v>26</v>
      </c>
      <c r="D1188" t="s">
        <v>151</v>
      </c>
      <c r="E1188" s="36">
        <v>46021</v>
      </c>
      <c r="F1188" t="s">
        <v>14</v>
      </c>
      <c r="G1188">
        <v>2</v>
      </c>
      <c r="H1188">
        <v>18500</v>
      </c>
      <c r="I1188">
        <v>36569</v>
      </c>
      <c r="J1188">
        <v>4388</v>
      </c>
    </row>
    <row r="1189" spans="1:10" x14ac:dyDescent="0.3">
      <c r="A1189" t="s">
        <v>18</v>
      </c>
      <c r="B1189" t="s">
        <v>25</v>
      </c>
      <c r="C1189" t="s">
        <v>26</v>
      </c>
      <c r="D1189" t="s">
        <v>197</v>
      </c>
      <c r="E1189" s="36">
        <v>45792</v>
      </c>
      <c r="F1189" t="s">
        <v>33</v>
      </c>
      <c r="G1189">
        <v>9</v>
      </c>
      <c r="H1189">
        <v>45000</v>
      </c>
      <c r="I1189">
        <v>366366</v>
      </c>
      <c r="J1189">
        <v>65946</v>
      </c>
    </row>
    <row r="1190" spans="1:10" x14ac:dyDescent="0.3">
      <c r="A1190" t="s">
        <v>15</v>
      </c>
      <c r="B1190" t="s">
        <v>25</v>
      </c>
      <c r="C1190" t="s">
        <v>26</v>
      </c>
      <c r="D1190" t="s">
        <v>171</v>
      </c>
      <c r="E1190" s="36">
        <v>45857</v>
      </c>
      <c r="F1190" t="s">
        <v>14</v>
      </c>
      <c r="G1190">
        <v>10</v>
      </c>
      <c r="H1190">
        <v>18500</v>
      </c>
      <c r="I1190">
        <v>198790</v>
      </c>
      <c r="J1190">
        <v>23855</v>
      </c>
    </row>
    <row r="1191" spans="1:10" x14ac:dyDescent="0.3">
      <c r="A1191" t="s">
        <v>15</v>
      </c>
      <c r="B1191" t="s">
        <v>25</v>
      </c>
      <c r="C1191" t="s">
        <v>26</v>
      </c>
      <c r="D1191" t="s">
        <v>246</v>
      </c>
      <c r="E1191" s="36">
        <v>45923</v>
      </c>
      <c r="F1191" t="s">
        <v>33</v>
      </c>
      <c r="G1191">
        <v>9</v>
      </c>
      <c r="H1191">
        <v>45000</v>
      </c>
      <c r="I1191">
        <v>423191</v>
      </c>
      <c r="J1191">
        <v>76174</v>
      </c>
    </row>
    <row r="1192" spans="1:10" x14ac:dyDescent="0.3">
      <c r="A1192" t="s">
        <v>15</v>
      </c>
      <c r="B1192" t="s">
        <v>25</v>
      </c>
      <c r="C1192" t="s">
        <v>26</v>
      </c>
      <c r="D1192" t="s">
        <v>216</v>
      </c>
      <c r="E1192" s="36">
        <v>45923</v>
      </c>
      <c r="F1192" t="s">
        <v>36</v>
      </c>
      <c r="G1192">
        <v>4</v>
      </c>
      <c r="H1192">
        <v>55000</v>
      </c>
      <c r="I1192">
        <v>200379</v>
      </c>
      <c r="J1192">
        <v>44083</v>
      </c>
    </row>
    <row r="1193" spans="1:10" x14ac:dyDescent="0.3">
      <c r="A1193" t="s">
        <v>18</v>
      </c>
      <c r="B1193" t="s">
        <v>25</v>
      </c>
      <c r="C1193" t="s">
        <v>26</v>
      </c>
      <c r="D1193" t="s">
        <v>244</v>
      </c>
      <c r="E1193" s="36">
        <v>45940</v>
      </c>
      <c r="F1193" t="s">
        <v>36</v>
      </c>
      <c r="G1193">
        <v>3</v>
      </c>
      <c r="H1193">
        <v>55000</v>
      </c>
      <c r="I1193">
        <v>158811</v>
      </c>
      <c r="J1193">
        <v>34938</v>
      </c>
    </row>
    <row r="1194" spans="1:10" x14ac:dyDescent="0.3">
      <c r="A1194" t="s">
        <v>37</v>
      </c>
      <c r="B1194" t="s">
        <v>25</v>
      </c>
      <c r="C1194" t="s">
        <v>26</v>
      </c>
      <c r="D1194" t="s">
        <v>47</v>
      </c>
      <c r="E1194" s="36">
        <v>45859</v>
      </c>
      <c r="F1194" t="s">
        <v>14</v>
      </c>
      <c r="G1194">
        <v>9</v>
      </c>
      <c r="H1194">
        <v>18500</v>
      </c>
      <c r="I1194">
        <v>178256</v>
      </c>
      <c r="J1194">
        <v>21391</v>
      </c>
    </row>
    <row r="1195" spans="1:10" x14ac:dyDescent="0.3">
      <c r="A1195" t="s">
        <v>18</v>
      </c>
      <c r="B1195" t="s">
        <v>25</v>
      </c>
      <c r="C1195" t="s">
        <v>26</v>
      </c>
      <c r="D1195" t="s">
        <v>67</v>
      </c>
      <c r="E1195" s="36">
        <v>45940</v>
      </c>
      <c r="F1195" t="s">
        <v>40</v>
      </c>
      <c r="G1195">
        <v>6</v>
      </c>
      <c r="H1195">
        <v>15000</v>
      </c>
      <c r="I1195">
        <v>96911</v>
      </c>
      <c r="J1195">
        <v>9691</v>
      </c>
    </row>
    <row r="1196" spans="1:10" x14ac:dyDescent="0.3">
      <c r="A1196" t="s">
        <v>41</v>
      </c>
      <c r="B1196" t="s">
        <v>25</v>
      </c>
      <c r="C1196" t="s">
        <v>26</v>
      </c>
      <c r="D1196" t="s">
        <v>157</v>
      </c>
      <c r="E1196" s="36">
        <v>45725</v>
      </c>
      <c r="F1196" t="s">
        <v>33</v>
      </c>
      <c r="G1196">
        <v>10</v>
      </c>
      <c r="H1196">
        <v>45000</v>
      </c>
      <c r="I1196">
        <v>438852</v>
      </c>
      <c r="J1196">
        <v>78993</v>
      </c>
    </row>
    <row r="1197" spans="1:10" x14ac:dyDescent="0.3">
      <c r="A1197" t="s">
        <v>15</v>
      </c>
      <c r="B1197" t="s">
        <v>25</v>
      </c>
      <c r="C1197" t="s">
        <v>26</v>
      </c>
      <c r="D1197" t="s">
        <v>73</v>
      </c>
      <c r="E1197" s="36">
        <v>46017</v>
      </c>
      <c r="F1197" t="s">
        <v>33</v>
      </c>
      <c r="G1197">
        <v>8</v>
      </c>
      <c r="H1197">
        <v>45000</v>
      </c>
      <c r="I1197">
        <v>383940</v>
      </c>
      <c r="J1197">
        <v>69109</v>
      </c>
    </row>
    <row r="1198" spans="1:10" x14ac:dyDescent="0.3">
      <c r="A1198" t="s">
        <v>15</v>
      </c>
      <c r="B1198" t="s">
        <v>25</v>
      </c>
      <c r="C1198" t="s">
        <v>26</v>
      </c>
      <c r="D1198" t="s">
        <v>255</v>
      </c>
      <c r="E1198" s="36">
        <v>46001</v>
      </c>
      <c r="F1198" t="s">
        <v>33</v>
      </c>
      <c r="G1198">
        <v>3</v>
      </c>
      <c r="H1198">
        <v>45000</v>
      </c>
      <c r="I1198">
        <v>123174</v>
      </c>
      <c r="J1198">
        <v>22171</v>
      </c>
    </row>
    <row r="1199" spans="1:10" x14ac:dyDescent="0.3">
      <c r="A1199" t="s">
        <v>37</v>
      </c>
      <c r="B1199" t="s">
        <v>25</v>
      </c>
      <c r="C1199" t="s">
        <v>26</v>
      </c>
      <c r="D1199" t="s">
        <v>136</v>
      </c>
      <c r="E1199" s="36">
        <v>45709</v>
      </c>
      <c r="F1199" t="s">
        <v>40</v>
      </c>
      <c r="G1199">
        <v>1</v>
      </c>
      <c r="H1199">
        <v>15000</v>
      </c>
      <c r="I1199">
        <v>13516</v>
      </c>
      <c r="J1199">
        <v>1352</v>
      </c>
    </row>
    <row r="1200" spans="1:10" x14ac:dyDescent="0.3">
      <c r="A1200" t="s">
        <v>37</v>
      </c>
      <c r="B1200" t="s">
        <v>25</v>
      </c>
      <c r="C1200" t="s">
        <v>26</v>
      </c>
      <c r="D1200" t="s">
        <v>211</v>
      </c>
      <c r="E1200" s="36">
        <v>45741</v>
      </c>
      <c r="F1200" t="s">
        <v>40</v>
      </c>
      <c r="G1200">
        <v>6</v>
      </c>
      <c r="H1200">
        <v>15000</v>
      </c>
      <c r="I1200">
        <v>96207</v>
      </c>
      <c r="J1200">
        <v>9621</v>
      </c>
    </row>
    <row r="1201" spans="1:10" x14ac:dyDescent="0.3">
      <c r="A1201" t="s">
        <v>10</v>
      </c>
      <c r="B1201" t="s">
        <v>25</v>
      </c>
      <c r="C1201" t="s">
        <v>26</v>
      </c>
      <c r="D1201" t="s">
        <v>202</v>
      </c>
      <c r="E1201" s="36">
        <v>46005</v>
      </c>
      <c r="F1201" t="s">
        <v>14</v>
      </c>
      <c r="G1201">
        <v>2</v>
      </c>
      <c r="H1201">
        <v>18500</v>
      </c>
      <c r="I1201">
        <v>36347</v>
      </c>
      <c r="J1201">
        <v>4362</v>
      </c>
    </row>
    <row r="1202" spans="1:10" x14ac:dyDescent="0.3">
      <c r="A1202" t="s">
        <v>18</v>
      </c>
      <c r="B1202" t="s">
        <v>25</v>
      </c>
      <c r="C1202" t="s">
        <v>26</v>
      </c>
      <c r="D1202" t="s">
        <v>62</v>
      </c>
      <c r="E1202" s="36">
        <v>45871</v>
      </c>
      <c r="F1202" t="s">
        <v>33</v>
      </c>
      <c r="G1202">
        <v>4</v>
      </c>
      <c r="H1202">
        <v>45000</v>
      </c>
      <c r="I1202">
        <v>194490</v>
      </c>
      <c r="J1202">
        <v>35008</v>
      </c>
    </row>
    <row r="1203" spans="1:10" x14ac:dyDescent="0.3">
      <c r="A1203" t="s">
        <v>15</v>
      </c>
      <c r="B1203" t="s">
        <v>25</v>
      </c>
      <c r="C1203" t="s">
        <v>26</v>
      </c>
      <c r="D1203" t="s">
        <v>132</v>
      </c>
      <c r="E1203" s="36">
        <v>45791</v>
      </c>
      <c r="F1203" t="s">
        <v>33</v>
      </c>
      <c r="G1203">
        <v>1</v>
      </c>
      <c r="H1203">
        <v>45000</v>
      </c>
      <c r="I1203">
        <v>44185</v>
      </c>
      <c r="J1203">
        <v>7953</v>
      </c>
    </row>
    <row r="1204" spans="1:10" x14ac:dyDescent="0.3">
      <c r="A1204" t="s">
        <v>18</v>
      </c>
      <c r="B1204" t="s">
        <v>25</v>
      </c>
      <c r="C1204" t="s">
        <v>26</v>
      </c>
      <c r="D1204" t="s">
        <v>73</v>
      </c>
      <c r="E1204" s="36">
        <v>45858</v>
      </c>
      <c r="F1204" t="s">
        <v>40</v>
      </c>
      <c r="G1204">
        <v>10</v>
      </c>
      <c r="H1204">
        <v>15000</v>
      </c>
      <c r="I1204">
        <v>139641</v>
      </c>
      <c r="J1204">
        <v>13964</v>
      </c>
    </row>
    <row r="1205" spans="1:10" x14ac:dyDescent="0.3">
      <c r="A1205" t="s">
        <v>18</v>
      </c>
      <c r="B1205" t="s">
        <v>25</v>
      </c>
      <c r="C1205" t="s">
        <v>26</v>
      </c>
      <c r="D1205" t="s">
        <v>52</v>
      </c>
      <c r="E1205" s="36">
        <v>45871</v>
      </c>
      <c r="F1205" t="s">
        <v>14</v>
      </c>
      <c r="G1205">
        <v>6</v>
      </c>
      <c r="H1205">
        <v>18500</v>
      </c>
      <c r="I1205">
        <v>102517</v>
      </c>
      <c r="J1205">
        <v>12302</v>
      </c>
    </row>
    <row r="1206" spans="1:10" x14ac:dyDescent="0.3">
      <c r="A1206" t="s">
        <v>18</v>
      </c>
      <c r="B1206" t="s">
        <v>25</v>
      </c>
      <c r="C1206" t="s">
        <v>26</v>
      </c>
      <c r="D1206" t="s">
        <v>95</v>
      </c>
      <c r="E1206" s="36">
        <v>45895</v>
      </c>
      <c r="F1206" t="s">
        <v>33</v>
      </c>
      <c r="G1206">
        <v>10</v>
      </c>
      <c r="H1206">
        <v>45000</v>
      </c>
      <c r="I1206">
        <v>418599</v>
      </c>
      <c r="J1206">
        <v>75348</v>
      </c>
    </row>
    <row r="1207" spans="1:10" x14ac:dyDescent="0.3">
      <c r="A1207" t="s">
        <v>37</v>
      </c>
      <c r="B1207" t="s">
        <v>25</v>
      </c>
      <c r="C1207" t="s">
        <v>26</v>
      </c>
      <c r="D1207" t="s">
        <v>248</v>
      </c>
      <c r="E1207" s="36">
        <v>45880</v>
      </c>
      <c r="F1207" t="s">
        <v>36</v>
      </c>
      <c r="G1207">
        <v>10</v>
      </c>
      <c r="H1207">
        <v>55000</v>
      </c>
      <c r="I1207">
        <v>509609</v>
      </c>
      <c r="J1207">
        <v>112114</v>
      </c>
    </row>
    <row r="1208" spans="1:10" x14ac:dyDescent="0.3">
      <c r="A1208" t="s">
        <v>41</v>
      </c>
      <c r="B1208" t="s">
        <v>25</v>
      </c>
      <c r="C1208" t="s">
        <v>26</v>
      </c>
      <c r="D1208" t="s">
        <v>247</v>
      </c>
      <c r="E1208" s="36">
        <v>45902</v>
      </c>
      <c r="F1208" t="s">
        <v>33</v>
      </c>
      <c r="G1208">
        <v>1</v>
      </c>
      <c r="H1208">
        <v>45000</v>
      </c>
      <c r="I1208">
        <v>41993</v>
      </c>
      <c r="J1208">
        <v>7559</v>
      </c>
    </row>
    <row r="1209" spans="1:10" x14ac:dyDescent="0.3">
      <c r="A1209" t="s">
        <v>10</v>
      </c>
      <c r="B1209" t="s">
        <v>25</v>
      </c>
      <c r="C1209" t="s">
        <v>26</v>
      </c>
      <c r="D1209" t="s">
        <v>228</v>
      </c>
      <c r="E1209" s="36">
        <v>45705</v>
      </c>
      <c r="F1209" t="s">
        <v>36</v>
      </c>
      <c r="G1209">
        <v>2</v>
      </c>
      <c r="H1209">
        <v>55000</v>
      </c>
      <c r="I1209">
        <v>104502</v>
      </c>
      <c r="J1209">
        <v>22990</v>
      </c>
    </row>
    <row r="1210" spans="1:10" x14ac:dyDescent="0.3">
      <c r="A1210" t="s">
        <v>41</v>
      </c>
      <c r="B1210" t="s">
        <v>25</v>
      </c>
      <c r="C1210" t="s">
        <v>26</v>
      </c>
      <c r="D1210" t="s">
        <v>109</v>
      </c>
      <c r="E1210" s="36">
        <v>45898</v>
      </c>
      <c r="F1210" t="s">
        <v>40</v>
      </c>
      <c r="G1210">
        <v>9</v>
      </c>
      <c r="H1210">
        <v>15000</v>
      </c>
      <c r="I1210">
        <v>134247</v>
      </c>
      <c r="J1210">
        <v>13425</v>
      </c>
    </row>
    <row r="1211" spans="1:10" x14ac:dyDescent="0.3">
      <c r="A1211" t="s">
        <v>10</v>
      </c>
      <c r="B1211" t="s">
        <v>25</v>
      </c>
      <c r="C1211" t="s">
        <v>26</v>
      </c>
      <c r="D1211" t="s">
        <v>235</v>
      </c>
      <c r="E1211" s="36">
        <v>45772</v>
      </c>
      <c r="F1211" t="s">
        <v>14</v>
      </c>
      <c r="G1211">
        <v>4</v>
      </c>
      <c r="H1211">
        <v>18500</v>
      </c>
      <c r="I1211">
        <v>79396</v>
      </c>
      <c r="J1211">
        <v>9528</v>
      </c>
    </row>
    <row r="1212" spans="1:10" x14ac:dyDescent="0.3">
      <c r="A1212" t="s">
        <v>41</v>
      </c>
      <c r="B1212" t="s">
        <v>25</v>
      </c>
      <c r="C1212" t="s">
        <v>26</v>
      </c>
      <c r="D1212" t="s">
        <v>67</v>
      </c>
      <c r="E1212" s="36">
        <v>45737</v>
      </c>
      <c r="F1212" t="s">
        <v>33</v>
      </c>
      <c r="G1212">
        <v>3</v>
      </c>
      <c r="H1212">
        <v>45000</v>
      </c>
      <c r="I1212">
        <v>127281</v>
      </c>
      <c r="J1212">
        <v>22911</v>
      </c>
    </row>
    <row r="1213" spans="1:10" x14ac:dyDescent="0.3">
      <c r="A1213" t="s">
        <v>10</v>
      </c>
      <c r="B1213" t="s">
        <v>25</v>
      </c>
      <c r="C1213" t="s">
        <v>26</v>
      </c>
      <c r="D1213" t="s">
        <v>158</v>
      </c>
      <c r="E1213" s="36">
        <v>45816</v>
      </c>
      <c r="F1213" t="s">
        <v>36</v>
      </c>
      <c r="G1213">
        <v>1</v>
      </c>
      <c r="H1213">
        <v>55000</v>
      </c>
      <c r="I1213">
        <v>50731</v>
      </c>
      <c r="J1213">
        <v>11161</v>
      </c>
    </row>
    <row r="1214" spans="1:10" x14ac:dyDescent="0.3">
      <c r="A1214" t="s">
        <v>41</v>
      </c>
      <c r="B1214" t="s">
        <v>25</v>
      </c>
      <c r="C1214" t="s">
        <v>26</v>
      </c>
      <c r="D1214" t="s">
        <v>161</v>
      </c>
      <c r="E1214" s="36">
        <v>45803</v>
      </c>
      <c r="F1214" t="s">
        <v>33</v>
      </c>
      <c r="G1214">
        <v>1</v>
      </c>
      <c r="H1214">
        <v>45000</v>
      </c>
      <c r="I1214">
        <v>41829</v>
      </c>
      <c r="J1214">
        <v>7529</v>
      </c>
    </row>
    <row r="1215" spans="1:10" x14ac:dyDescent="0.3">
      <c r="A1215" t="s">
        <v>18</v>
      </c>
      <c r="B1215" t="s">
        <v>25</v>
      </c>
      <c r="C1215" t="s">
        <v>26</v>
      </c>
      <c r="D1215" t="s">
        <v>140</v>
      </c>
      <c r="E1215" s="36">
        <v>45697</v>
      </c>
      <c r="F1215" t="s">
        <v>40</v>
      </c>
      <c r="G1215">
        <v>3</v>
      </c>
      <c r="H1215">
        <v>15000</v>
      </c>
      <c r="I1215">
        <v>49083</v>
      </c>
      <c r="J1215">
        <v>4908</v>
      </c>
    </row>
    <row r="1216" spans="1:10" x14ac:dyDescent="0.3">
      <c r="A1216" t="s">
        <v>18</v>
      </c>
      <c r="B1216" t="s">
        <v>25</v>
      </c>
      <c r="C1216" t="s">
        <v>26</v>
      </c>
      <c r="D1216" t="s">
        <v>243</v>
      </c>
      <c r="E1216" s="36">
        <v>46005</v>
      </c>
      <c r="F1216" t="s">
        <v>33</v>
      </c>
      <c r="G1216">
        <v>7</v>
      </c>
      <c r="H1216">
        <v>45000</v>
      </c>
      <c r="I1216">
        <v>285260</v>
      </c>
      <c r="J1216">
        <v>51347</v>
      </c>
    </row>
    <row r="1217" spans="1:10" x14ac:dyDescent="0.3">
      <c r="A1217" t="s">
        <v>10</v>
      </c>
      <c r="B1217" t="s">
        <v>25</v>
      </c>
      <c r="C1217" t="s">
        <v>26</v>
      </c>
      <c r="D1217" t="s">
        <v>39</v>
      </c>
      <c r="E1217" s="36">
        <v>45756</v>
      </c>
      <c r="F1217" t="s">
        <v>40</v>
      </c>
      <c r="G1217">
        <v>3</v>
      </c>
      <c r="H1217">
        <v>15000</v>
      </c>
      <c r="I1217">
        <v>43357</v>
      </c>
      <c r="J1217">
        <v>4336</v>
      </c>
    </row>
    <row r="1218" spans="1:10" x14ac:dyDescent="0.3">
      <c r="A1218" t="s">
        <v>15</v>
      </c>
      <c r="B1218" t="s">
        <v>25</v>
      </c>
      <c r="C1218" t="s">
        <v>26</v>
      </c>
      <c r="D1218" t="s">
        <v>205</v>
      </c>
      <c r="E1218" s="36">
        <v>45747</v>
      </c>
      <c r="F1218" t="s">
        <v>14</v>
      </c>
      <c r="G1218">
        <v>5</v>
      </c>
      <c r="H1218">
        <v>18500</v>
      </c>
      <c r="I1218">
        <v>95452</v>
      </c>
      <c r="J1218">
        <v>11454</v>
      </c>
    </row>
    <row r="1219" spans="1:10" x14ac:dyDescent="0.3">
      <c r="A1219" t="s">
        <v>41</v>
      </c>
      <c r="B1219" t="s">
        <v>25</v>
      </c>
      <c r="C1219" t="s">
        <v>26</v>
      </c>
      <c r="D1219" t="s">
        <v>171</v>
      </c>
      <c r="E1219" s="36">
        <v>45748</v>
      </c>
      <c r="F1219" t="s">
        <v>33</v>
      </c>
      <c r="G1219">
        <v>8</v>
      </c>
      <c r="H1219">
        <v>45000</v>
      </c>
      <c r="I1219">
        <v>336208</v>
      </c>
      <c r="J1219">
        <v>60517</v>
      </c>
    </row>
    <row r="1220" spans="1:10" x14ac:dyDescent="0.3">
      <c r="A1220" t="s">
        <v>10</v>
      </c>
      <c r="B1220" t="s">
        <v>25</v>
      </c>
      <c r="C1220" t="s">
        <v>26</v>
      </c>
      <c r="D1220" t="s">
        <v>177</v>
      </c>
      <c r="E1220" s="36">
        <v>45968</v>
      </c>
      <c r="F1220" t="s">
        <v>36</v>
      </c>
      <c r="G1220">
        <v>10</v>
      </c>
      <c r="H1220">
        <v>55000</v>
      </c>
      <c r="I1220">
        <v>595750</v>
      </c>
      <c r="J1220">
        <v>131065</v>
      </c>
    </row>
    <row r="1221" spans="1:10" x14ac:dyDescent="0.3">
      <c r="A1221" t="s">
        <v>10</v>
      </c>
      <c r="B1221" t="s">
        <v>25</v>
      </c>
      <c r="C1221" t="s">
        <v>26</v>
      </c>
      <c r="D1221" t="s">
        <v>187</v>
      </c>
      <c r="E1221" s="36">
        <v>45671</v>
      </c>
      <c r="F1221" t="s">
        <v>14</v>
      </c>
      <c r="G1221">
        <v>9</v>
      </c>
      <c r="H1221">
        <v>18500</v>
      </c>
      <c r="I1221">
        <v>155745</v>
      </c>
      <c r="J1221">
        <v>18689</v>
      </c>
    </row>
    <row r="1222" spans="1:10" x14ac:dyDescent="0.3">
      <c r="A1222" t="s">
        <v>15</v>
      </c>
      <c r="B1222" t="s">
        <v>25</v>
      </c>
      <c r="C1222" t="s">
        <v>26</v>
      </c>
      <c r="D1222" t="s">
        <v>90</v>
      </c>
      <c r="E1222" s="36">
        <v>45711</v>
      </c>
      <c r="F1222" t="s">
        <v>14</v>
      </c>
      <c r="G1222">
        <v>2</v>
      </c>
      <c r="H1222">
        <v>18500</v>
      </c>
      <c r="I1222">
        <v>35917</v>
      </c>
      <c r="J1222">
        <v>4310</v>
      </c>
    </row>
    <row r="1223" spans="1:10" x14ac:dyDescent="0.3">
      <c r="A1223" t="s">
        <v>10</v>
      </c>
      <c r="B1223" t="s">
        <v>25</v>
      </c>
      <c r="C1223" t="s">
        <v>26</v>
      </c>
      <c r="D1223" t="s">
        <v>216</v>
      </c>
      <c r="E1223" s="36">
        <v>46020</v>
      </c>
      <c r="F1223" t="s">
        <v>36</v>
      </c>
      <c r="G1223">
        <v>8</v>
      </c>
      <c r="H1223">
        <v>55000</v>
      </c>
      <c r="I1223">
        <v>473577</v>
      </c>
      <c r="J1223">
        <v>104187</v>
      </c>
    </row>
    <row r="1224" spans="1:10" x14ac:dyDescent="0.3">
      <c r="A1224" t="s">
        <v>10</v>
      </c>
      <c r="B1224" t="s">
        <v>25</v>
      </c>
      <c r="C1224" t="s">
        <v>26</v>
      </c>
      <c r="D1224" t="s">
        <v>94</v>
      </c>
      <c r="E1224" s="36">
        <v>45664</v>
      </c>
      <c r="F1224" t="s">
        <v>33</v>
      </c>
      <c r="G1224">
        <v>3</v>
      </c>
      <c r="H1224">
        <v>45000</v>
      </c>
      <c r="I1224">
        <v>145681</v>
      </c>
      <c r="J1224">
        <v>26223</v>
      </c>
    </row>
    <row r="1225" spans="1:10" x14ac:dyDescent="0.3">
      <c r="A1225" t="s">
        <v>10</v>
      </c>
      <c r="B1225" t="s">
        <v>25</v>
      </c>
      <c r="C1225" t="s">
        <v>26</v>
      </c>
      <c r="D1225" t="s">
        <v>148</v>
      </c>
      <c r="E1225" s="36">
        <v>45784</v>
      </c>
      <c r="F1225" t="s">
        <v>33</v>
      </c>
      <c r="G1225">
        <v>4</v>
      </c>
      <c r="H1225">
        <v>45000</v>
      </c>
      <c r="I1225">
        <v>171885</v>
      </c>
      <c r="J1225">
        <v>30939</v>
      </c>
    </row>
    <row r="1226" spans="1:10" x14ac:dyDescent="0.3">
      <c r="A1226" t="s">
        <v>41</v>
      </c>
      <c r="B1226" t="s">
        <v>25</v>
      </c>
      <c r="C1226" t="s">
        <v>26</v>
      </c>
      <c r="D1226" t="s">
        <v>87</v>
      </c>
      <c r="E1226" s="36">
        <v>45793</v>
      </c>
      <c r="F1226" t="s">
        <v>36</v>
      </c>
      <c r="G1226">
        <v>4</v>
      </c>
      <c r="H1226">
        <v>55000</v>
      </c>
      <c r="I1226">
        <v>201814</v>
      </c>
      <c r="J1226">
        <v>44399</v>
      </c>
    </row>
    <row r="1227" spans="1:10" x14ac:dyDescent="0.3">
      <c r="A1227" t="s">
        <v>15</v>
      </c>
      <c r="B1227" t="s">
        <v>25</v>
      </c>
      <c r="C1227" t="s">
        <v>26</v>
      </c>
      <c r="D1227" t="s">
        <v>247</v>
      </c>
      <c r="E1227" s="36">
        <v>45909</v>
      </c>
      <c r="F1227" t="s">
        <v>36</v>
      </c>
      <c r="G1227">
        <v>10</v>
      </c>
      <c r="H1227">
        <v>55000</v>
      </c>
      <c r="I1227">
        <v>513776</v>
      </c>
      <c r="J1227">
        <v>113031</v>
      </c>
    </row>
    <row r="1228" spans="1:10" x14ac:dyDescent="0.3">
      <c r="A1228" t="s">
        <v>37</v>
      </c>
      <c r="B1228" t="s">
        <v>25</v>
      </c>
      <c r="C1228" t="s">
        <v>26</v>
      </c>
      <c r="D1228" t="s">
        <v>181</v>
      </c>
      <c r="E1228" s="36">
        <v>45803</v>
      </c>
      <c r="F1228" t="s">
        <v>33</v>
      </c>
      <c r="G1228">
        <v>10</v>
      </c>
      <c r="H1228">
        <v>45000</v>
      </c>
      <c r="I1228">
        <v>438553</v>
      </c>
      <c r="J1228">
        <v>78940</v>
      </c>
    </row>
    <row r="1229" spans="1:10" x14ac:dyDescent="0.3">
      <c r="A1229" t="s">
        <v>37</v>
      </c>
      <c r="B1229" t="s">
        <v>25</v>
      </c>
      <c r="C1229" t="s">
        <v>26</v>
      </c>
      <c r="D1229" t="s">
        <v>188</v>
      </c>
      <c r="E1229" s="36">
        <v>45734</v>
      </c>
      <c r="F1229" t="s">
        <v>14</v>
      </c>
      <c r="G1229">
        <v>3</v>
      </c>
      <c r="H1229">
        <v>18500</v>
      </c>
      <c r="I1229">
        <v>53266</v>
      </c>
      <c r="J1229">
        <v>6392</v>
      </c>
    </row>
    <row r="1230" spans="1:10" x14ac:dyDescent="0.3">
      <c r="A1230" t="s">
        <v>15</v>
      </c>
      <c r="B1230" t="s">
        <v>25</v>
      </c>
      <c r="C1230" t="s">
        <v>26</v>
      </c>
      <c r="D1230" t="s">
        <v>138</v>
      </c>
      <c r="E1230" s="36">
        <v>45745</v>
      </c>
      <c r="F1230" t="s">
        <v>40</v>
      </c>
      <c r="G1230">
        <v>2</v>
      </c>
      <c r="H1230">
        <v>15000</v>
      </c>
      <c r="I1230">
        <v>27246</v>
      </c>
      <c r="J1230">
        <v>2725</v>
      </c>
    </row>
    <row r="1231" spans="1:10" x14ac:dyDescent="0.3">
      <c r="A1231" t="s">
        <v>18</v>
      </c>
      <c r="B1231" t="s">
        <v>25</v>
      </c>
      <c r="C1231" t="s">
        <v>26</v>
      </c>
      <c r="D1231" t="s">
        <v>258</v>
      </c>
      <c r="E1231" s="36">
        <v>45989</v>
      </c>
      <c r="F1231" t="s">
        <v>33</v>
      </c>
      <c r="G1231">
        <v>9</v>
      </c>
      <c r="H1231">
        <v>45000</v>
      </c>
      <c r="I1231">
        <v>406695</v>
      </c>
      <c r="J1231">
        <v>73205</v>
      </c>
    </row>
    <row r="1232" spans="1:10" x14ac:dyDescent="0.3">
      <c r="A1232" t="s">
        <v>41</v>
      </c>
      <c r="B1232" t="s">
        <v>25</v>
      </c>
      <c r="C1232" t="s">
        <v>26</v>
      </c>
      <c r="D1232" t="s">
        <v>13</v>
      </c>
      <c r="E1232" s="36">
        <v>46010</v>
      </c>
      <c r="F1232" t="s">
        <v>36</v>
      </c>
      <c r="G1232">
        <v>10</v>
      </c>
      <c r="H1232">
        <v>55000</v>
      </c>
      <c r="I1232">
        <v>539893</v>
      </c>
      <c r="J1232">
        <v>118776</v>
      </c>
    </row>
    <row r="1233" spans="1:10" x14ac:dyDescent="0.3">
      <c r="A1233" t="s">
        <v>10</v>
      </c>
      <c r="B1233" t="s">
        <v>25</v>
      </c>
      <c r="C1233" t="s">
        <v>26</v>
      </c>
      <c r="D1233" t="s">
        <v>133</v>
      </c>
      <c r="E1233" s="36">
        <v>45813</v>
      </c>
      <c r="F1233" t="s">
        <v>33</v>
      </c>
      <c r="G1233">
        <v>2</v>
      </c>
      <c r="H1233">
        <v>45000</v>
      </c>
      <c r="I1233">
        <v>82613</v>
      </c>
      <c r="J1233">
        <v>14870</v>
      </c>
    </row>
    <row r="1234" spans="1:10" x14ac:dyDescent="0.3">
      <c r="A1234" t="s">
        <v>10</v>
      </c>
      <c r="B1234" t="s">
        <v>25</v>
      </c>
      <c r="C1234" t="s">
        <v>26</v>
      </c>
      <c r="D1234" t="s">
        <v>52</v>
      </c>
      <c r="E1234" s="36">
        <v>45677</v>
      </c>
      <c r="F1234" t="s">
        <v>36</v>
      </c>
      <c r="G1234">
        <v>4</v>
      </c>
      <c r="H1234">
        <v>55000</v>
      </c>
      <c r="I1234">
        <v>239742</v>
      </c>
      <c r="J1234">
        <v>52743</v>
      </c>
    </row>
    <row r="1235" spans="1:10" x14ac:dyDescent="0.3">
      <c r="A1235" t="s">
        <v>15</v>
      </c>
      <c r="B1235" t="s">
        <v>25</v>
      </c>
      <c r="C1235" t="s">
        <v>26</v>
      </c>
      <c r="D1235" t="s">
        <v>165</v>
      </c>
      <c r="E1235" s="36">
        <v>45957</v>
      </c>
      <c r="F1235" t="s">
        <v>33</v>
      </c>
      <c r="G1235">
        <v>3</v>
      </c>
      <c r="H1235">
        <v>45000</v>
      </c>
      <c r="I1235">
        <v>128556</v>
      </c>
      <c r="J1235">
        <v>23140</v>
      </c>
    </row>
    <row r="1236" spans="1:10" x14ac:dyDescent="0.3">
      <c r="A1236" t="s">
        <v>15</v>
      </c>
      <c r="B1236" t="s">
        <v>25</v>
      </c>
      <c r="C1236" t="s">
        <v>26</v>
      </c>
      <c r="D1236" t="s">
        <v>59</v>
      </c>
      <c r="E1236" s="36">
        <v>45851</v>
      </c>
      <c r="F1236" t="s">
        <v>40</v>
      </c>
      <c r="G1236">
        <v>8</v>
      </c>
      <c r="H1236">
        <v>15000</v>
      </c>
      <c r="I1236">
        <v>112273</v>
      </c>
      <c r="J1236">
        <v>11227</v>
      </c>
    </row>
    <row r="1237" spans="1:10" x14ac:dyDescent="0.3">
      <c r="A1237" t="s">
        <v>37</v>
      </c>
      <c r="B1237" t="s">
        <v>25</v>
      </c>
      <c r="C1237" t="s">
        <v>26</v>
      </c>
      <c r="D1237" t="s">
        <v>182</v>
      </c>
      <c r="E1237" s="36">
        <v>45957</v>
      </c>
      <c r="F1237" t="s">
        <v>36</v>
      </c>
      <c r="G1237">
        <v>7</v>
      </c>
      <c r="H1237">
        <v>55000</v>
      </c>
      <c r="I1237">
        <v>417940</v>
      </c>
      <c r="J1237">
        <v>91947</v>
      </c>
    </row>
    <row r="1238" spans="1:10" x14ac:dyDescent="0.3">
      <c r="A1238" t="s">
        <v>18</v>
      </c>
      <c r="B1238" t="s">
        <v>25</v>
      </c>
      <c r="C1238" t="s">
        <v>26</v>
      </c>
      <c r="D1238" t="s">
        <v>171</v>
      </c>
      <c r="E1238" s="36">
        <v>45738</v>
      </c>
      <c r="F1238" t="s">
        <v>33</v>
      </c>
      <c r="G1238">
        <v>8</v>
      </c>
      <c r="H1238">
        <v>45000</v>
      </c>
      <c r="I1238">
        <v>388260</v>
      </c>
      <c r="J1238">
        <v>69887</v>
      </c>
    </row>
    <row r="1239" spans="1:10" x14ac:dyDescent="0.3">
      <c r="A1239" t="s">
        <v>10</v>
      </c>
      <c r="B1239" t="s">
        <v>25</v>
      </c>
      <c r="C1239" t="s">
        <v>26</v>
      </c>
      <c r="D1239" t="s">
        <v>239</v>
      </c>
      <c r="E1239" s="36">
        <v>45994</v>
      </c>
      <c r="F1239" t="s">
        <v>33</v>
      </c>
      <c r="G1239">
        <v>2</v>
      </c>
      <c r="H1239">
        <v>45000</v>
      </c>
      <c r="I1239">
        <v>89458</v>
      </c>
      <c r="J1239">
        <v>16102</v>
      </c>
    </row>
    <row r="1240" spans="1:10" x14ac:dyDescent="0.3">
      <c r="A1240" t="s">
        <v>10</v>
      </c>
      <c r="B1240" t="s">
        <v>25</v>
      </c>
      <c r="C1240" t="s">
        <v>26</v>
      </c>
      <c r="D1240" t="s">
        <v>257</v>
      </c>
      <c r="E1240" s="36">
        <v>45989</v>
      </c>
      <c r="F1240" t="s">
        <v>14</v>
      </c>
      <c r="G1240">
        <v>8</v>
      </c>
      <c r="H1240">
        <v>18500</v>
      </c>
      <c r="I1240">
        <v>157765</v>
      </c>
      <c r="J1240">
        <v>18932</v>
      </c>
    </row>
    <row r="1241" spans="1:10" x14ac:dyDescent="0.3">
      <c r="A1241" t="s">
        <v>37</v>
      </c>
      <c r="B1241" t="s">
        <v>25</v>
      </c>
      <c r="C1241" t="s">
        <v>26</v>
      </c>
      <c r="D1241" t="s">
        <v>171</v>
      </c>
      <c r="E1241" s="36">
        <v>45936</v>
      </c>
      <c r="F1241" t="s">
        <v>14</v>
      </c>
      <c r="G1241">
        <v>5</v>
      </c>
      <c r="H1241">
        <v>18500</v>
      </c>
      <c r="I1241">
        <v>85833</v>
      </c>
      <c r="J1241">
        <v>10300</v>
      </c>
    </row>
    <row r="1242" spans="1:10" x14ac:dyDescent="0.3">
      <c r="A1242" t="s">
        <v>15</v>
      </c>
      <c r="B1242" t="s">
        <v>25</v>
      </c>
      <c r="C1242" t="s">
        <v>26</v>
      </c>
      <c r="D1242" t="s">
        <v>149</v>
      </c>
      <c r="E1242" s="36">
        <v>45967</v>
      </c>
      <c r="F1242" t="s">
        <v>33</v>
      </c>
      <c r="G1242">
        <v>5</v>
      </c>
      <c r="H1242">
        <v>45000</v>
      </c>
      <c r="I1242">
        <v>231974</v>
      </c>
      <c r="J1242">
        <v>41755</v>
      </c>
    </row>
    <row r="1243" spans="1:10" x14ac:dyDescent="0.3">
      <c r="A1243" t="s">
        <v>37</v>
      </c>
      <c r="B1243" t="s">
        <v>25</v>
      </c>
      <c r="C1243" t="s">
        <v>26</v>
      </c>
      <c r="D1243" t="s">
        <v>128</v>
      </c>
      <c r="E1243" s="36">
        <v>45877</v>
      </c>
      <c r="F1243" t="s">
        <v>14</v>
      </c>
      <c r="G1243">
        <v>3</v>
      </c>
      <c r="H1243">
        <v>18500</v>
      </c>
      <c r="I1243">
        <v>50109</v>
      </c>
      <c r="J1243">
        <v>6013</v>
      </c>
    </row>
    <row r="1244" spans="1:10" x14ac:dyDescent="0.3">
      <c r="A1244" t="s">
        <v>15</v>
      </c>
      <c r="B1244" t="s">
        <v>25</v>
      </c>
      <c r="C1244" t="s">
        <v>26</v>
      </c>
      <c r="D1244" t="s">
        <v>161</v>
      </c>
      <c r="E1244" s="36">
        <v>45850</v>
      </c>
      <c r="F1244" t="s">
        <v>36</v>
      </c>
      <c r="G1244">
        <v>4</v>
      </c>
      <c r="H1244">
        <v>55000</v>
      </c>
      <c r="I1244">
        <v>205739</v>
      </c>
      <c r="J1244">
        <v>45263</v>
      </c>
    </row>
    <row r="1245" spans="1:10" x14ac:dyDescent="0.3">
      <c r="A1245" t="s">
        <v>15</v>
      </c>
      <c r="B1245" t="s">
        <v>25</v>
      </c>
      <c r="C1245" t="s">
        <v>26</v>
      </c>
      <c r="D1245" t="s">
        <v>104</v>
      </c>
      <c r="E1245" s="36">
        <v>45910</v>
      </c>
      <c r="F1245" t="s">
        <v>14</v>
      </c>
      <c r="G1245">
        <v>4</v>
      </c>
      <c r="H1245">
        <v>18500</v>
      </c>
      <c r="I1245">
        <v>67579</v>
      </c>
      <c r="J1245">
        <v>8109</v>
      </c>
    </row>
    <row r="1246" spans="1:10" x14ac:dyDescent="0.3">
      <c r="A1246" t="s">
        <v>18</v>
      </c>
      <c r="B1246" t="s">
        <v>25</v>
      </c>
      <c r="C1246" t="s">
        <v>26</v>
      </c>
      <c r="D1246" t="s">
        <v>199</v>
      </c>
      <c r="E1246" s="36">
        <v>45686</v>
      </c>
      <c r="F1246" t="s">
        <v>40</v>
      </c>
      <c r="G1246">
        <v>10</v>
      </c>
      <c r="H1246">
        <v>15000</v>
      </c>
      <c r="I1246">
        <v>162614</v>
      </c>
      <c r="J1246">
        <v>16261</v>
      </c>
    </row>
    <row r="1247" spans="1:10" x14ac:dyDescent="0.3">
      <c r="A1247" t="s">
        <v>15</v>
      </c>
      <c r="B1247" t="s">
        <v>25</v>
      </c>
      <c r="C1247" t="s">
        <v>26</v>
      </c>
      <c r="D1247" t="s">
        <v>47</v>
      </c>
      <c r="E1247" s="36">
        <v>45915</v>
      </c>
      <c r="F1247" t="s">
        <v>36</v>
      </c>
      <c r="G1247">
        <v>7</v>
      </c>
      <c r="H1247">
        <v>55000</v>
      </c>
      <c r="I1247">
        <v>356758</v>
      </c>
      <c r="J1247">
        <v>78487</v>
      </c>
    </row>
    <row r="1248" spans="1:10" x14ac:dyDescent="0.3">
      <c r="A1248" t="s">
        <v>15</v>
      </c>
      <c r="B1248" t="s">
        <v>25</v>
      </c>
      <c r="C1248" t="s">
        <v>26</v>
      </c>
      <c r="D1248" t="s">
        <v>100</v>
      </c>
      <c r="E1248" s="36">
        <v>45925</v>
      </c>
      <c r="F1248" t="s">
        <v>33</v>
      </c>
      <c r="G1248">
        <v>7</v>
      </c>
      <c r="H1248">
        <v>45000</v>
      </c>
      <c r="I1248">
        <v>291519</v>
      </c>
      <c r="J1248">
        <v>52473</v>
      </c>
    </row>
    <row r="1249" spans="1:10" x14ac:dyDescent="0.3">
      <c r="A1249" t="s">
        <v>15</v>
      </c>
      <c r="B1249" t="s">
        <v>25</v>
      </c>
      <c r="C1249" t="s">
        <v>26</v>
      </c>
      <c r="D1249" t="s">
        <v>183</v>
      </c>
      <c r="E1249" s="36">
        <v>46011</v>
      </c>
      <c r="F1249" t="s">
        <v>40</v>
      </c>
      <c r="G1249">
        <v>10</v>
      </c>
      <c r="H1249">
        <v>15000</v>
      </c>
      <c r="I1249">
        <v>145443</v>
      </c>
      <c r="J1249">
        <v>14544</v>
      </c>
    </row>
    <row r="1250" spans="1:10" x14ac:dyDescent="0.3">
      <c r="A1250" t="s">
        <v>41</v>
      </c>
      <c r="B1250" t="s">
        <v>25</v>
      </c>
      <c r="C1250" t="s">
        <v>26</v>
      </c>
      <c r="D1250" t="s">
        <v>94</v>
      </c>
      <c r="E1250" s="36">
        <v>46011</v>
      </c>
      <c r="F1250" t="s">
        <v>40</v>
      </c>
      <c r="G1250">
        <v>8</v>
      </c>
      <c r="H1250">
        <v>15000</v>
      </c>
      <c r="I1250">
        <v>108975</v>
      </c>
      <c r="J1250">
        <v>10898</v>
      </c>
    </row>
    <row r="1251" spans="1:10" x14ac:dyDescent="0.3">
      <c r="A1251" t="s">
        <v>18</v>
      </c>
      <c r="B1251" t="s">
        <v>25</v>
      </c>
      <c r="C1251" t="s">
        <v>26</v>
      </c>
      <c r="D1251" t="s">
        <v>20</v>
      </c>
      <c r="E1251" s="36">
        <v>45905</v>
      </c>
      <c r="F1251" t="s">
        <v>14</v>
      </c>
      <c r="G1251">
        <v>10</v>
      </c>
      <c r="H1251">
        <v>18500</v>
      </c>
      <c r="I1251">
        <v>194318</v>
      </c>
      <c r="J1251">
        <v>23318</v>
      </c>
    </row>
    <row r="1252" spans="1:10" x14ac:dyDescent="0.3">
      <c r="A1252" t="s">
        <v>10</v>
      </c>
      <c r="B1252" t="s">
        <v>25</v>
      </c>
      <c r="C1252" t="s">
        <v>26</v>
      </c>
      <c r="D1252" t="s">
        <v>227</v>
      </c>
      <c r="E1252" s="36">
        <v>45868</v>
      </c>
      <c r="F1252" t="s">
        <v>33</v>
      </c>
      <c r="G1252">
        <v>6</v>
      </c>
      <c r="H1252">
        <v>45000</v>
      </c>
      <c r="I1252">
        <v>289944</v>
      </c>
      <c r="J1252">
        <v>52190</v>
      </c>
    </row>
    <row r="1253" spans="1:10" x14ac:dyDescent="0.3">
      <c r="A1253" t="s">
        <v>18</v>
      </c>
      <c r="B1253" t="s">
        <v>25</v>
      </c>
      <c r="C1253" t="s">
        <v>26</v>
      </c>
      <c r="D1253" t="s">
        <v>130</v>
      </c>
      <c r="E1253" s="36">
        <v>45911</v>
      </c>
      <c r="F1253" t="s">
        <v>14</v>
      </c>
      <c r="G1253">
        <v>4</v>
      </c>
      <c r="H1253">
        <v>18500</v>
      </c>
      <c r="I1253">
        <v>74512</v>
      </c>
      <c r="J1253">
        <v>8941</v>
      </c>
    </row>
    <row r="1254" spans="1:10" x14ac:dyDescent="0.3">
      <c r="A1254" t="s">
        <v>37</v>
      </c>
      <c r="B1254" t="s">
        <v>25</v>
      </c>
      <c r="C1254" t="s">
        <v>26</v>
      </c>
      <c r="D1254" t="s">
        <v>140</v>
      </c>
      <c r="E1254" s="36">
        <v>45924</v>
      </c>
      <c r="F1254" t="s">
        <v>36</v>
      </c>
      <c r="G1254">
        <v>3</v>
      </c>
      <c r="H1254">
        <v>55000</v>
      </c>
      <c r="I1254">
        <v>162441</v>
      </c>
      <c r="J1254">
        <v>35737</v>
      </c>
    </row>
    <row r="1255" spans="1:10" x14ac:dyDescent="0.3">
      <c r="A1255" t="s">
        <v>15</v>
      </c>
      <c r="B1255" t="s">
        <v>25</v>
      </c>
      <c r="C1255" t="s">
        <v>26</v>
      </c>
      <c r="D1255" t="s">
        <v>147</v>
      </c>
      <c r="E1255" s="36">
        <v>45820</v>
      </c>
      <c r="F1255" t="s">
        <v>36</v>
      </c>
      <c r="G1255">
        <v>3</v>
      </c>
      <c r="H1255">
        <v>55000</v>
      </c>
      <c r="I1255">
        <v>173876</v>
      </c>
      <c r="J1255">
        <v>38253</v>
      </c>
    </row>
    <row r="1256" spans="1:10" x14ac:dyDescent="0.3">
      <c r="A1256" t="s">
        <v>10</v>
      </c>
      <c r="B1256" t="s">
        <v>25</v>
      </c>
      <c r="C1256" t="s">
        <v>26</v>
      </c>
      <c r="D1256" t="s">
        <v>212</v>
      </c>
      <c r="E1256" s="36">
        <v>45729</v>
      </c>
      <c r="F1256" t="s">
        <v>36</v>
      </c>
      <c r="G1256">
        <v>10</v>
      </c>
      <c r="H1256">
        <v>55000</v>
      </c>
      <c r="I1256">
        <v>588258</v>
      </c>
      <c r="J1256">
        <v>129417</v>
      </c>
    </row>
    <row r="1257" spans="1:10" x14ac:dyDescent="0.3">
      <c r="A1257" t="s">
        <v>15</v>
      </c>
      <c r="B1257" t="s">
        <v>25</v>
      </c>
      <c r="C1257" t="s">
        <v>26</v>
      </c>
      <c r="D1257" t="s">
        <v>252</v>
      </c>
      <c r="E1257" s="36">
        <v>45812</v>
      </c>
      <c r="F1257" t="s">
        <v>14</v>
      </c>
      <c r="G1257">
        <v>3</v>
      </c>
      <c r="H1257">
        <v>18500</v>
      </c>
      <c r="I1257">
        <v>57394</v>
      </c>
      <c r="J1257">
        <v>6887</v>
      </c>
    </row>
    <row r="1258" spans="1:10" x14ac:dyDescent="0.3">
      <c r="A1258" t="s">
        <v>37</v>
      </c>
      <c r="B1258" t="s">
        <v>25</v>
      </c>
      <c r="C1258" t="s">
        <v>26</v>
      </c>
      <c r="D1258" t="s">
        <v>222</v>
      </c>
      <c r="E1258" s="36">
        <v>45679</v>
      </c>
      <c r="F1258" t="s">
        <v>33</v>
      </c>
      <c r="G1258">
        <v>10</v>
      </c>
      <c r="H1258">
        <v>45000</v>
      </c>
      <c r="I1258">
        <v>405904</v>
      </c>
      <c r="J1258">
        <v>73063</v>
      </c>
    </row>
    <row r="1259" spans="1:10" x14ac:dyDescent="0.3">
      <c r="A1259" t="s">
        <v>18</v>
      </c>
      <c r="B1259" t="s">
        <v>25</v>
      </c>
      <c r="C1259" t="s">
        <v>26</v>
      </c>
      <c r="D1259" t="s">
        <v>196</v>
      </c>
      <c r="E1259" s="36">
        <v>45862</v>
      </c>
      <c r="F1259" t="s">
        <v>36</v>
      </c>
      <c r="G1259">
        <v>4</v>
      </c>
      <c r="H1259">
        <v>55000</v>
      </c>
      <c r="I1259">
        <v>236763</v>
      </c>
      <c r="J1259">
        <v>52088</v>
      </c>
    </row>
    <row r="1260" spans="1:10" x14ac:dyDescent="0.3">
      <c r="A1260" t="s">
        <v>10</v>
      </c>
      <c r="B1260" t="s">
        <v>25</v>
      </c>
      <c r="C1260" t="s">
        <v>26</v>
      </c>
      <c r="D1260" t="s">
        <v>157</v>
      </c>
      <c r="E1260" s="36">
        <v>46021</v>
      </c>
      <c r="F1260" t="s">
        <v>14</v>
      </c>
      <c r="G1260">
        <v>4</v>
      </c>
      <c r="H1260">
        <v>18500</v>
      </c>
      <c r="I1260">
        <v>78987</v>
      </c>
      <c r="J1260">
        <v>9478</v>
      </c>
    </row>
    <row r="1261" spans="1:10" x14ac:dyDescent="0.3">
      <c r="A1261" t="s">
        <v>18</v>
      </c>
      <c r="B1261" t="s">
        <v>25</v>
      </c>
      <c r="C1261" t="s">
        <v>26</v>
      </c>
      <c r="D1261" t="s">
        <v>174</v>
      </c>
      <c r="E1261" s="36">
        <v>45760</v>
      </c>
      <c r="F1261" t="s">
        <v>33</v>
      </c>
      <c r="G1261">
        <v>4</v>
      </c>
      <c r="H1261">
        <v>45000</v>
      </c>
      <c r="I1261">
        <v>175616</v>
      </c>
      <c r="J1261">
        <v>31611</v>
      </c>
    </row>
    <row r="1262" spans="1:10" x14ac:dyDescent="0.3">
      <c r="A1262" t="s">
        <v>18</v>
      </c>
      <c r="B1262" t="s">
        <v>25</v>
      </c>
      <c r="C1262" t="s">
        <v>26</v>
      </c>
      <c r="D1262" t="s">
        <v>74</v>
      </c>
      <c r="E1262" s="36">
        <v>45675</v>
      </c>
      <c r="F1262" t="s">
        <v>33</v>
      </c>
      <c r="G1262">
        <v>3</v>
      </c>
      <c r="H1262">
        <v>45000</v>
      </c>
      <c r="I1262">
        <v>134500</v>
      </c>
      <c r="J1262">
        <v>24210</v>
      </c>
    </row>
    <row r="1263" spans="1:10" x14ac:dyDescent="0.3">
      <c r="A1263" t="s">
        <v>18</v>
      </c>
      <c r="B1263" t="s">
        <v>25</v>
      </c>
      <c r="C1263" t="s">
        <v>26</v>
      </c>
      <c r="D1263" t="s">
        <v>140</v>
      </c>
      <c r="E1263" s="36">
        <v>45831</v>
      </c>
      <c r="F1263" t="s">
        <v>33</v>
      </c>
      <c r="G1263">
        <v>1</v>
      </c>
      <c r="H1263">
        <v>45000</v>
      </c>
      <c r="I1263">
        <v>48255</v>
      </c>
      <c r="J1263">
        <v>8686</v>
      </c>
    </row>
    <row r="1264" spans="1:10" x14ac:dyDescent="0.3">
      <c r="A1264" t="s">
        <v>10</v>
      </c>
      <c r="B1264" t="s">
        <v>25</v>
      </c>
      <c r="C1264" t="s">
        <v>26</v>
      </c>
      <c r="D1264" t="s">
        <v>92</v>
      </c>
      <c r="E1264" s="36">
        <v>45754</v>
      </c>
      <c r="F1264" t="s">
        <v>33</v>
      </c>
      <c r="G1264">
        <v>2</v>
      </c>
      <c r="H1264">
        <v>45000</v>
      </c>
      <c r="I1264">
        <v>83600</v>
      </c>
      <c r="J1264">
        <v>15048</v>
      </c>
    </row>
    <row r="1265" spans="1:10" x14ac:dyDescent="0.3">
      <c r="A1265" t="s">
        <v>37</v>
      </c>
      <c r="B1265" t="s">
        <v>56</v>
      </c>
      <c r="C1265" t="s">
        <v>23</v>
      </c>
      <c r="D1265" t="s">
        <v>57</v>
      </c>
      <c r="E1265" s="36">
        <v>45846</v>
      </c>
      <c r="F1265" t="s">
        <v>33</v>
      </c>
      <c r="G1265">
        <v>1</v>
      </c>
      <c r="H1265">
        <v>45000</v>
      </c>
      <c r="I1265">
        <v>40736</v>
      </c>
      <c r="J1265">
        <v>7332</v>
      </c>
    </row>
    <row r="1266" spans="1:10" x14ac:dyDescent="0.3">
      <c r="A1266" t="s">
        <v>10</v>
      </c>
      <c r="B1266" t="s">
        <v>56</v>
      </c>
      <c r="C1266" t="s">
        <v>23</v>
      </c>
      <c r="D1266" t="s">
        <v>102</v>
      </c>
      <c r="E1266" s="36">
        <v>45993</v>
      </c>
      <c r="F1266" t="s">
        <v>14</v>
      </c>
      <c r="G1266">
        <v>9</v>
      </c>
      <c r="H1266">
        <v>18500</v>
      </c>
      <c r="I1266">
        <v>182531</v>
      </c>
      <c r="J1266">
        <v>21904</v>
      </c>
    </row>
    <row r="1267" spans="1:10" x14ac:dyDescent="0.3">
      <c r="A1267" t="s">
        <v>15</v>
      </c>
      <c r="B1267" t="s">
        <v>56</v>
      </c>
      <c r="C1267" t="s">
        <v>23</v>
      </c>
      <c r="D1267" t="s">
        <v>105</v>
      </c>
      <c r="E1267" s="36">
        <v>46003</v>
      </c>
      <c r="F1267" t="s">
        <v>33</v>
      </c>
      <c r="G1267">
        <v>4</v>
      </c>
      <c r="H1267">
        <v>45000</v>
      </c>
      <c r="I1267">
        <v>167100</v>
      </c>
      <c r="J1267">
        <v>30078</v>
      </c>
    </row>
    <row r="1268" spans="1:10" x14ac:dyDescent="0.3">
      <c r="A1268" t="s">
        <v>37</v>
      </c>
      <c r="B1268" t="s">
        <v>56</v>
      </c>
      <c r="C1268" t="s">
        <v>23</v>
      </c>
      <c r="D1268" t="s">
        <v>48</v>
      </c>
      <c r="E1268" s="36">
        <v>45954</v>
      </c>
      <c r="F1268" t="s">
        <v>40</v>
      </c>
      <c r="G1268">
        <v>3</v>
      </c>
      <c r="H1268">
        <v>15000</v>
      </c>
      <c r="I1268">
        <v>41395</v>
      </c>
      <c r="J1268">
        <v>4140</v>
      </c>
    </row>
    <row r="1269" spans="1:10" x14ac:dyDescent="0.3">
      <c r="A1269" t="s">
        <v>15</v>
      </c>
      <c r="B1269" t="s">
        <v>56</v>
      </c>
      <c r="C1269" t="s">
        <v>23</v>
      </c>
      <c r="D1269" t="s">
        <v>105</v>
      </c>
      <c r="E1269" s="36">
        <v>45848</v>
      </c>
      <c r="F1269" t="s">
        <v>14</v>
      </c>
      <c r="G1269">
        <v>5</v>
      </c>
      <c r="H1269">
        <v>18500</v>
      </c>
      <c r="I1269">
        <v>86520</v>
      </c>
      <c r="J1269">
        <v>10382</v>
      </c>
    </row>
    <row r="1270" spans="1:10" x14ac:dyDescent="0.3">
      <c r="A1270" t="s">
        <v>18</v>
      </c>
      <c r="B1270" t="s">
        <v>56</v>
      </c>
      <c r="C1270" t="s">
        <v>23</v>
      </c>
      <c r="D1270" t="s">
        <v>93</v>
      </c>
      <c r="E1270" s="36">
        <v>45740</v>
      </c>
      <c r="F1270" t="s">
        <v>40</v>
      </c>
      <c r="G1270">
        <v>9</v>
      </c>
      <c r="H1270">
        <v>15000</v>
      </c>
      <c r="I1270">
        <v>129340</v>
      </c>
      <c r="J1270">
        <v>12934</v>
      </c>
    </row>
    <row r="1271" spans="1:10" x14ac:dyDescent="0.3">
      <c r="A1271" t="s">
        <v>15</v>
      </c>
      <c r="B1271" t="s">
        <v>56</v>
      </c>
      <c r="C1271" t="s">
        <v>23</v>
      </c>
      <c r="D1271" t="s">
        <v>137</v>
      </c>
      <c r="E1271" s="36">
        <v>46014</v>
      </c>
      <c r="F1271" t="s">
        <v>33</v>
      </c>
      <c r="G1271">
        <v>3</v>
      </c>
      <c r="H1271">
        <v>45000</v>
      </c>
      <c r="I1271">
        <v>137034</v>
      </c>
      <c r="J1271">
        <v>24666</v>
      </c>
    </row>
    <row r="1272" spans="1:10" x14ac:dyDescent="0.3">
      <c r="A1272" t="s">
        <v>18</v>
      </c>
      <c r="B1272" t="s">
        <v>56</v>
      </c>
      <c r="C1272" t="s">
        <v>23</v>
      </c>
      <c r="D1272" t="s">
        <v>138</v>
      </c>
      <c r="E1272" s="36">
        <v>45949</v>
      </c>
      <c r="F1272" t="s">
        <v>14</v>
      </c>
      <c r="G1272">
        <v>9</v>
      </c>
      <c r="H1272">
        <v>18500</v>
      </c>
      <c r="I1272">
        <v>152350</v>
      </c>
      <c r="J1272">
        <v>18282</v>
      </c>
    </row>
    <row r="1273" spans="1:10" x14ac:dyDescent="0.3">
      <c r="A1273" t="s">
        <v>41</v>
      </c>
      <c r="B1273" t="s">
        <v>56</v>
      </c>
      <c r="C1273" t="s">
        <v>23</v>
      </c>
      <c r="D1273" t="s">
        <v>85</v>
      </c>
      <c r="E1273" s="36">
        <v>46005</v>
      </c>
      <c r="F1273" t="s">
        <v>40</v>
      </c>
      <c r="G1273">
        <v>5</v>
      </c>
      <c r="H1273">
        <v>15000</v>
      </c>
      <c r="I1273">
        <v>81278</v>
      </c>
      <c r="J1273">
        <v>8128</v>
      </c>
    </row>
    <row r="1274" spans="1:10" x14ac:dyDescent="0.3">
      <c r="A1274" t="s">
        <v>15</v>
      </c>
      <c r="B1274" t="s">
        <v>56</v>
      </c>
      <c r="C1274" t="s">
        <v>23</v>
      </c>
      <c r="D1274" t="s">
        <v>151</v>
      </c>
      <c r="E1274" s="36">
        <v>45664</v>
      </c>
      <c r="F1274" t="s">
        <v>36</v>
      </c>
      <c r="G1274">
        <v>1</v>
      </c>
      <c r="H1274">
        <v>55000</v>
      </c>
      <c r="I1274">
        <v>60453</v>
      </c>
      <c r="J1274">
        <v>13300</v>
      </c>
    </row>
    <row r="1275" spans="1:10" x14ac:dyDescent="0.3">
      <c r="A1275" t="s">
        <v>37</v>
      </c>
      <c r="B1275" t="s">
        <v>56</v>
      </c>
      <c r="C1275" t="s">
        <v>23</v>
      </c>
      <c r="D1275" t="s">
        <v>164</v>
      </c>
      <c r="E1275" s="36">
        <v>45845</v>
      </c>
      <c r="F1275" t="s">
        <v>40</v>
      </c>
      <c r="G1275">
        <v>9</v>
      </c>
      <c r="H1275">
        <v>15000</v>
      </c>
      <c r="I1275">
        <v>127994</v>
      </c>
      <c r="J1275">
        <v>12799</v>
      </c>
    </row>
    <row r="1276" spans="1:10" x14ac:dyDescent="0.3">
      <c r="A1276" t="s">
        <v>37</v>
      </c>
      <c r="B1276" t="s">
        <v>56</v>
      </c>
      <c r="C1276" t="s">
        <v>23</v>
      </c>
      <c r="D1276" t="s">
        <v>64</v>
      </c>
      <c r="E1276" s="36">
        <v>45840</v>
      </c>
      <c r="F1276" t="s">
        <v>40</v>
      </c>
      <c r="G1276">
        <v>2</v>
      </c>
      <c r="H1276">
        <v>15000</v>
      </c>
      <c r="I1276">
        <v>28445</v>
      </c>
      <c r="J1276">
        <v>2844</v>
      </c>
    </row>
    <row r="1277" spans="1:10" x14ac:dyDescent="0.3">
      <c r="A1277" t="s">
        <v>37</v>
      </c>
      <c r="B1277" t="s">
        <v>56</v>
      </c>
      <c r="C1277" t="s">
        <v>23</v>
      </c>
      <c r="D1277" t="s">
        <v>176</v>
      </c>
      <c r="E1277" s="36">
        <v>45663</v>
      </c>
      <c r="F1277" t="s">
        <v>36</v>
      </c>
      <c r="G1277">
        <v>9</v>
      </c>
      <c r="H1277">
        <v>55000</v>
      </c>
      <c r="I1277">
        <v>494561</v>
      </c>
      <c r="J1277">
        <v>108803</v>
      </c>
    </row>
    <row r="1278" spans="1:10" x14ac:dyDescent="0.3">
      <c r="A1278" t="s">
        <v>18</v>
      </c>
      <c r="B1278" t="s">
        <v>56</v>
      </c>
      <c r="C1278" t="s">
        <v>23</v>
      </c>
      <c r="D1278" t="s">
        <v>179</v>
      </c>
      <c r="E1278" s="36">
        <v>45754</v>
      </c>
      <c r="F1278" t="s">
        <v>14</v>
      </c>
      <c r="G1278">
        <v>10</v>
      </c>
      <c r="H1278">
        <v>18500</v>
      </c>
      <c r="I1278">
        <v>187820</v>
      </c>
      <c r="J1278">
        <v>22538</v>
      </c>
    </row>
    <row r="1279" spans="1:10" x14ac:dyDescent="0.3">
      <c r="A1279" t="s">
        <v>15</v>
      </c>
      <c r="B1279" t="s">
        <v>56</v>
      </c>
      <c r="C1279" t="s">
        <v>23</v>
      </c>
      <c r="D1279" t="s">
        <v>107</v>
      </c>
      <c r="E1279" s="36">
        <v>45861</v>
      </c>
      <c r="F1279" t="s">
        <v>40</v>
      </c>
      <c r="G1279">
        <v>3</v>
      </c>
      <c r="H1279">
        <v>15000</v>
      </c>
      <c r="I1279">
        <v>45467</v>
      </c>
      <c r="J1279">
        <v>4547</v>
      </c>
    </row>
    <row r="1280" spans="1:10" x14ac:dyDescent="0.3">
      <c r="A1280" t="s">
        <v>15</v>
      </c>
      <c r="B1280" t="s">
        <v>56</v>
      </c>
      <c r="C1280" t="s">
        <v>23</v>
      </c>
      <c r="D1280" t="s">
        <v>45</v>
      </c>
      <c r="E1280" s="36">
        <v>45751</v>
      </c>
      <c r="F1280" t="s">
        <v>14</v>
      </c>
      <c r="G1280">
        <v>5</v>
      </c>
      <c r="H1280">
        <v>18500</v>
      </c>
      <c r="I1280">
        <v>86755</v>
      </c>
      <c r="J1280">
        <v>10411</v>
      </c>
    </row>
    <row r="1281" spans="1:10" x14ac:dyDescent="0.3">
      <c r="A1281" t="s">
        <v>41</v>
      </c>
      <c r="B1281" t="s">
        <v>56</v>
      </c>
      <c r="C1281" t="s">
        <v>23</v>
      </c>
      <c r="D1281" t="s">
        <v>202</v>
      </c>
      <c r="E1281" s="36">
        <v>45675</v>
      </c>
      <c r="F1281" t="s">
        <v>14</v>
      </c>
      <c r="G1281">
        <v>3</v>
      </c>
      <c r="H1281">
        <v>18500</v>
      </c>
      <c r="I1281">
        <v>53380</v>
      </c>
      <c r="J1281">
        <v>6406</v>
      </c>
    </row>
    <row r="1282" spans="1:10" x14ac:dyDescent="0.3">
      <c r="A1282" t="s">
        <v>41</v>
      </c>
      <c r="B1282" t="s">
        <v>56</v>
      </c>
      <c r="C1282" t="s">
        <v>23</v>
      </c>
      <c r="D1282" t="s">
        <v>207</v>
      </c>
      <c r="E1282" s="36">
        <v>45999</v>
      </c>
      <c r="F1282" t="s">
        <v>14</v>
      </c>
      <c r="G1282">
        <v>9</v>
      </c>
      <c r="H1282">
        <v>18500</v>
      </c>
      <c r="I1282">
        <v>159374</v>
      </c>
      <c r="J1282">
        <v>19125</v>
      </c>
    </row>
    <row r="1283" spans="1:10" x14ac:dyDescent="0.3">
      <c r="A1283" t="s">
        <v>37</v>
      </c>
      <c r="B1283" t="s">
        <v>56</v>
      </c>
      <c r="C1283" t="s">
        <v>23</v>
      </c>
      <c r="D1283" t="s">
        <v>210</v>
      </c>
      <c r="E1283" s="36">
        <v>45714</v>
      </c>
      <c r="F1283" t="s">
        <v>33</v>
      </c>
      <c r="G1283">
        <v>6</v>
      </c>
      <c r="H1283">
        <v>45000</v>
      </c>
      <c r="I1283">
        <v>285701</v>
      </c>
      <c r="J1283">
        <v>51426</v>
      </c>
    </row>
    <row r="1284" spans="1:10" x14ac:dyDescent="0.3">
      <c r="A1284" t="s">
        <v>41</v>
      </c>
      <c r="B1284" t="s">
        <v>56</v>
      </c>
      <c r="C1284" t="s">
        <v>23</v>
      </c>
      <c r="D1284" t="s">
        <v>48</v>
      </c>
      <c r="E1284" s="36">
        <v>45678</v>
      </c>
      <c r="F1284" t="s">
        <v>33</v>
      </c>
      <c r="G1284">
        <v>2</v>
      </c>
      <c r="H1284">
        <v>45000</v>
      </c>
      <c r="I1284">
        <v>85335</v>
      </c>
      <c r="J1284">
        <v>15360</v>
      </c>
    </row>
    <row r="1285" spans="1:10" x14ac:dyDescent="0.3">
      <c r="A1285" t="s">
        <v>37</v>
      </c>
      <c r="B1285" t="s">
        <v>56</v>
      </c>
      <c r="C1285" t="s">
        <v>23</v>
      </c>
      <c r="D1285" t="s">
        <v>24</v>
      </c>
      <c r="E1285" s="36">
        <v>45659</v>
      </c>
      <c r="F1285" t="s">
        <v>40</v>
      </c>
      <c r="G1285">
        <v>7</v>
      </c>
      <c r="H1285">
        <v>15000</v>
      </c>
      <c r="I1285">
        <v>111791</v>
      </c>
      <c r="J1285">
        <v>11179</v>
      </c>
    </row>
    <row r="1286" spans="1:10" x14ac:dyDescent="0.3">
      <c r="A1286" t="s">
        <v>15</v>
      </c>
      <c r="B1286" t="s">
        <v>56</v>
      </c>
      <c r="C1286" t="s">
        <v>23</v>
      </c>
      <c r="D1286" t="s">
        <v>217</v>
      </c>
      <c r="E1286" s="36">
        <v>45705</v>
      </c>
      <c r="F1286" t="s">
        <v>40</v>
      </c>
      <c r="G1286">
        <v>1</v>
      </c>
      <c r="H1286">
        <v>15000</v>
      </c>
      <c r="I1286">
        <v>14038</v>
      </c>
      <c r="J1286">
        <v>1404</v>
      </c>
    </row>
    <row r="1287" spans="1:10" x14ac:dyDescent="0.3">
      <c r="A1287" t="s">
        <v>37</v>
      </c>
      <c r="B1287" t="s">
        <v>56</v>
      </c>
      <c r="C1287" t="s">
        <v>23</v>
      </c>
      <c r="D1287" t="s">
        <v>130</v>
      </c>
      <c r="E1287" s="36">
        <v>45959</v>
      </c>
      <c r="F1287" t="s">
        <v>40</v>
      </c>
      <c r="G1287">
        <v>10</v>
      </c>
      <c r="H1287">
        <v>15000</v>
      </c>
      <c r="I1287">
        <v>163553</v>
      </c>
      <c r="J1287">
        <v>16355</v>
      </c>
    </row>
    <row r="1288" spans="1:10" x14ac:dyDescent="0.3">
      <c r="A1288" t="s">
        <v>18</v>
      </c>
      <c r="B1288" t="s">
        <v>56</v>
      </c>
      <c r="C1288" t="s">
        <v>23</v>
      </c>
      <c r="D1288" t="s">
        <v>43</v>
      </c>
      <c r="E1288" s="36">
        <v>45780</v>
      </c>
      <c r="F1288" t="s">
        <v>40</v>
      </c>
      <c r="G1288">
        <v>5</v>
      </c>
      <c r="H1288">
        <v>15000</v>
      </c>
      <c r="I1288">
        <v>68181</v>
      </c>
      <c r="J1288">
        <v>6818</v>
      </c>
    </row>
    <row r="1289" spans="1:10" x14ac:dyDescent="0.3">
      <c r="A1289" t="s">
        <v>41</v>
      </c>
      <c r="B1289" t="s">
        <v>56</v>
      </c>
      <c r="C1289" t="s">
        <v>23</v>
      </c>
      <c r="D1289" t="s">
        <v>27</v>
      </c>
      <c r="E1289" s="36">
        <v>45749</v>
      </c>
      <c r="F1289" t="s">
        <v>33</v>
      </c>
      <c r="G1289">
        <v>2</v>
      </c>
      <c r="H1289">
        <v>45000</v>
      </c>
      <c r="I1289">
        <v>98566</v>
      </c>
      <c r="J1289">
        <v>17742</v>
      </c>
    </row>
    <row r="1290" spans="1:10" x14ac:dyDescent="0.3">
      <c r="A1290" t="s">
        <v>41</v>
      </c>
      <c r="B1290" t="s">
        <v>56</v>
      </c>
      <c r="C1290" t="s">
        <v>23</v>
      </c>
      <c r="D1290" t="s">
        <v>217</v>
      </c>
      <c r="E1290" s="36">
        <v>45816</v>
      </c>
      <c r="F1290" t="s">
        <v>40</v>
      </c>
      <c r="G1290">
        <v>7</v>
      </c>
      <c r="H1290">
        <v>15000</v>
      </c>
      <c r="I1290">
        <v>100705</v>
      </c>
      <c r="J1290">
        <v>10070</v>
      </c>
    </row>
    <row r="1291" spans="1:10" x14ac:dyDescent="0.3">
      <c r="A1291" t="s">
        <v>41</v>
      </c>
      <c r="B1291" t="s">
        <v>56</v>
      </c>
      <c r="C1291" t="s">
        <v>23</v>
      </c>
      <c r="D1291" t="s">
        <v>61</v>
      </c>
      <c r="E1291" s="36">
        <v>45966</v>
      </c>
      <c r="F1291" t="s">
        <v>14</v>
      </c>
      <c r="G1291">
        <v>3</v>
      </c>
      <c r="H1291">
        <v>18500</v>
      </c>
      <c r="I1291">
        <v>59024</v>
      </c>
      <c r="J1291">
        <v>7083</v>
      </c>
    </row>
    <row r="1292" spans="1:10" x14ac:dyDescent="0.3">
      <c r="A1292" t="s">
        <v>10</v>
      </c>
      <c r="B1292" t="s">
        <v>56</v>
      </c>
      <c r="C1292" t="s">
        <v>23</v>
      </c>
      <c r="D1292" t="s">
        <v>74</v>
      </c>
      <c r="E1292" s="36">
        <v>45889</v>
      </c>
      <c r="F1292" t="s">
        <v>33</v>
      </c>
      <c r="G1292">
        <v>2</v>
      </c>
      <c r="H1292">
        <v>45000</v>
      </c>
      <c r="I1292">
        <v>83628</v>
      </c>
      <c r="J1292">
        <v>15053</v>
      </c>
    </row>
    <row r="1293" spans="1:10" x14ac:dyDescent="0.3">
      <c r="A1293" t="s">
        <v>41</v>
      </c>
      <c r="B1293" t="s">
        <v>56</v>
      </c>
      <c r="C1293" t="s">
        <v>23</v>
      </c>
      <c r="D1293" t="s">
        <v>102</v>
      </c>
      <c r="E1293" s="36">
        <v>45966</v>
      </c>
      <c r="F1293" t="s">
        <v>36</v>
      </c>
      <c r="G1293">
        <v>1</v>
      </c>
      <c r="H1293">
        <v>55000</v>
      </c>
      <c r="I1293">
        <v>59416</v>
      </c>
      <c r="J1293">
        <v>13072</v>
      </c>
    </row>
    <row r="1294" spans="1:10" x14ac:dyDescent="0.3">
      <c r="A1294" t="s">
        <v>18</v>
      </c>
      <c r="B1294" t="s">
        <v>56</v>
      </c>
      <c r="C1294" t="s">
        <v>23</v>
      </c>
      <c r="D1294" t="s">
        <v>194</v>
      </c>
      <c r="E1294" s="36">
        <v>45827</v>
      </c>
      <c r="F1294" t="s">
        <v>33</v>
      </c>
      <c r="G1294">
        <v>6</v>
      </c>
      <c r="H1294">
        <v>45000</v>
      </c>
      <c r="I1294">
        <v>290146</v>
      </c>
      <c r="J1294">
        <v>52226</v>
      </c>
    </row>
    <row r="1295" spans="1:10" x14ac:dyDescent="0.3">
      <c r="A1295" t="s">
        <v>41</v>
      </c>
      <c r="B1295" t="s">
        <v>56</v>
      </c>
      <c r="C1295" t="s">
        <v>23</v>
      </c>
      <c r="D1295" t="s">
        <v>250</v>
      </c>
      <c r="E1295" s="36">
        <v>45998</v>
      </c>
      <c r="F1295" t="s">
        <v>36</v>
      </c>
      <c r="G1295">
        <v>1</v>
      </c>
      <c r="H1295">
        <v>55000</v>
      </c>
      <c r="I1295">
        <v>53470</v>
      </c>
      <c r="J1295">
        <v>11763</v>
      </c>
    </row>
    <row r="1296" spans="1:10" x14ac:dyDescent="0.3">
      <c r="A1296" t="s">
        <v>41</v>
      </c>
      <c r="B1296" t="s">
        <v>56</v>
      </c>
      <c r="C1296" t="s">
        <v>23</v>
      </c>
      <c r="D1296" t="s">
        <v>89</v>
      </c>
      <c r="E1296" s="36">
        <v>45821</v>
      </c>
      <c r="F1296" t="s">
        <v>14</v>
      </c>
      <c r="G1296">
        <v>7</v>
      </c>
      <c r="H1296">
        <v>18500</v>
      </c>
      <c r="I1296">
        <v>136987</v>
      </c>
      <c r="J1296">
        <v>16438</v>
      </c>
    </row>
    <row r="1297" spans="1:10" x14ac:dyDescent="0.3">
      <c r="A1297" t="s">
        <v>41</v>
      </c>
      <c r="B1297" t="s">
        <v>56</v>
      </c>
      <c r="C1297" t="s">
        <v>23</v>
      </c>
      <c r="D1297" t="s">
        <v>64</v>
      </c>
      <c r="E1297" s="36">
        <v>45759</v>
      </c>
      <c r="F1297" t="s">
        <v>36</v>
      </c>
      <c r="G1297">
        <v>2</v>
      </c>
      <c r="H1297">
        <v>55000</v>
      </c>
      <c r="I1297">
        <v>111626</v>
      </c>
      <c r="J1297">
        <v>24558</v>
      </c>
    </row>
    <row r="1298" spans="1:10" x14ac:dyDescent="0.3">
      <c r="A1298" t="s">
        <v>18</v>
      </c>
      <c r="B1298" t="s">
        <v>56</v>
      </c>
      <c r="C1298" t="s">
        <v>23</v>
      </c>
      <c r="D1298" t="s">
        <v>208</v>
      </c>
      <c r="E1298" s="36">
        <v>45859</v>
      </c>
      <c r="F1298" t="s">
        <v>33</v>
      </c>
      <c r="G1298">
        <v>8</v>
      </c>
      <c r="H1298">
        <v>45000</v>
      </c>
      <c r="I1298">
        <v>389629</v>
      </c>
      <c r="J1298">
        <v>70133</v>
      </c>
    </row>
    <row r="1299" spans="1:10" x14ac:dyDescent="0.3">
      <c r="A1299" t="s">
        <v>41</v>
      </c>
      <c r="B1299" t="s">
        <v>56</v>
      </c>
      <c r="C1299" t="s">
        <v>23</v>
      </c>
      <c r="D1299" t="s">
        <v>256</v>
      </c>
      <c r="E1299" s="36">
        <v>45747</v>
      </c>
      <c r="F1299" t="s">
        <v>36</v>
      </c>
      <c r="G1299">
        <v>6</v>
      </c>
      <c r="H1299">
        <v>55000</v>
      </c>
      <c r="I1299">
        <v>331089</v>
      </c>
      <c r="J1299">
        <v>72840</v>
      </c>
    </row>
    <row r="1300" spans="1:10" x14ac:dyDescent="0.3">
      <c r="A1300" t="s">
        <v>18</v>
      </c>
      <c r="B1300" t="s">
        <v>56</v>
      </c>
      <c r="C1300" t="s">
        <v>23</v>
      </c>
      <c r="D1300" t="s">
        <v>204</v>
      </c>
      <c r="E1300" s="36">
        <v>45682</v>
      </c>
      <c r="F1300" t="s">
        <v>33</v>
      </c>
      <c r="G1300">
        <v>7</v>
      </c>
      <c r="H1300">
        <v>45000</v>
      </c>
      <c r="I1300">
        <v>325126</v>
      </c>
      <c r="J1300">
        <v>58523</v>
      </c>
    </row>
    <row r="1301" spans="1:10" x14ac:dyDescent="0.3">
      <c r="A1301" t="s">
        <v>41</v>
      </c>
      <c r="B1301" t="s">
        <v>56</v>
      </c>
      <c r="C1301" t="s">
        <v>23</v>
      </c>
      <c r="D1301" t="s">
        <v>96</v>
      </c>
      <c r="E1301" s="36">
        <v>45924</v>
      </c>
      <c r="F1301" t="s">
        <v>40</v>
      </c>
      <c r="G1301">
        <v>10</v>
      </c>
      <c r="H1301">
        <v>15000</v>
      </c>
      <c r="I1301">
        <v>140266</v>
      </c>
      <c r="J1301">
        <v>14027</v>
      </c>
    </row>
    <row r="1302" spans="1:10" x14ac:dyDescent="0.3">
      <c r="A1302" t="s">
        <v>37</v>
      </c>
      <c r="B1302" t="s">
        <v>56</v>
      </c>
      <c r="C1302" t="s">
        <v>23</v>
      </c>
      <c r="D1302" t="s">
        <v>27</v>
      </c>
      <c r="E1302" s="36">
        <v>45748</v>
      </c>
      <c r="F1302" t="s">
        <v>40</v>
      </c>
      <c r="G1302">
        <v>5</v>
      </c>
      <c r="H1302">
        <v>15000</v>
      </c>
      <c r="I1302">
        <v>79438</v>
      </c>
      <c r="J1302">
        <v>7944</v>
      </c>
    </row>
    <row r="1303" spans="1:10" x14ac:dyDescent="0.3">
      <c r="A1303" t="s">
        <v>10</v>
      </c>
      <c r="B1303" t="s">
        <v>56</v>
      </c>
      <c r="C1303" t="s">
        <v>23</v>
      </c>
      <c r="D1303" t="s">
        <v>117</v>
      </c>
      <c r="E1303" s="36">
        <v>45985</v>
      </c>
      <c r="F1303" t="s">
        <v>36</v>
      </c>
      <c r="G1303">
        <v>2</v>
      </c>
      <c r="H1303">
        <v>55000</v>
      </c>
      <c r="I1303">
        <v>110980</v>
      </c>
      <c r="J1303">
        <v>24416</v>
      </c>
    </row>
    <row r="1304" spans="1:10" x14ac:dyDescent="0.3">
      <c r="A1304" t="s">
        <v>41</v>
      </c>
      <c r="B1304" t="s">
        <v>56</v>
      </c>
      <c r="C1304" t="s">
        <v>23</v>
      </c>
      <c r="D1304" t="s">
        <v>235</v>
      </c>
      <c r="E1304" s="36">
        <v>45937</v>
      </c>
      <c r="F1304" t="s">
        <v>36</v>
      </c>
      <c r="G1304">
        <v>2</v>
      </c>
      <c r="H1304">
        <v>55000</v>
      </c>
      <c r="I1304">
        <v>114425</v>
      </c>
      <c r="J1304">
        <v>25174</v>
      </c>
    </row>
    <row r="1305" spans="1:10" x14ac:dyDescent="0.3">
      <c r="A1305" t="s">
        <v>41</v>
      </c>
      <c r="B1305" t="s">
        <v>56</v>
      </c>
      <c r="C1305" t="s">
        <v>23</v>
      </c>
      <c r="D1305" t="s">
        <v>89</v>
      </c>
      <c r="E1305" s="36">
        <v>45778</v>
      </c>
      <c r="F1305" t="s">
        <v>14</v>
      </c>
      <c r="G1305">
        <v>1</v>
      </c>
      <c r="H1305">
        <v>18500</v>
      </c>
      <c r="I1305">
        <v>16821</v>
      </c>
      <c r="J1305">
        <v>2019</v>
      </c>
    </row>
    <row r="1306" spans="1:10" x14ac:dyDescent="0.3">
      <c r="A1306" t="s">
        <v>18</v>
      </c>
      <c r="B1306" t="s">
        <v>56</v>
      </c>
      <c r="C1306" t="s">
        <v>23</v>
      </c>
      <c r="D1306" t="s">
        <v>160</v>
      </c>
      <c r="E1306" s="36">
        <v>45800</v>
      </c>
      <c r="F1306" t="s">
        <v>33</v>
      </c>
      <c r="G1306">
        <v>3</v>
      </c>
      <c r="H1306">
        <v>45000</v>
      </c>
      <c r="I1306">
        <v>145706</v>
      </c>
      <c r="J1306">
        <v>26227</v>
      </c>
    </row>
    <row r="1307" spans="1:10" x14ac:dyDescent="0.3">
      <c r="A1307" t="s">
        <v>37</v>
      </c>
      <c r="B1307" t="s">
        <v>56</v>
      </c>
      <c r="C1307" t="s">
        <v>23</v>
      </c>
      <c r="D1307" t="s">
        <v>114</v>
      </c>
      <c r="E1307" s="36">
        <v>45691</v>
      </c>
      <c r="F1307" t="s">
        <v>33</v>
      </c>
      <c r="G1307">
        <v>8</v>
      </c>
      <c r="H1307">
        <v>45000</v>
      </c>
      <c r="I1307">
        <v>354168</v>
      </c>
      <c r="J1307">
        <v>63750</v>
      </c>
    </row>
    <row r="1308" spans="1:10" x14ac:dyDescent="0.3">
      <c r="A1308" t="s">
        <v>10</v>
      </c>
      <c r="B1308" t="s">
        <v>56</v>
      </c>
      <c r="C1308" t="s">
        <v>23</v>
      </c>
      <c r="D1308" t="s">
        <v>197</v>
      </c>
      <c r="E1308" s="36">
        <v>45665</v>
      </c>
      <c r="F1308" t="s">
        <v>14</v>
      </c>
      <c r="G1308">
        <v>5</v>
      </c>
      <c r="H1308">
        <v>18500</v>
      </c>
      <c r="I1308">
        <v>93763</v>
      </c>
      <c r="J1308">
        <v>11252</v>
      </c>
    </row>
    <row r="1309" spans="1:10" x14ac:dyDescent="0.3">
      <c r="A1309" t="s">
        <v>10</v>
      </c>
      <c r="B1309" t="s">
        <v>56</v>
      </c>
      <c r="C1309" t="s">
        <v>23</v>
      </c>
      <c r="D1309" t="s">
        <v>142</v>
      </c>
      <c r="E1309" s="36">
        <v>45701</v>
      </c>
      <c r="F1309" t="s">
        <v>36</v>
      </c>
      <c r="G1309">
        <v>8</v>
      </c>
      <c r="H1309">
        <v>55000</v>
      </c>
      <c r="I1309">
        <v>468842</v>
      </c>
      <c r="J1309">
        <v>103145</v>
      </c>
    </row>
    <row r="1310" spans="1:10" x14ac:dyDescent="0.3">
      <c r="A1310" t="s">
        <v>37</v>
      </c>
      <c r="B1310" t="s">
        <v>56</v>
      </c>
      <c r="C1310" t="s">
        <v>23</v>
      </c>
      <c r="D1310" t="s">
        <v>59</v>
      </c>
      <c r="E1310" s="36">
        <v>45777</v>
      </c>
      <c r="F1310" t="s">
        <v>14</v>
      </c>
      <c r="G1310">
        <v>7</v>
      </c>
      <c r="H1310">
        <v>18500</v>
      </c>
      <c r="I1310">
        <v>138828</v>
      </c>
      <c r="J1310">
        <v>16659</v>
      </c>
    </row>
    <row r="1311" spans="1:10" x14ac:dyDescent="0.3">
      <c r="A1311" t="s">
        <v>37</v>
      </c>
      <c r="B1311" t="s">
        <v>56</v>
      </c>
      <c r="C1311" t="s">
        <v>23</v>
      </c>
      <c r="D1311" t="s">
        <v>221</v>
      </c>
      <c r="E1311" s="36">
        <v>45996</v>
      </c>
      <c r="F1311" t="s">
        <v>36</v>
      </c>
      <c r="G1311">
        <v>7</v>
      </c>
      <c r="H1311">
        <v>55000</v>
      </c>
      <c r="I1311">
        <v>365847</v>
      </c>
      <c r="J1311">
        <v>80486</v>
      </c>
    </row>
    <row r="1312" spans="1:10" x14ac:dyDescent="0.3">
      <c r="A1312" t="s">
        <v>15</v>
      </c>
      <c r="B1312" t="s">
        <v>56</v>
      </c>
      <c r="C1312" t="s">
        <v>23</v>
      </c>
      <c r="D1312" t="s">
        <v>260</v>
      </c>
      <c r="E1312" s="36">
        <v>45809</v>
      </c>
      <c r="F1312" t="s">
        <v>36</v>
      </c>
      <c r="G1312">
        <v>7</v>
      </c>
      <c r="H1312">
        <v>55000</v>
      </c>
      <c r="I1312">
        <v>376397</v>
      </c>
      <c r="J1312">
        <v>82807</v>
      </c>
    </row>
    <row r="1313" spans="1:10" x14ac:dyDescent="0.3">
      <c r="A1313" t="s">
        <v>37</v>
      </c>
      <c r="B1313" t="s">
        <v>56</v>
      </c>
      <c r="C1313" t="s">
        <v>23</v>
      </c>
      <c r="D1313" t="s">
        <v>100</v>
      </c>
      <c r="E1313" s="36">
        <v>45802</v>
      </c>
      <c r="F1313" t="s">
        <v>40</v>
      </c>
      <c r="G1313">
        <v>2</v>
      </c>
      <c r="H1313">
        <v>15000</v>
      </c>
      <c r="I1313">
        <v>27715</v>
      </c>
      <c r="J1313">
        <v>2772</v>
      </c>
    </row>
    <row r="1314" spans="1:10" x14ac:dyDescent="0.3">
      <c r="A1314" t="s">
        <v>18</v>
      </c>
      <c r="B1314" t="s">
        <v>56</v>
      </c>
      <c r="C1314" t="s">
        <v>23</v>
      </c>
      <c r="D1314" t="s">
        <v>65</v>
      </c>
      <c r="E1314" s="36">
        <v>45731</v>
      </c>
      <c r="F1314" t="s">
        <v>14</v>
      </c>
      <c r="G1314">
        <v>4</v>
      </c>
      <c r="H1314">
        <v>18500</v>
      </c>
      <c r="I1314">
        <v>70841</v>
      </c>
      <c r="J1314">
        <v>8501</v>
      </c>
    </row>
    <row r="1315" spans="1:10" x14ac:dyDescent="0.3">
      <c r="A1315" t="s">
        <v>37</v>
      </c>
      <c r="B1315" t="s">
        <v>56</v>
      </c>
      <c r="C1315" t="s">
        <v>23</v>
      </c>
      <c r="D1315" t="s">
        <v>260</v>
      </c>
      <c r="E1315" s="36">
        <v>45787</v>
      </c>
      <c r="F1315" t="s">
        <v>36</v>
      </c>
      <c r="G1315">
        <v>4</v>
      </c>
      <c r="H1315">
        <v>55000</v>
      </c>
      <c r="I1315">
        <v>202039</v>
      </c>
      <c r="J1315">
        <v>44449</v>
      </c>
    </row>
    <row r="1316" spans="1:10" x14ac:dyDescent="0.3">
      <c r="A1316" t="s">
        <v>15</v>
      </c>
      <c r="B1316" t="s">
        <v>56</v>
      </c>
      <c r="C1316" t="s">
        <v>23</v>
      </c>
      <c r="D1316" t="s">
        <v>219</v>
      </c>
      <c r="E1316" s="36">
        <v>45780</v>
      </c>
      <c r="F1316" t="s">
        <v>36</v>
      </c>
      <c r="G1316">
        <v>7</v>
      </c>
      <c r="H1316">
        <v>55000</v>
      </c>
      <c r="I1316">
        <v>408721</v>
      </c>
      <c r="J1316">
        <v>89919</v>
      </c>
    </row>
    <row r="1317" spans="1:10" x14ac:dyDescent="0.3">
      <c r="A1317" t="s">
        <v>10</v>
      </c>
      <c r="B1317" t="s">
        <v>56</v>
      </c>
      <c r="C1317" t="s">
        <v>23</v>
      </c>
      <c r="D1317" t="s">
        <v>236</v>
      </c>
      <c r="E1317" s="36">
        <v>45662</v>
      </c>
      <c r="F1317" t="s">
        <v>36</v>
      </c>
      <c r="G1317">
        <v>4</v>
      </c>
      <c r="H1317">
        <v>55000</v>
      </c>
      <c r="I1317">
        <v>209518</v>
      </c>
      <c r="J1317">
        <v>46094</v>
      </c>
    </row>
    <row r="1318" spans="1:10" x14ac:dyDescent="0.3">
      <c r="A1318" t="s">
        <v>15</v>
      </c>
      <c r="B1318" t="s">
        <v>56</v>
      </c>
      <c r="C1318" t="s">
        <v>23</v>
      </c>
      <c r="D1318" t="s">
        <v>219</v>
      </c>
      <c r="E1318" s="36">
        <v>45978</v>
      </c>
      <c r="F1318" t="s">
        <v>33</v>
      </c>
      <c r="G1318">
        <v>3</v>
      </c>
      <c r="H1318">
        <v>45000</v>
      </c>
      <c r="I1318">
        <v>145619</v>
      </c>
      <c r="J1318">
        <v>26211</v>
      </c>
    </row>
    <row r="1319" spans="1:10" x14ac:dyDescent="0.3">
      <c r="A1319" t="s">
        <v>15</v>
      </c>
      <c r="B1319" t="s">
        <v>56</v>
      </c>
      <c r="C1319" t="s">
        <v>23</v>
      </c>
      <c r="D1319" t="s">
        <v>244</v>
      </c>
      <c r="E1319" s="36">
        <v>45704</v>
      </c>
      <c r="F1319" t="s">
        <v>33</v>
      </c>
      <c r="G1319">
        <v>2</v>
      </c>
      <c r="H1319">
        <v>45000</v>
      </c>
      <c r="I1319">
        <v>98255</v>
      </c>
      <c r="J1319">
        <v>17686</v>
      </c>
    </row>
    <row r="1320" spans="1:10" x14ac:dyDescent="0.3">
      <c r="A1320" t="s">
        <v>10</v>
      </c>
      <c r="B1320" t="s">
        <v>56</v>
      </c>
      <c r="C1320" t="s">
        <v>23</v>
      </c>
      <c r="D1320" t="s">
        <v>261</v>
      </c>
      <c r="E1320" s="36">
        <v>45728</v>
      </c>
      <c r="F1320" t="s">
        <v>36</v>
      </c>
      <c r="G1320">
        <v>4</v>
      </c>
      <c r="H1320">
        <v>55000</v>
      </c>
      <c r="I1320">
        <v>220492</v>
      </c>
      <c r="J1320">
        <v>48508</v>
      </c>
    </row>
    <row r="1321" spans="1:10" x14ac:dyDescent="0.3">
      <c r="A1321" t="s">
        <v>41</v>
      </c>
      <c r="B1321" t="s">
        <v>56</v>
      </c>
      <c r="C1321" t="s">
        <v>23</v>
      </c>
      <c r="D1321" t="s">
        <v>129</v>
      </c>
      <c r="E1321" s="36">
        <v>45747</v>
      </c>
      <c r="F1321" t="s">
        <v>40</v>
      </c>
      <c r="G1321">
        <v>7</v>
      </c>
      <c r="H1321">
        <v>15000</v>
      </c>
      <c r="I1321">
        <v>106279</v>
      </c>
      <c r="J1321">
        <v>10628</v>
      </c>
    </row>
    <row r="1322" spans="1:10" x14ac:dyDescent="0.3">
      <c r="A1322" t="s">
        <v>15</v>
      </c>
      <c r="B1322" t="s">
        <v>56</v>
      </c>
      <c r="C1322" t="s">
        <v>23</v>
      </c>
      <c r="D1322" t="s">
        <v>82</v>
      </c>
      <c r="E1322" s="36">
        <v>45836</v>
      </c>
      <c r="F1322" t="s">
        <v>40</v>
      </c>
      <c r="G1322">
        <v>3</v>
      </c>
      <c r="H1322">
        <v>15000</v>
      </c>
      <c r="I1322">
        <v>44269</v>
      </c>
      <c r="J1322">
        <v>4427</v>
      </c>
    </row>
    <row r="1323" spans="1:10" x14ac:dyDescent="0.3">
      <c r="A1323" t="s">
        <v>15</v>
      </c>
      <c r="B1323" t="s">
        <v>56</v>
      </c>
      <c r="C1323" t="s">
        <v>23</v>
      </c>
      <c r="D1323" t="s">
        <v>209</v>
      </c>
      <c r="E1323" s="36">
        <v>45673</v>
      </c>
      <c r="F1323" t="s">
        <v>40</v>
      </c>
      <c r="G1323">
        <v>10</v>
      </c>
      <c r="H1323">
        <v>15000</v>
      </c>
      <c r="I1323">
        <v>150212</v>
      </c>
      <c r="J1323">
        <v>15021</v>
      </c>
    </row>
    <row r="1324" spans="1:10" x14ac:dyDescent="0.3">
      <c r="A1324" t="s">
        <v>18</v>
      </c>
      <c r="B1324" t="s">
        <v>56</v>
      </c>
      <c r="C1324" t="s">
        <v>23</v>
      </c>
      <c r="D1324" t="s">
        <v>256</v>
      </c>
      <c r="E1324" s="36">
        <v>45669</v>
      </c>
      <c r="F1324" t="s">
        <v>40</v>
      </c>
      <c r="G1324">
        <v>5</v>
      </c>
      <c r="H1324">
        <v>15000</v>
      </c>
      <c r="I1324">
        <v>78786</v>
      </c>
      <c r="J1324">
        <v>7879</v>
      </c>
    </row>
    <row r="1325" spans="1:10" x14ac:dyDescent="0.3">
      <c r="A1325" t="s">
        <v>37</v>
      </c>
      <c r="B1325" t="s">
        <v>56</v>
      </c>
      <c r="C1325" t="s">
        <v>23</v>
      </c>
      <c r="D1325" t="s">
        <v>217</v>
      </c>
      <c r="E1325" s="36">
        <v>45830</v>
      </c>
      <c r="F1325" t="s">
        <v>14</v>
      </c>
      <c r="G1325">
        <v>2</v>
      </c>
      <c r="H1325">
        <v>18500</v>
      </c>
      <c r="I1325">
        <v>38294</v>
      </c>
      <c r="J1325">
        <v>4595</v>
      </c>
    </row>
    <row r="1326" spans="1:10" x14ac:dyDescent="0.3">
      <c r="A1326" t="s">
        <v>37</v>
      </c>
      <c r="B1326" t="s">
        <v>56</v>
      </c>
      <c r="C1326" t="s">
        <v>23</v>
      </c>
      <c r="D1326" t="s">
        <v>216</v>
      </c>
      <c r="E1326" s="36">
        <v>45735</v>
      </c>
      <c r="F1326" t="s">
        <v>33</v>
      </c>
      <c r="G1326">
        <v>9</v>
      </c>
      <c r="H1326">
        <v>45000</v>
      </c>
      <c r="I1326">
        <v>438951</v>
      </c>
      <c r="J1326">
        <v>79011</v>
      </c>
    </row>
    <row r="1327" spans="1:10" x14ac:dyDescent="0.3">
      <c r="A1327" t="s">
        <v>37</v>
      </c>
      <c r="B1327" t="s">
        <v>56</v>
      </c>
      <c r="C1327" t="s">
        <v>23</v>
      </c>
      <c r="D1327" t="s">
        <v>111</v>
      </c>
      <c r="E1327" s="36">
        <v>45908</v>
      </c>
      <c r="F1327" t="s">
        <v>40</v>
      </c>
      <c r="G1327">
        <v>8</v>
      </c>
      <c r="H1327">
        <v>15000</v>
      </c>
      <c r="I1327">
        <v>131696</v>
      </c>
      <c r="J1327">
        <v>13170</v>
      </c>
    </row>
    <row r="1328" spans="1:10" x14ac:dyDescent="0.3">
      <c r="A1328" t="s">
        <v>41</v>
      </c>
      <c r="B1328" t="s">
        <v>56</v>
      </c>
      <c r="C1328" t="s">
        <v>23</v>
      </c>
      <c r="D1328" t="s">
        <v>241</v>
      </c>
      <c r="E1328" s="36">
        <v>45704</v>
      </c>
      <c r="F1328" t="s">
        <v>40</v>
      </c>
      <c r="G1328">
        <v>4</v>
      </c>
      <c r="H1328">
        <v>15000</v>
      </c>
      <c r="I1328">
        <v>55033</v>
      </c>
      <c r="J1328">
        <v>5503</v>
      </c>
    </row>
    <row r="1329" spans="1:10" x14ac:dyDescent="0.3">
      <c r="A1329" t="s">
        <v>15</v>
      </c>
      <c r="B1329" t="s">
        <v>56</v>
      </c>
      <c r="C1329" t="s">
        <v>23</v>
      </c>
      <c r="D1329" t="s">
        <v>106</v>
      </c>
      <c r="E1329" s="36">
        <v>45737</v>
      </c>
      <c r="F1329" t="s">
        <v>33</v>
      </c>
      <c r="G1329">
        <v>1</v>
      </c>
      <c r="H1329">
        <v>45000</v>
      </c>
      <c r="I1329">
        <v>43700</v>
      </c>
      <c r="J1329">
        <v>7866</v>
      </c>
    </row>
    <row r="1330" spans="1:10" x14ac:dyDescent="0.3">
      <c r="A1330" t="s">
        <v>10</v>
      </c>
      <c r="B1330" t="s">
        <v>56</v>
      </c>
      <c r="C1330" t="s">
        <v>23</v>
      </c>
      <c r="D1330" t="s">
        <v>94</v>
      </c>
      <c r="E1330" s="36">
        <v>45720</v>
      </c>
      <c r="F1330" t="s">
        <v>33</v>
      </c>
      <c r="G1330">
        <v>1</v>
      </c>
      <c r="H1330">
        <v>45000</v>
      </c>
      <c r="I1330">
        <v>42713</v>
      </c>
      <c r="J1330">
        <v>7688</v>
      </c>
    </row>
    <row r="1331" spans="1:10" x14ac:dyDescent="0.3">
      <c r="A1331" t="s">
        <v>18</v>
      </c>
      <c r="B1331" t="s">
        <v>56</v>
      </c>
      <c r="C1331" t="s">
        <v>23</v>
      </c>
      <c r="D1331" t="s">
        <v>255</v>
      </c>
      <c r="E1331" s="36">
        <v>45971</v>
      </c>
      <c r="F1331" t="s">
        <v>33</v>
      </c>
      <c r="G1331">
        <v>6</v>
      </c>
      <c r="H1331">
        <v>45000</v>
      </c>
      <c r="I1331">
        <v>270400</v>
      </c>
      <c r="J1331">
        <v>48672</v>
      </c>
    </row>
    <row r="1332" spans="1:10" x14ac:dyDescent="0.3">
      <c r="A1332" t="s">
        <v>10</v>
      </c>
      <c r="B1332" t="s">
        <v>56</v>
      </c>
      <c r="C1332" t="s">
        <v>23</v>
      </c>
      <c r="D1332" t="s">
        <v>109</v>
      </c>
      <c r="E1332" s="36">
        <v>45760</v>
      </c>
      <c r="F1332" t="s">
        <v>33</v>
      </c>
      <c r="G1332">
        <v>1</v>
      </c>
      <c r="H1332">
        <v>45000</v>
      </c>
      <c r="I1332">
        <v>47379</v>
      </c>
      <c r="J1332">
        <v>8528</v>
      </c>
    </row>
    <row r="1333" spans="1:10" x14ac:dyDescent="0.3">
      <c r="A1333" t="s">
        <v>10</v>
      </c>
      <c r="B1333" t="s">
        <v>56</v>
      </c>
      <c r="C1333" t="s">
        <v>23</v>
      </c>
      <c r="D1333" t="s">
        <v>115</v>
      </c>
      <c r="E1333" s="36">
        <v>45863</v>
      </c>
      <c r="F1333" t="s">
        <v>14</v>
      </c>
      <c r="G1333">
        <v>1</v>
      </c>
      <c r="H1333">
        <v>18500</v>
      </c>
      <c r="I1333">
        <v>19548</v>
      </c>
      <c r="J1333">
        <v>2346</v>
      </c>
    </row>
    <row r="1334" spans="1:10" x14ac:dyDescent="0.3">
      <c r="A1334" t="s">
        <v>10</v>
      </c>
      <c r="B1334" t="s">
        <v>56</v>
      </c>
      <c r="C1334" t="s">
        <v>23</v>
      </c>
      <c r="D1334" t="s">
        <v>243</v>
      </c>
      <c r="E1334" s="36">
        <v>45776</v>
      </c>
      <c r="F1334" t="s">
        <v>40</v>
      </c>
      <c r="G1334">
        <v>5</v>
      </c>
      <c r="H1334">
        <v>15000</v>
      </c>
      <c r="I1334">
        <v>77799</v>
      </c>
      <c r="J1334">
        <v>7780</v>
      </c>
    </row>
    <row r="1335" spans="1:10" x14ac:dyDescent="0.3">
      <c r="A1335" t="s">
        <v>37</v>
      </c>
      <c r="B1335" t="s">
        <v>56</v>
      </c>
      <c r="C1335" t="s">
        <v>23</v>
      </c>
      <c r="D1335" t="s">
        <v>259</v>
      </c>
      <c r="E1335" s="36">
        <v>45677</v>
      </c>
      <c r="F1335" t="s">
        <v>33</v>
      </c>
      <c r="G1335">
        <v>5</v>
      </c>
      <c r="H1335">
        <v>45000</v>
      </c>
      <c r="I1335">
        <v>233159</v>
      </c>
      <c r="J1335">
        <v>41969</v>
      </c>
    </row>
    <row r="1336" spans="1:10" x14ac:dyDescent="0.3">
      <c r="A1336" t="s">
        <v>41</v>
      </c>
      <c r="B1336" t="s">
        <v>56</v>
      </c>
      <c r="C1336" t="s">
        <v>23</v>
      </c>
      <c r="D1336" t="s">
        <v>148</v>
      </c>
      <c r="E1336" s="36">
        <v>45748</v>
      </c>
      <c r="F1336" t="s">
        <v>33</v>
      </c>
      <c r="G1336">
        <v>10</v>
      </c>
      <c r="H1336">
        <v>45000</v>
      </c>
      <c r="I1336">
        <v>474678</v>
      </c>
      <c r="J1336">
        <v>85442</v>
      </c>
    </row>
    <row r="1337" spans="1:10" x14ac:dyDescent="0.3">
      <c r="A1337" t="s">
        <v>37</v>
      </c>
      <c r="B1337" t="s">
        <v>56</v>
      </c>
      <c r="C1337" t="s">
        <v>23</v>
      </c>
      <c r="D1337" t="s">
        <v>62</v>
      </c>
      <c r="E1337" s="36">
        <v>45876</v>
      </c>
      <c r="F1337" t="s">
        <v>14</v>
      </c>
      <c r="G1337">
        <v>1</v>
      </c>
      <c r="H1337">
        <v>18500</v>
      </c>
      <c r="I1337">
        <v>18349</v>
      </c>
      <c r="J1337">
        <v>2202</v>
      </c>
    </row>
    <row r="1338" spans="1:10" x14ac:dyDescent="0.3">
      <c r="A1338" t="s">
        <v>37</v>
      </c>
      <c r="B1338" t="s">
        <v>56</v>
      </c>
      <c r="C1338" t="s">
        <v>23</v>
      </c>
      <c r="D1338" t="s">
        <v>17</v>
      </c>
      <c r="E1338" s="36">
        <v>45952</v>
      </c>
      <c r="F1338" t="s">
        <v>14</v>
      </c>
      <c r="G1338">
        <v>8</v>
      </c>
      <c r="H1338">
        <v>18500</v>
      </c>
      <c r="I1338">
        <v>148807</v>
      </c>
      <c r="J1338">
        <v>17857</v>
      </c>
    </row>
    <row r="1339" spans="1:10" x14ac:dyDescent="0.3">
      <c r="A1339" t="s">
        <v>10</v>
      </c>
      <c r="B1339" t="s">
        <v>56</v>
      </c>
      <c r="C1339" t="s">
        <v>23</v>
      </c>
      <c r="D1339" t="s">
        <v>127</v>
      </c>
      <c r="E1339" s="36">
        <v>45867</v>
      </c>
      <c r="F1339" t="s">
        <v>40</v>
      </c>
      <c r="G1339">
        <v>10</v>
      </c>
      <c r="H1339">
        <v>15000</v>
      </c>
      <c r="I1339">
        <v>153143</v>
      </c>
      <c r="J1339">
        <v>15314</v>
      </c>
    </row>
    <row r="1340" spans="1:10" x14ac:dyDescent="0.3">
      <c r="A1340" t="s">
        <v>15</v>
      </c>
      <c r="B1340" t="s">
        <v>56</v>
      </c>
      <c r="C1340" t="s">
        <v>23</v>
      </c>
      <c r="D1340" t="s">
        <v>98</v>
      </c>
      <c r="E1340" s="36">
        <v>45964</v>
      </c>
      <c r="F1340" t="s">
        <v>36</v>
      </c>
      <c r="G1340">
        <v>3</v>
      </c>
      <c r="H1340">
        <v>55000</v>
      </c>
      <c r="I1340">
        <v>148602</v>
      </c>
      <c r="J1340">
        <v>32692</v>
      </c>
    </row>
    <row r="1341" spans="1:10" x14ac:dyDescent="0.3">
      <c r="A1341" t="s">
        <v>41</v>
      </c>
      <c r="B1341" t="s">
        <v>56</v>
      </c>
      <c r="C1341" t="s">
        <v>23</v>
      </c>
      <c r="D1341" t="s">
        <v>121</v>
      </c>
      <c r="E1341" s="36">
        <v>45945</v>
      </c>
      <c r="F1341" t="s">
        <v>36</v>
      </c>
      <c r="G1341">
        <v>5</v>
      </c>
      <c r="H1341">
        <v>55000</v>
      </c>
      <c r="I1341">
        <v>255838</v>
      </c>
      <c r="J1341">
        <v>56284</v>
      </c>
    </row>
    <row r="1342" spans="1:10" x14ac:dyDescent="0.3">
      <c r="A1342" t="s">
        <v>18</v>
      </c>
      <c r="B1342" t="s">
        <v>56</v>
      </c>
      <c r="C1342" t="s">
        <v>23</v>
      </c>
      <c r="D1342" t="s">
        <v>254</v>
      </c>
      <c r="E1342" s="36">
        <v>45668</v>
      </c>
      <c r="F1342" t="s">
        <v>33</v>
      </c>
      <c r="G1342">
        <v>5</v>
      </c>
      <c r="H1342">
        <v>45000</v>
      </c>
      <c r="I1342">
        <v>224588</v>
      </c>
      <c r="J1342">
        <v>40426</v>
      </c>
    </row>
    <row r="1343" spans="1:10" x14ac:dyDescent="0.3">
      <c r="A1343" t="s">
        <v>37</v>
      </c>
      <c r="B1343" t="s">
        <v>56</v>
      </c>
      <c r="C1343" t="s">
        <v>23</v>
      </c>
      <c r="D1343" t="s">
        <v>64</v>
      </c>
      <c r="E1343" s="36">
        <v>46007</v>
      </c>
      <c r="F1343" t="s">
        <v>36</v>
      </c>
      <c r="G1343">
        <v>2</v>
      </c>
      <c r="H1343">
        <v>55000</v>
      </c>
      <c r="I1343">
        <v>110613</v>
      </c>
      <c r="J1343">
        <v>24335</v>
      </c>
    </row>
    <row r="1344" spans="1:10" x14ac:dyDescent="0.3">
      <c r="A1344" t="s">
        <v>18</v>
      </c>
      <c r="B1344" t="s">
        <v>56</v>
      </c>
      <c r="C1344" t="s">
        <v>23</v>
      </c>
      <c r="D1344" t="s">
        <v>150</v>
      </c>
      <c r="E1344" s="36">
        <v>45696</v>
      </c>
      <c r="F1344" t="s">
        <v>14</v>
      </c>
      <c r="G1344">
        <v>10</v>
      </c>
      <c r="H1344">
        <v>18500</v>
      </c>
      <c r="I1344">
        <v>192727</v>
      </c>
      <c r="J1344">
        <v>23127</v>
      </c>
    </row>
    <row r="1345" spans="1:10" x14ac:dyDescent="0.3">
      <c r="A1345" t="s">
        <v>18</v>
      </c>
      <c r="B1345" t="s">
        <v>56</v>
      </c>
      <c r="C1345" t="s">
        <v>23</v>
      </c>
      <c r="D1345" t="s">
        <v>194</v>
      </c>
      <c r="E1345" s="36">
        <v>45816</v>
      </c>
      <c r="F1345" t="s">
        <v>33</v>
      </c>
      <c r="G1345">
        <v>2</v>
      </c>
      <c r="H1345">
        <v>45000</v>
      </c>
      <c r="I1345">
        <v>88251</v>
      </c>
      <c r="J1345">
        <v>15885</v>
      </c>
    </row>
    <row r="1346" spans="1:10" x14ac:dyDescent="0.3">
      <c r="A1346" t="s">
        <v>37</v>
      </c>
      <c r="B1346" t="s">
        <v>56</v>
      </c>
      <c r="C1346" t="s">
        <v>23</v>
      </c>
      <c r="D1346" t="s">
        <v>219</v>
      </c>
      <c r="E1346" s="36">
        <v>45972</v>
      </c>
      <c r="F1346" t="s">
        <v>36</v>
      </c>
      <c r="G1346">
        <v>4</v>
      </c>
      <c r="H1346">
        <v>55000</v>
      </c>
      <c r="I1346">
        <v>219580</v>
      </c>
      <c r="J1346">
        <v>48308</v>
      </c>
    </row>
    <row r="1347" spans="1:10" x14ac:dyDescent="0.3">
      <c r="A1347" t="s">
        <v>37</v>
      </c>
      <c r="B1347" t="s">
        <v>56</v>
      </c>
      <c r="C1347" t="s">
        <v>23</v>
      </c>
      <c r="D1347" t="s">
        <v>127</v>
      </c>
      <c r="E1347" s="36">
        <v>45956</v>
      </c>
      <c r="F1347" t="s">
        <v>40</v>
      </c>
      <c r="G1347">
        <v>5</v>
      </c>
      <c r="H1347">
        <v>15000</v>
      </c>
      <c r="I1347">
        <v>72391</v>
      </c>
      <c r="J1347">
        <v>7239</v>
      </c>
    </row>
    <row r="1348" spans="1:10" x14ac:dyDescent="0.3">
      <c r="A1348" t="s">
        <v>18</v>
      </c>
      <c r="B1348" t="s">
        <v>56</v>
      </c>
      <c r="C1348" t="s">
        <v>23</v>
      </c>
      <c r="D1348" t="s">
        <v>196</v>
      </c>
      <c r="E1348" s="36">
        <v>45880</v>
      </c>
      <c r="F1348" t="s">
        <v>40</v>
      </c>
      <c r="G1348">
        <v>7</v>
      </c>
      <c r="H1348">
        <v>15000</v>
      </c>
      <c r="I1348">
        <v>108109</v>
      </c>
      <c r="J1348">
        <v>10811</v>
      </c>
    </row>
    <row r="1349" spans="1:10" x14ac:dyDescent="0.3">
      <c r="A1349" t="s">
        <v>37</v>
      </c>
      <c r="B1349" t="s">
        <v>56</v>
      </c>
      <c r="C1349" t="s">
        <v>23</v>
      </c>
      <c r="D1349" t="s">
        <v>160</v>
      </c>
      <c r="E1349" s="36">
        <v>45823</v>
      </c>
      <c r="F1349" t="s">
        <v>36</v>
      </c>
      <c r="G1349">
        <v>5</v>
      </c>
      <c r="H1349">
        <v>55000</v>
      </c>
      <c r="I1349">
        <v>280895</v>
      </c>
      <c r="J1349">
        <v>61797</v>
      </c>
    </row>
    <row r="1350" spans="1:10" x14ac:dyDescent="0.3">
      <c r="A1350" t="s">
        <v>10</v>
      </c>
      <c r="B1350" t="s">
        <v>56</v>
      </c>
      <c r="C1350" t="s">
        <v>23</v>
      </c>
      <c r="D1350" t="s">
        <v>231</v>
      </c>
      <c r="E1350" s="36">
        <v>46009</v>
      </c>
      <c r="F1350" t="s">
        <v>14</v>
      </c>
      <c r="G1350">
        <v>5</v>
      </c>
      <c r="H1350">
        <v>18500</v>
      </c>
      <c r="I1350">
        <v>87277</v>
      </c>
      <c r="J1350">
        <v>10473</v>
      </c>
    </row>
    <row r="1351" spans="1:10" x14ac:dyDescent="0.3">
      <c r="A1351" t="s">
        <v>37</v>
      </c>
      <c r="B1351" t="s">
        <v>56</v>
      </c>
      <c r="C1351" t="s">
        <v>23</v>
      </c>
      <c r="D1351" t="s">
        <v>140</v>
      </c>
      <c r="E1351" s="36">
        <v>45880</v>
      </c>
      <c r="F1351" t="s">
        <v>40</v>
      </c>
      <c r="G1351">
        <v>1</v>
      </c>
      <c r="H1351">
        <v>15000</v>
      </c>
      <c r="I1351">
        <v>14556</v>
      </c>
      <c r="J1351">
        <v>1456</v>
      </c>
    </row>
    <row r="1352" spans="1:10" x14ac:dyDescent="0.3">
      <c r="A1352" t="s">
        <v>10</v>
      </c>
      <c r="B1352" t="s">
        <v>56</v>
      </c>
      <c r="C1352" t="s">
        <v>23</v>
      </c>
      <c r="D1352" t="s">
        <v>153</v>
      </c>
      <c r="E1352" s="36">
        <v>45663</v>
      </c>
      <c r="F1352" t="s">
        <v>14</v>
      </c>
      <c r="G1352">
        <v>8</v>
      </c>
      <c r="H1352">
        <v>18500</v>
      </c>
      <c r="I1352">
        <v>137913</v>
      </c>
      <c r="J1352">
        <v>16550</v>
      </c>
    </row>
    <row r="1353" spans="1:10" x14ac:dyDescent="0.3">
      <c r="A1353" t="s">
        <v>41</v>
      </c>
      <c r="B1353" t="s">
        <v>56</v>
      </c>
      <c r="C1353" t="s">
        <v>23</v>
      </c>
      <c r="D1353" t="s">
        <v>111</v>
      </c>
      <c r="E1353" s="36">
        <v>45792</v>
      </c>
      <c r="F1353" t="s">
        <v>40</v>
      </c>
      <c r="G1353">
        <v>6</v>
      </c>
      <c r="H1353">
        <v>15000</v>
      </c>
      <c r="I1353">
        <v>82681</v>
      </c>
      <c r="J1353">
        <v>8268</v>
      </c>
    </row>
    <row r="1354" spans="1:10" x14ac:dyDescent="0.3">
      <c r="A1354" t="s">
        <v>18</v>
      </c>
      <c r="B1354" t="s">
        <v>56</v>
      </c>
      <c r="C1354" t="s">
        <v>23</v>
      </c>
      <c r="D1354" t="s">
        <v>71</v>
      </c>
      <c r="E1354" s="36">
        <v>45687</v>
      </c>
      <c r="F1354" t="s">
        <v>33</v>
      </c>
      <c r="G1354">
        <v>2</v>
      </c>
      <c r="H1354">
        <v>45000</v>
      </c>
      <c r="I1354">
        <v>87928</v>
      </c>
      <c r="J1354">
        <v>15827</v>
      </c>
    </row>
    <row r="1355" spans="1:10" x14ac:dyDescent="0.3">
      <c r="A1355" t="s">
        <v>15</v>
      </c>
      <c r="B1355" t="s">
        <v>56</v>
      </c>
      <c r="C1355" t="s">
        <v>23</v>
      </c>
      <c r="D1355" t="s">
        <v>97</v>
      </c>
      <c r="E1355" s="36">
        <v>46015</v>
      </c>
      <c r="F1355" t="s">
        <v>14</v>
      </c>
      <c r="G1355">
        <v>6</v>
      </c>
      <c r="H1355">
        <v>18500</v>
      </c>
      <c r="I1355">
        <v>112413</v>
      </c>
      <c r="J1355">
        <v>13490</v>
      </c>
    </row>
    <row r="1356" spans="1:10" x14ac:dyDescent="0.3">
      <c r="A1356" t="s">
        <v>15</v>
      </c>
      <c r="B1356" t="s">
        <v>56</v>
      </c>
      <c r="C1356" t="s">
        <v>23</v>
      </c>
      <c r="D1356" t="s">
        <v>132</v>
      </c>
      <c r="E1356" s="36">
        <v>45934</v>
      </c>
      <c r="F1356" t="s">
        <v>33</v>
      </c>
      <c r="G1356">
        <v>4</v>
      </c>
      <c r="H1356">
        <v>45000</v>
      </c>
      <c r="I1356">
        <v>180804</v>
      </c>
      <c r="J1356">
        <v>32545</v>
      </c>
    </row>
    <row r="1357" spans="1:10" x14ac:dyDescent="0.3">
      <c r="A1357" t="s">
        <v>15</v>
      </c>
      <c r="B1357" t="s">
        <v>56</v>
      </c>
      <c r="C1357" t="s">
        <v>23</v>
      </c>
      <c r="D1357" t="s">
        <v>250</v>
      </c>
      <c r="E1357" s="36">
        <v>45816</v>
      </c>
      <c r="F1357" t="s">
        <v>36</v>
      </c>
      <c r="G1357">
        <v>6</v>
      </c>
      <c r="H1357">
        <v>55000</v>
      </c>
      <c r="I1357">
        <v>313984</v>
      </c>
      <c r="J1357">
        <v>69076</v>
      </c>
    </row>
    <row r="1358" spans="1:10" x14ac:dyDescent="0.3">
      <c r="A1358" t="s">
        <v>41</v>
      </c>
      <c r="B1358" t="s">
        <v>56</v>
      </c>
      <c r="C1358" t="s">
        <v>23</v>
      </c>
      <c r="D1358" t="s">
        <v>60</v>
      </c>
      <c r="E1358" s="36">
        <v>45794</v>
      </c>
      <c r="F1358" t="s">
        <v>33</v>
      </c>
      <c r="G1358">
        <v>2</v>
      </c>
      <c r="H1358">
        <v>45000</v>
      </c>
      <c r="I1358">
        <v>83841</v>
      </c>
      <c r="J1358">
        <v>15091</v>
      </c>
    </row>
    <row r="1359" spans="1:10" x14ac:dyDescent="0.3">
      <c r="A1359" t="s">
        <v>41</v>
      </c>
      <c r="B1359" t="s">
        <v>56</v>
      </c>
      <c r="C1359" t="s">
        <v>23</v>
      </c>
      <c r="D1359" t="s">
        <v>209</v>
      </c>
      <c r="E1359" s="36">
        <v>45943</v>
      </c>
      <c r="F1359" t="s">
        <v>40</v>
      </c>
      <c r="G1359">
        <v>1</v>
      </c>
      <c r="H1359">
        <v>15000</v>
      </c>
      <c r="I1359">
        <v>16499</v>
      </c>
      <c r="J1359">
        <v>1650</v>
      </c>
    </row>
    <row r="1360" spans="1:10" x14ac:dyDescent="0.3">
      <c r="A1360" t="s">
        <v>15</v>
      </c>
      <c r="B1360" t="s">
        <v>56</v>
      </c>
      <c r="C1360" t="s">
        <v>23</v>
      </c>
      <c r="D1360" t="s">
        <v>240</v>
      </c>
      <c r="E1360" s="36">
        <v>45730</v>
      </c>
      <c r="F1360" t="s">
        <v>33</v>
      </c>
      <c r="G1360">
        <v>1</v>
      </c>
      <c r="H1360">
        <v>45000</v>
      </c>
      <c r="I1360">
        <v>48556</v>
      </c>
      <c r="J1360">
        <v>8740</v>
      </c>
    </row>
    <row r="1361" spans="1:10" x14ac:dyDescent="0.3">
      <c r="A1361" t="s">
        <v>18</v>
      </c>
      <c r="B1361" t="s">
        <v>56</v>
      </c>
      <c r="C1361" t="s">
        <v>23</v>
      </c>
      <c r="D1361" t="s">
        <v>68</v>
      </c>
      <c r="E1361" s="36">
        <v>45903</v>
      </c>
      <c r="F1361" t="s">
        <v>36</v>
      </c>
      <c r="G1361">
        <v>5</v>
      </c>
      <c r="H1361">
        <v>55000</v>
      </c>
      <c r="I1361">
        <v>258528</v>
      </c>
      <c r="J1361">
        <v>56876</v>
      </c>
    </row>
    <row r="1362" spans="1:10" x14ac:dyDescent="0.3">
      <c r="A1362" t="s">
        <v>41</v>
      </c>
      <c r="B1362" t="s">
        <v>56</v>
      </c>
      <c r="C1362" t="s">
        <v>23</v>
      </c>
      <c r="D1362" t="s">
        <v>71</v>
      </c>
      <c r="E1362" s="36">
        <v>45990</v>
      </c>
      <c r="F1362" t="s">
        <v>14</v>
      </c>
      <c r="G1362">
        <v>4</v>
      </c>
      <c r="H1362">
        <v>18500</v>
      </c>
      <c r="I1362">
        <v>75151</v>
      </c>
      <c r="J1362">
        <v>9018</v>
      </c>
    </row>
    <row r="1363" spans="1:10" x14ac:dyDescent="0.3">
      <c r="A1363" t="s">
        <v>18</v>
      </c>
      <c r="B1363" t="s">
        <v>56</v>
      </c>
      <c r="C1363" t="s">
        <v>23</v>
      </c>
      <c r="D1363" t="s">
        <v>169</v>
      </c>
      <c r="E1363" s="36">
        <v>46009</v>
      </c>
      <c r="F1363" t="s">
        <v>36</v>
      </c>
      <c r="G1363">
        <v>3</v>
      </c>
      <c r="H1363">
        <v>55000</v>
      </c>
      <c r="I1363">
        <v>174031</v>
      </c>
      <c r="J1363">
        <v>38287</v>
      </c>
    </row>
    <row r="1364" spans="1:10" x14ac:dyDescent="0.3">
      <c r="A1364" t="s">
        <v>37</v>
      </c>
      <c r="B1364" t="s">
        <v>56</v>
      </c>
      <c r="C1364" t="s">
        <v>23</v>
      </c>
      <c r="D1364" t="s">
        <v>236</v>
      </c>
      <c r="E1364" s="36">
        <v>45910</v>
      </c>
      <c r="F1364" t="s">
        <v>40</v>
      </c>
      <c r="G1364">
        <v>10</v>
      </c>
      <c r="H1364">
        <v>15000</v>
      </c>
      <c r="I1364">
        <v>140673</v>
      </c>
      <c r="J1364">
        <v>14067</v>
      </c>
    </row>
    <row r="1365" spans="1:10" x14ac:dyDescent="0.3">
      <c r="A1365" t="s">
        <v>37</v>
      </c>
      <c r="B1365" t="s">
        <v>56</v>
      </c>
      <c r="C1365" t="s">
        <v>23</v>
      </c>
      <c r="D1365" t="s">
        <v>118</v>
      </c>
      <c r="E1365" s="36">
        <v>45683</v>
      </c>
      <c r="F1365" t="s">
        <v>14</v>
      </c>
      <c r="G1365">
        <v>6</v>
      </c>
      <c r="H1365">
        <v>18500</v>
      </c>
      <c r="I1365">
        <v>116485</v>
      </c>
      <c r="J1365">
        <v>13978</v>
      </c>
    </row>
    <row r="1366" spans="1:10" x14ac:dyDescent="0.3">
      <c r="A1366" t="s">
        <v>37</v>
      </c>
      <c r="B1366" t="s">
        <v>56</v>
      </c>
      <c r="C1366" t="s">
        <v>23</v>
      </c>
      <c r="D1366" t="s">
        <v>85</v>
      </c>
      <c r="E1366" s="36">
        <v>45951</v>
      </c>
      <c r="F1366" t="s">
        <v>14</v>
      </c>
      <c r="G1366">
        <v>4</v>
      </c>
      <c r="H1366">
        <v>18500</v>
      </c>
      <c r="I1366">
        <v>70300</v>
      </c>
      <c r="J1366">
        <v>8436</v>
      </c>
    </row>
    <row r="1367" spans="1:10" x14ac:dyDescent="0.3">
      <c r="A1367" t="s">
        <v>10</v>
      </c>
      <c r="B1367" t="s">
        <v>56</v>
      </c>
      <c r="C1367" t="s">
        <v>23</v>
      </c>
      <c r="D1367" t="s">
        <v>261</v>
      </c>
      <c r="E1367" s="36">
        <v>45706</v>
      </c>
      <c r="F1367" t="s">
        <v>36</v>
      </c>
      <c r="G1367">
        <v>1</v>
      </c>
      <c r="H1367">
        <v>55000</v>
      </c>
      <c r="I1367">
        <v>51275</v>
      </c>
      <c r="J1367">
        <v>11280</v>
      </c>
    </row>
    <row r="1368" spans="1:10" x14ac:dyDescent="0.3">
      <c r="A1368" t="s">
        <v>10</v>
      </c>
      <c r="B1368" t="s">
        <v>56</v>
      </c>
      <c r="C1368" t="s">
        <v>23</v>
      </c>
      <c r="D1368" t="s">
        <v>138</v>
      </c>
      <c r="E1368" s="36">
        <v>45879</v>
      </c>
      <c r="F1368" t="s">
        <v>33</v>
      </c>
      <c r="G1368">
        <v>2</v>
      </c>
      <c r="H1368">
        <v>45000</v>
      </c>
      <c r="I1368">
        <v>85330</v>
      </c>
      <c r="J1368">
        <v>15359</v>
      </c>
    </row>
    <row r="1369" spans="1:10" x14ac:dyDescent="0.3">
      <c r="A1369" t="s">
        <v>15</v>
      </c>
      <c r="B1369" t="s">
        <v>56</v>
      </c>
      <c r="C1369" t="s">
        <v>23</v>
      </c>
      <c r="D1369" t="s">
        <v>59</v>
      </c>
      <c r="E1369" s="36">
        <v>45973</v>
      </c>
      <c r="F1369" t="s">
        <v>14</v>
      </c>
      <c r="G1369">
        <v>1</v>
      </c>
      <c r="H1369">
        <v>18500</v>
      </c>
      <c r="I1369">
        <v>17613</v>
      </c>
      <c r="J1369">
        <v>2114</v>
      </c>
    </row>
    <row r="1370" spans="1:10" x14ac:dyDescent="0.3">
      <c r="A1370" t="s">
        <v>15</v>
      </c>
      <c r="B1370" t="s">
        <v>56</v>
      </c>
      <c r="C1370" t="s">
        <v>23</v>
      </c>
      <c r="D1370" t="s">
        <v>241</v>
      </c>
      <c r="E1370" s="36">
        <v>45872</v>
      </c>
      <c r="F1370" t="s">
        <v>33</v>
      </c>
      <c r="G1370">
        <v>6</v>
      </c>
      <c r="H1370">
        <v>45000</v>
      </c>
      <c r="I1370">
        <v>262527</v>
      </c>
      <c r="J1370">
        <v>47255</v>
      </c>
    </row>
    <row r="1371" spans="1:10" x14ac:dyDescent="0.3">
      <c r="A1371" t="s">
        <v>10</v>
      </c>
      <c r="B1371" t="s">
        <v>56</v>
      </c>
      <c r="C1371" t="s">
        <v>23</v>
      </c>
      <c r="D1371" t="s">
        <v>144</v>
      </c>
      <c r="E1371" s="36">
        <v>45756</v>
      </c>
      <c r="F1371" t="s">
        <v>40</v>
      </c>
      <c r="G1371">
        <v>7</v>
      </c>
      <c r="H1371">
        <v>15000</v>
      </c>
      <c r="I1371">
        <v>110653</v>
      </c>
      <c r="J1371">
        <v>11065</v>
      </c>
    </row>
    <row r="1372" spans="1:10" x14ac:dyDescent="0.3">
      <c r="A1372" t="s">
        <v>15</v>
      </c>
      <c r="B1372" t="s">
        <v>56</v>
      </c>
      <c r="C1372" t="s">
        <v>23</v>
      </c>
      <c r="D1372" t="s">
        <v>218</v>
      </c>
      <c r="E1372" s="36">
        <v>45720</v>
      </c>
      <c r="F1372" t="s">
        <v>33</v>
      </c>
      <c r="G1372">
        <v>5</v>
      </c>
      <c r="H1372">
        <v>45000</v>
      </c>
      <c r="I1372">
        <v>240827</v>
      </c>
      <c r="J1372">
        <v>43349</v>
      </c>
    </row>
    <row r="1373" spans="1:10" x14ac:dyDescent="0.3">
      <c r="A1373" t="s">
        <v>18</v>
      </c>
      <c r="B1373" t="s">
        <v>56</v>
      </c>
      <c r="C1373" t="s">
        <v>23</v>
      </c>
      <c r="D1373" t="s">
        <v>171</v>
      </c>
      <c r="E1373" s="36">
        <v>45661</v>
      </c>
      <c r="F1373" t="s">
        <v>33</v>
      </c>
      <c r="G1373">
        <v>7</v>
      </c>
      <c r="H1373">
        <v>45000</v>
      </c>
      <c r="I1373">
        <v>322913</v>
      </c>
      <c r="J1373">
        <v>58124</v>
      </c>
    </row>
    <row r="1374" spans="1:10" x14ac:dyDescent="0.3">
      <c r="A1374" t="s">
        <v>18</v>
      </c>
      <c r="B1374" t="s">
        <v>56</v>
      </c>
      <c r="C1374" t="s">
        <v>23</v>
      </c>
      <c r="D1374" t="s">
        <v>118</v>
      </c>
      <c r="E1374" s="36">
        <v>45882</v>
      </c>
      <c r="F1374" t="s">
        <v>40</v>
      </c>
      <c r="G1374">
        <v>7</v>
      </c>
      <c r="H1374">
        <v>15000</v>
      </c>
      <c r="I1374">
        <v>100602</v>
      </c>
      <c r="J1374">
        <v>10060</v>
      </c>
    </row>
    <row r="1375" spans="1:10" x14ac:dyDescent="0.3">
      <c r="A1375" t="s">
        <v>37</v>
      </c>
      <c r="B1375" t="s">
        <v>56</v>
      </c>
      <c r="C1375" t="s">
        <v>23</v>
      </c>
      <c r="D1375" t="s">
        <v>237</v>
      </c>
      <c r="E1375" s="36">
        <v>45749</v>
      </c>
      <c r="F1375" t="s">
        <v>36</v>
      </c>
      <c r="G1375">
        <v>3</v>
      </c>
      <c r="H1375">
        <v>55000</v>
      </c>
      <c r="I1375">
        <v>164472</v>
      </c>
      <c r="J1375">
        <v>36184</v>
      </c>
    </row>
    <row r="1376" spans="1:10" x14ac:dyDescent="0.3">
      <c r="A1376" t="s">
        <v>41</v>
      </c>
      <c r="B1376" t="s">
        <v>56</v>
      </c>
      <c r="C1376" t="s">
        <v>23</v>
      </c>
      <c r="D1376" t="s">
        <v>95</v>
      </c>
      <c r="E1376" s="36">
        <v>45829</v>
      </c>
      <c r="F1376" t="s">
        <v>14</v>
      </c>
      <c r="G1376">
        <v>3</v>
      </c>
      <c r="H1376">
        <v>18500</v>
      </c>
      <c r="I1376">
        <v>50784</v>
      </c>
      <c r="J1376">
        <v>6094</v>
      </c>
    </row>
    <row r="1377" spans="1:10" x14ac:dyDescent="0.3">
      <c r="A1377" t="s">
        <v>37</v>
      </c>
      <c r="B1377" t="s">
        <v>56</v>
      </c>
      <c r="C1377" t="s">
        <v>23</v>
      </c>
      <c r="D1377" t="s">
        <v>190</v>
      </c>
      <c r="E1377" s="36">
        <v>45839</v>
      </c>
      <c r="F1377" t="s">
        <v>14</v>
      </c>
      <c r="G1377">
        <v>5</v>
      </c>
      <c r="H1377">
        <v>18500</v>
      </c>
      <c r="I1377">
        <v>93411</v>
      </c>
      <c r="J1377">
        <v>11209</v>
      </c>
    </row>
    <row r="1378" spans="1:10" x14ac:dyDescent="0.3">
      <c r="A1378" t="s">
        <v>18</v>
      </c>
      <c r="B1378" t="s">
        <v>56</v>
      </c>
      <c r="C1378" t="s">
        <v>23</v>
      </c>
      <c r="D1378" t="s">
        <v>252</v>
      </c>
      <c r="E1378" s="36">
        <v>45906</v>
      </c>
      <c r="F1378" t="s">
        <v>14</v>
      </c>
      <c r="G1378">
        <v>2</v>
      </c>
      <c r="H1378">
        <v>18500</v>
      </c>
      <c r="I1378">
        <v>34410</v>
      </c>
      <c r="J1378">
        <v>4129</v>
      </c>
    </row>
    <row r="1379" spans="1:10" x14ac:dyDescent="0.3">
      <c r="A1379" t="s">
        <v>37</v>
      </c>
      <c r="B1379" t="s">
        <v>56</v>
      </c>
      <c r="C1379" t="s">
        <v>23</v>
      </c>
      <c r="D1379" t="s">
        <v>169</v>
      </c>
      <c r="E1379" s="36">
        <v>45766</v>
      </c>
      <c r="F1379" t="s">
        <v>36</v>
      </c>
      <c r="G1379">
        <v>9</v>
      </c>
      <c r="H1379">
        <v>55000</v>
      </c>
      <c r="I1379">
        <v>534613</v>
      </c>
      <c r="J1379">
        <v>117615</v>
      </c>
    </row>
    <row r="1380" spans="1:10" x14ac:dyDescent="0.3">
      <c r="A1380" t="s">
        <v>15</v>
      </c>
      <c r="B1380" t="s">
        <v>56</v>
      </c>
      <c r="C1380" t="s">
        <v>23</v>
      </c>
      <c r="D1380" t="s">
        <v>55</v>
      </c>
      <c r="E1380" s="36">
        <v>45723</v>
      </c>
      <c r="F1380" t="s">
        <v>40</v>
      </c>
      <c r="G1380">
        <v>5</v>
      </c>
      <c r="H1380">
        <v>15000</v>
      </c>
      <c r="I1380">
        <v>80023</v>
      </c>
      <c r="J1380">
        <v>8002</v>
      </c>
    </row>
    <row r="1381" spans="1:10" x14ac:dyDescent="0.3">
      <c r="A1381" t="s">
        <v>10</v>
      </c>
      <c r="B1381" t="s">
        <v>56</v>
      </c>
      <c r="C1381" t="s">
        <v>23</v>
      </c>
      <c r="D1381" t="s">
        <v>205</v>
      </c>
      <c r="E1381" s="36">
        <v>45921</v>
      </c>
      <c r="F1381" t="s">
        <v>33</v>
      </c>
      <c r="G1381">
        <v>6</v>
      </c>
      <c r="H1381">
        <v>45000</v>
      </c>
      <c r="I1381">
        <v>261642</v>
      </c>
      <c r="J1381">
        <v>47096</v>
      </c>
    </row>
    <row r="1382" spans="1:10" x14ac:dyDescent="0.3">
      <c r="A1382" t="s">
        <v>41</v>
      </c>
      <c r="B1382" t="s">
        <v>56</v>
      </c>
      <c r="C1382" t="s">
        <v>23</v>
      </c>
      <c r="D1382" t="s">
        <v>248</v>
      </c>
      <c r="E1382" s="36">
        <v>45848</v>
      </c>
      <c r="F1382" t="s">
        <v>33</v>
      </c>
      <c r="G1382">
        <v>5</v>
      </c>
      <c r="H1382">
        <v>45000</v>
      </c>
      <c r="I1382">
        <v>238179</v>
      </c>
      <c r="J1382">
        <v>42872</v>
      </c>
    </row>
    <row r="1383" spans="1:10" x14ac:dyDescent="0.3">
      <c r="A1383" t="s">
        <v>10</v>
      </c>
      <c r="B1383" t="s">
        <v>56</v>
      </c>
      <c r="C1383" t="s">
        <v>23</v>
      </c>
      <c r="D1383" t="s">
        <v>159</v>
      </c>
      <c r="E1383" s="36">
        <v>45714</v>
      </c>
      <c r="F1383" t="s">
        <v>33</v>
      </c>
      <c r="G1383">
        <v>4</v>
      </c>
      <c r="H1383">
        <v>45000</v>
      </c>
      <c r="I1383">
        <v>184966</v>
      </c>
      <c r="J1383">
        <v>33294</v>
      </c>
    </row>
    <row r="1384" spans="1:10" x14ac:dyDescent="0.3">
      <c r="A1384" t="s">
        <v>15</v>
      </c>
      <c r="B1384" t="s">
        <v>56</v>
      </c>
      <c r="C1384" t="s">
        <v>23</v>
      </c>
      <c r="D1384" t="s">
        <v>101</v>
      </c>
      <c r="E1384" s="36">
        <v>45936</v>
      </c>
      <c r="F1384" t="s">
        <v>36</v>
      </c>
      <c r="G1384">
        <v>10</v>
      </c>
      <c r="H1384">
        <v>55000</v>
      </c>
      <c r="I1384">
        <v>518445</v>
      </c>
      <c r="J1384">
        <v>114058</v>
      </c>
    </row>
    <row r="1385" spans="1:10" x14ac:dyDescent="0.3">
      <c r="A1385" t="s">
        <v>41</v>
      </c>
      <c r="B1385" t="s">
        <v>56</v>
      </c>
      <c r="C1385" t="s">
        <v>23</v>
      </c>
      <c r="D1385" t="s">
        <v>223</v>
      </c>
      <c r="E1385" s="36">
        <v>45881</v>
      </c>
      <c r="F1385" t="s">
        <v>14</v>
      </c>
      <c r="G1385">
        <v>2</v>
      </c>
      <c r="H1385">
        <v>18500</v>
      </c>
      <c r="I1385">
        <v>36511</v>
      </c>
      <c r="J1385">
        <v>4381</v>
      </c>
    </row>
    <row r="1386" spans="1:10" x14ac:dyDescent="0.3">
      <c r="A1386" t="s">
        <v>41</v>
      </c>
      <c r="B1386" t="s">
        <v>56</v>
      </c>
      <c r="C1386" t="s">
        <v>23</v>
      </c>
      <c r="D1386" t="s">
        <v>58</v>
      </c>
      <c r="E1386" s="36">
        <v>45830</v>
      </c>
      <c r="F1386" t="s">
        <v>36</v>
      </c>
      <c r="G1386">
        <v>3</v>
      </c>
      <c r="H1386">
        <v>55000</v>
      </c>
      <c r="I1386">
        <v>162986</v>
      </c>
      <c r="J1386">
        <v>35857</v>
      </c>
    </row>
    <row r="1387" spans="1:10" x14ac:dyDescent="0.3">
      <c r="A1387" t="s">
        <v>18</v>
      </c>
      <c r="B1387" t="s">
        <v>56</v>
      </c>
      <c r="C1387" t="s">
        <v>23</v>
      </c>
      <c r="D1387" t="s">
        <v>140</v>
      </c>
      <c r="E1387" s="36">
        <v>45755</v>
      </c>
      <c r="F1387" t="s">
        <v>36</v>
      </c>
      <c r="G1387">
        <v>5</v>
      </c>
      <c r="H1387">
        <v>55000</v>
      </c>
      <c r="I1387">
        <v>261026</v>
      </c>
      <c r="J1387">
        <v>57426</v>
      </c>
    </row>
    <row r="1388" spans="1:10" x14ac:dyDescent="0.3">
      <c r="A1388" t="s">
        <v>10</v>
      </c>
      <c r="B1388" t="s">
        <v>56</v>
      </c>
      <c r="C1388" t="s">
        <v>23</v>
      </c>
      <c r="D1388" t="s">
        <v>153</v>
      </c>
      <c r="E1388" s="36">
        <v>45992</v>
      </c>
      <c r="F1388" t="s">
        <v>33</v>
      </c>
      <c r="G1388">
        <v>1</v>
      </c>
      <c r="H1388">
        <v>45000</v>
      </c>
      <c r="I1388">
        <v>45786</v>
      </c>
      <c r="J1388">
        <v>8241</v>
      </c>
    </row>
    <row r="1389" spans="1:10" x14ac:dyDescent="0.3">
      <c r="A1389" t="s">
        <v>37</v>
      </c>
      <c r="B1389" t="s">
        <v>56</v>
      </c>
      <c r="C1389" t="s">
        <v>23</v>
      </c>
      <c r="D1389" t="s">
        <v>228</v>
      </c>
      <c r="E1389" s="36">
        <v>45872</v>
      </c>
      <c r="F1389" t="s">
        <v>40</v>
      </c>
      <c r="G1389">
        <v>10</v>
      </c>
      <c r="H1389">
        <v>15000</v>
      </c>
      <c r="I1389">
        <v>144028</v>
      </c>
      <c r="J1389">
        <v>14403</v>
      </c>
    </row>
    <row r="1390" spans="1:10" x14ac:dyDescent="0.3">
      <c r="A1390" t="s">
        <v>10</v>
      </c>
      <c r="B1390" t="s">
        <v>56</v>
      </c>
      <c r="C1390" t="s">
        <v>23</v>
      </c>
      <c r="D1390" t="s">
        <v>108</v>
      </c>
      <c r="E1390" s="36">
        <v>45889</v>
      </c>
      <c r="F1390" t="s">
        <v>40</v>
      </c>
      <c r="G1390">
        <v>7</v>
      </c>
      <c r="H1390">
        <v>15000</v>
      </c>
      <c r="I1390">
        <v>111867</v>
      </c>
      <c r="J1390">
        <v>11187</v>
      </c>
    </row>
    <row r="1391" spans="1:10" x14ac:dyDescent="0.3">
      <c r="A1391" t="s">
        <v>37</v>
      </c>
      <c r="B1391" t="s">
        <v>38</v>
      </c>
      <c r="C1391" t="s">
        <v>23</v>
      </c>
      <c r="D1391" t="s">
        <v>39</v>
      </c>
      <c r="E1391" s="36">
        <v>46014</v>
      </c>
      <c r="F1391" t="s">
        <v>40</v>
      </c>
      <c r="G1391">
        <v>5</v>
      </c>
      <c r="H1391">
        <v>15000</v>
      </c>
      <c r="I1391">
        <v>76739</v>
      </c>
      <c r="J1391">
        <v>7674</v>
      </c>
    </row>
    <row r="1392" spans="1:10" x14ac:dyDescent="0.3">
      <c r="A1392" t="s">
        <v>41</v>
      </c>
      <c r="B1392" t="s">
        <v>38</v>
      </c>
      <c r="C1392" t="s">
        <v>23</v>
      </c>
      <c r="D1392" t="s">
        <v>55</v>
      </c>
      <c r="E1392" s="36">
        <v>45905</v>
      </c>
      <c r="F1392" t="s">
        <v>33</v>
      </c>
      <c r="G1392">
        <v>10</v>
      </c>
      <c r="H1392">
        <v>45000</v>
      </c>
      <c r="I1392">
        <v>416090</v>
      </c>
      <c r="J1392">
        <v>74896</v>
      </c>
    </row>
    <row r="1393" spans="1:10" x14ac:dyDescent="0.3">
      <c r="A1393" t="s">
        <v>41</v>
      </c>
      <c r="B1393" t="s">
        <v>38</v>
      </c>
      <c r="C1393" t="s">
        <v>23</v>
      </c>
      <c r="D1393" t="s">
        <v>74</v>
      </c>
      <c r="E1393" s="36">
        <v>45969</v>
      </c>
      <c r="F1393" t="s">
        <v>40</v>
      </c>
      <c r="G1393">
        <v>4</v>
      </c>
      <c r="H1393">
        <v>15000</v>
      </c>
      <c r="I1393">
        <v>59494</v>
      </c>
      <c r="J1393">
        <v>5949</v>
      </c>
    </row>
    <row r="1394" spans="1:10" x14ac:dyDescent="0.3">
      <c r="A1394" t="s">
        <v>15</v>
      </c>
      <c r="B1394" t="s">
        <v>38</v>
      </c>
      <c r="C1394" t="s">
        <v>23</v>
      </c>
      <c r="D1394" t="s">
        <v>78</v>
      </c>
      <c r="E1394" s="36">
        <v>45758</v>
      </c>
      <c r="F1394" t="s">
        <v>36</v>
      </c>
      <c r="G1394">
        <v>9</v>
      </c>
      <c r="H1394">
        <v>55000</v>
      </c>
      <c r="I1394">
        <v>496122</v>
      </c>
      <c r="J1394">
        <v>109147</v>
      </c>
    </row>
    <row r="1395" spans="1:10" x14ac:dyDescent="0.3">
      <c r="A1395" t="s">
        <v>15</v>
      </c>
      <c r="B1395" t="s">
        <v>38</v>
      </c>
      <c r="C1395" t="s">
        <v>23</v>
      </c>
      <c r="D1395" t="s">
        <v>90</v>
      </c>
      <c r="E1395" s="36">
        <v>45726</v>
      </c>
      <c r="F1395" t="s">
        <v>40</v>
      </c>
      <c r="G1395">
        <v>5</v>
      </c>
      <c r="H1395">
        <v>15000</v>
      </c>
      <c r="I1395">
        <v>78422</v>
      </c>
      <c r="J1395">
        <v>7842</v>
      </c>
    </row>
    <row r="1396" spans="1:10" x14ac:dyDescent="0.3">
      <c r="A1396" t="s">
        <v>41</v>
      </c>
      <c r="B1396" t="s">
        <v>38</v>
      </c>
      <c r="C1396" t="s">
        <v>23</v>
      </c>
      <c r="D1396" t="s">
        <v>94</v>
      </c>
      <c r="E1396" s="36">
        <v>45994</v>
      </c>
      <c r="F1396" t="s">
        <v>14</v>
      </c>
      <c r="G1396">
        <v>9</v>
      </c>
      <c r="H1396">
        <v>18500</v>
      </c>
      <c r="I1396">
        <v>159932</v>
      </c>
      <c r="J1396">
        <v>19192</v>
      </c>
    </row>
    <row r="1397" spans="1:10" x14ac:dyDescent="0.3">
      <c r="A1397" t="s">
        <v>37</v>
      </c>
      <c r="B1397" t="s">
        <v>38</v>
      </c>
      <c r="C1397" t="s">
        <v>23</v>
      </c>
      <c r="D1397" t="s">
        <v>117</v>
      </c>
      <c r="E1397" s="36">
        <v>45901</v>
      </c>
      <c r="F1397" t="s">
        <v>40</v>
      </c>
      <c r="G1397">
        <v>1</v>
      </c>
      <c r="H1397">
        <v>15000</v>
      </c>
      <c r="I1397">
        <v>16473</v>
      </c>
      <c r="J1397">
        <v>1647</v>
      </c>
    </row>
    <row r="1398" spans="1:10" x14ac:dyDescent="0.3">
      <c r="A1398" t="s">
        <v>41</v>
      </c>
      <c r="B1398" t="s">
        <v>38</v>
      </c>
      <c r="C1398" t="s">
        <v>23</v>
      </c>
      <c r="D1398" t="s">
        <v>142</v>
      </c>
      <c r="E1398" s="36">
        <v>45864</v>
      </c>
      <c r="F1398" t="s">
        <v>36</v>
      </c>
      <c r="G1398">
        <v>7</v>
      </c>
      <c r="H1398">
        <v>55000</v>
      </c>
      <c r="I1398">
        <v>402137</v>
      </c>
      <c r="J1398">
        <v>88470</v>
      </c>
    </row>
    <row r="1399" spans="1:10" x14ac:dyDescent="0.3">
      <c r="A1399" t="s">
        <v>15</v>
      </c>
      <c r="B1399" t="s">
        <v>38</v>
      </c>
      <c r="C1399" t="s">
        <v>23</v>
      </c>
      <c r="D1399" t="s">
        <v>133</v>
      </c>
      <c r="E1399" s="36">
        <v>45735</v>
      </c>
      <c r="F1399" t="s">
        <v>14</v>
      </c>
      <c r="G1399">
        <v>7</v>
      </c>
      <c r="H1399">
        <v>18500</v>
      </c>
      <c r="I1399">
        <v>137603</v>
      </c>
      <c r="J1399">
        <v>16512</v>
      </c>
    </row>
    <row r="1400" spans="1:10" x14ac:dyDescent="0.3">
      <c r="A1400" t="s">
        <v>37</v>
      </c>
      <c r="B1400" t="s">
        <v>38</v>
      </c>
      <c r="C1400" t="s">
        <v>23</v>
      </c>
      <c r="D1400" t="s">
        <v>164</v>
      </c>
      <c r="E1400" s="36">
        <v>46012</v>
      </c>
      <c r="F1400" t="s">
        <v>14</v>
      </c>
      <c r="G1400">
        <v>2</v>
      </c>
      <c r="H1400">
        <v>18500</v>
      </c>
      <c r="I1400">
        <v>38599</v>
      </c>
      <c r="J1400">
        <v>4632</v>
      </c>
    </row>
    <row r="1401" spans="1:10" x14ac:dyDescent="0.3">
      <c r="A1401" t="s">
        <v>10</v>
      </c>
      <c r="B1401" t="s">
        <v>38</v>
      </c>
      <c r="C1401" t="s">
        <v>23</v>
      </c>
      <c r="D1401" t="s">
        <v>48</v>
      </c>
      <c r="E1401" s="36">
        <v>45921</v>
      </c>
      <c r="F1401" t="s">
        <v>14</v>
      </c>
      <c r="G1401">
        <v>2</v>
      </c>
      <c r="H1401">
        <v>18500</v>
      </c>
      <c r="I1401">
        <v>34734</v>
      </c>
      <c r="J1401">
        <v>4168</v>
      </c>
    </row>
    <row r="1402" spans="1:10" x14ac:dyDescent="0.3">
      <c r="A1402" t="s">
        <v>41</v>
      </c>
      <c r="B1402" t="s">
        <v>38</v>
      </c>
      <c r="C1402" t="s">
        <v>23</v>
      </c>
      <c r="D1402" t="s">
        <v>172</v>
      </c>
      <c r="E1402" s="36">
        <v>45913</v>
      </c>
      <c r="F1402" t="s">
        <v>33</v>
      </c>
      <c r="G1402">
        <v>2</v>
      </c>
      <c r="H1402">
        <v>45000</v>
      </c>
      <c r="I1402">
        <v>81094</v>
      </c>
      <c r="J1402">
        <v>14597</v>
      </c>
    </row>
    <row r="1403" spans="1:10" x14ac:dyDescent="0.3">
      <c r="A1403" t="s">
        <v>15</v>
      </c>
      <c r="B1403" t="s">
        <v>38</v>
      </c>
      <c r="C1403" t="s">
        <v>23</v>
      </c>
      <c r="D1403" t="s">
        <v>117</v>
      </c>
      <c r="E1403" s="36">
        <v>45869</v>
      </c>
      <c r="F1403" t="s">
        <v>40</v>
      </c>
      <c r="G1403">
        <v>5</v>
      </c>
      <c r="H1403">
        <v>15000</v>
      </c>
      <c r="I1403">
        <v>74371</v>
      </c>
      <c r="J1403">
        <v>7437</v>
      </c>
    </row>
    <row r="1404" spans="1:10" x14ac:dyDescent="0.3">
      <c r="A1404" t="s">
        <v>18</v>
      </c>
      <c r="B1404" t="s">
        <v>38</v>
      </c>
      <c r="C1404" t="s">
        <v>23</v>
      </c>
      <c r="D1404" t="s">
        <v>145</v>
      </c>
      <c r="E1404" s="36">
        <v>45755</v>
      </c>
      <c r="F1404" t="s">
        <v>40</v>
      </c>
      <c r="G1404">
        <v>10</v>
      </c>
      <c r="H1404">
        <v>15000</v>
      </c>
      <c r="I1404">
        <v>149303</v>
      </c>
      <c r="J1404">
        <v>14930</v>
      </c>
    </row>
    <row r="1405" spans="1:10" x14ac:dyDescent="0.3">
      <c r="A1405" t="s">
        <v>15</v>
      </c>
      <c r="B1405" t="s">
        <v>38</v>
      </c>
      <c r="C1405" t="s">
        <v>23</v>
      </c>
      <c r="D1405" t="s">
        <v>193</v>
      </c>
      <c r="E1405" s="36">
        <v>45883</v>
      </c>
      <c r="F1405" t="s">
        <v>33</v>
      </c>
      <c r="G1405">
        <v>4</v>
      </c>
      <c r="H1405">
        <v>45000</v>
      </c>
      <c r="I1405">
        <v>196581</v>
      </c>
      <c r="J1405">
        <v>35385</v>
      </c>
    </row>
    <row r="1406" spans="1:10" x14ac:dyDescent="0.3">
      <c r="A1406" t="s">
        <v>41</v>
      </c>
      <c r="B1406" t="s">
        <v>38</v>
      </c>
      <c r="C1406" t="s">
        <v>23</v>
      </c>
      <c r="D1406" t="s">
        <v>121</v>
      </c>
      <c r="E1406" s="36">
        <v>45893</v>
      </c>
      <c r="F1406" t="s">
        <v>40</v>
      </c>
      <c r="G1406">
        <v>2</v>
      </c>
      <c r="H1406">
        <v>15000</v>
      </c>
      <c r="I1406">
        <v>31070</v>
      </c>
      <c r="J1406">
        <v>3107</v>
      </c>
    </row>
    <row r="1407" spans="1:10" x14ac:dyDescent="0.3">
      <c r="A1407" t="s">
        <v>41</v>
      </c>
      <c r="B1407" t="s">
        <v>38</v>
      </c>
      <c r="C1407" t="s">
        <v>23</v>
      </c>
      <c r="D1407" t="s">
        <v>197</v>
      </c>
      <c r="E1407" s="36">
        <v>45783</v>
      </c>
      <c r="F1407" t="s">
        <v>33</v>
      </c>
      <c r="G1407">
        <v>4</v>
      </c>
      <c r="H1407">
        <v>45000</v>
      </c>
      <c r="I1407">
        <v>197781</v>
      </c>
      <c r="J1407">
        <v>35601</v>
      </c>
    </row>
    <row r="1408" spans="1:10" x14ac:dyDescent="0.3">
      <c r="A1408" t="s">
        <v>41</v>
      </c>
      <c r="B1408" t="s">
        <v>38</v>
      </c>
      <c r="C1408" t="s">
        <v>23</v>
      </c>
      <c r="D1408" t="s">
        <v>166</v>
      </c>
      <c r="E1408" s="36">
        <v>45783</v>
      </c>
      <c r="F1408" t="s">
        <v>14</v>
      </c>
      <c r="G1408">
        <v>3</v>
      </c>
      <c r="H1408">
        <v>18500</v>
      </c>
      <c r="I1408">
        <v>60840</v>
      </c>
      <c r="J1408">
        <v>7301</v>
      </c>
    </row>
    <row r="1409" spans="1:10" x14ac:dyDescent="0.3">
      <c r="A1409" t="s">
        <v>18</v>
      </c>
      <c r="B1409" t="s">
        <v>38</v>
      </c>
      <c r="C1409" t="s">
        <v>23</v>
      </c>
      <c r="D1409" t="s">
        <v>219</v>
      </c>
      <c r="E1409" s="36">
        <v>45811</v>
      </c>
      <c r="F1409" t="s">
        <v>36</v>
      </c>
      <c r="G1409">
        <v>9</v>
      </c>
      <c r="H1409">
        <v>55000</v>
      </c>
      <c r="I1409">
        <v>482410</v>
      </c>
      <c r="J1409">
        <v>106130</v>
      </c>
    </row>
    <row r="1410" spans="1:10" x14ac:dyDescent="0.3">
      <c r="A1410" t="s">
        <v>41</v>
      </c>
      <c r="B1410" t="s">
        <v>38</v>
      </c>
      <c r="C1410" t="s">
        <v>23</v>
      </c>
      <c r="D1410" t="s">
        <v>224</v>
      </c>
      <c r="E1410" s="36">
        <v>45917</v>
      </c>
      <c r="F1410" t="s">
        <v>33</v>
      </c>
      <c r="G1410">
        <v>7</v>
      </c>
      <c r="H1410">
        <v>45000</v>
      </c>
      <c r="I1410">
        <v>324924</v>
      </c>
      <c r="J1410">
        <v>58486</v>
      </c>
    </row>
    <row r="1411" spans="1:10" x14ac:dyDescent="0.3">
      <c r="A1411" t="s">
        <v>41</v>
      </c>
      <c r="B1411" t="s">
        <v>38</v>
      </c>
      <c r="C1411" t="s">
        <v>23</v>
      </c>
      <c r="D1411" t="s">
        <v>195</v>
      </c>
      <c r="E1411" s="36">
        <v>45832</v>
      </c>
      <c r="F1411" t="s">
        <v>14</v>
      </c>
      <c r="G1411">
        <v>9</v>
      </c>
      <c r="H1411">
        <v>18500</v>
      </c>
      <c r="I1411">
        <v>181434</v>
      </c>
      <c r="J1411">
        <v>21772</v>
      </c>
    </row>
    <row r="1412" spans="1:10" x14ac:dyDescent="0.3">
      <c r="A1412" t="s">
        <v>41</v>
      </c>
      <c r="B1412" t="s">
        <v>38</v>
      </c>
      <c r="C1412" t="s">
        <v>23</v>
      </c>
      <c r="D1412" t="s">
        <v>110</v>
      </c>
      <c r="E1412" s="36">
        <v>45762</v>
      </c>
      <c r="F1412" t="s">
        <v>14</v>
      </c>
      <c r="G1412">
        <v>3</v>
      </c>
      <c r="H1412">
        <v>18500</v>
      </c>
      <c r="I1412">
        <v>53604</v>
      </c>
      <c r="J1412">
        <v>6432</v>
      </c>
    </row>
    <row r="1413" spans="1:10" x14ac:dyDescent="0.3">
      <c r="A1413" t="s">
        <v>37</v>
      </c>
      <c r="B1413" t="s">
        <v>38</v>
      </c>
      <c r="C1413" t="s">
        <v>23</v>
      </c>
      <c r="D1413" t="s">
        <v>117</v>
      </c>
      <c r="E1413" s="36">
        <v>45798</v>
      </c>
      <c r="F1413" t="s">
        <v>40</v>
      </c>
      <c r="G1413">
        <v>3</v>
      </c>
      <c r="H1413">
        <v>15000</v>
      </c>
      <c r="I1413">
        <v>43731</v>
      </c>
      <c r="J1413">
        <v>4373</v>
      </c>
    </row>
    <row r="1414" spans="1:10" x14ac:dyDescent="0.3">
      <c r="A1414" t="s">
        <v>18</v>
      </c>
      <c r="B1414" t="s">
        <v>38</v>
      </c>
      <c r="C1414" t="s">
        <v>23</v>
      </c>
      <c r="D1414" t="s">
        <v>95</v>
      </c>
      <c r="E1414" s="36">
        <v>45939</v>
      </c>
      <c r="F1414" t="s">
        <v>36</v>
      </c>
      <c r="G1414">
        <v>8</v>
      </c>
      <c r="H1414">
        <v>55000</v>
      </c>
      <c r="I1414">
        <v>424801</v>
      </c>
      <c r="J1414">
        <v>93456</v>
      </c>
    </row>
    <row r="1415" spans="1:10" x14ac:dyDescent="0.3">
      <c r="A1415" t="s">
        <v>41</v>
      </c>
      <c r="B1415" t="s">
        <v>38</v>
      </c>
      <c r="C1415" t="s">
        <v>23</v>
      </c>
      <c r="D1415" t="s">
        <v>234</v>
      </c>
      <c r="E1415" s="36">
        <v>45765</v>
      </c>
      <c r="F1415" t="s">
        <v>40</v>
      </c>
      <c r="G1415">
        <v>1</v>
      </c>
      <c r="H1415">
        <v>15000</v>
      </c>
      <c r="I1415">
        <v>16302</v>
      </c>
      <c r="J1415">
        <v>1630</v>
      </c>
    </row>
    <row r="1416" spans="1:10" x14ac:dyDescent="0.3">
      <c r="A1416" t="s">
        <v>37</v>
      </c>
      <c r="B1416" t="s">
        <v>38</v>
      </c>
      <c r="C1416" t="s">
        <v>23</v>
      </c>
      <c r="D1416" t="s">
        <v>65</v>
      </c>
      <c r="E1416" s="36">
        <v>45862</v>
      </c>
      <c r="F1416" t="s">
        <v>33</v>
      </c>
      <c r="G1416">
        <v>5</v>
      </c>
      <c r="H1416">
        <v>45000</v>
      </c>
      <c r="I1416">
        <v>238482</v>
      </c>
      <c r="J1416">
        <v>42927</v>
      </c>
    </row>
    <row r="1417" spans="1:10" x14ac:dyDescent="0.3">
      <c r="A1417" t="s">
        <v>10</v>
      </c>
      <c r="B1417" t="s">
        <v>38</v>
      </c>
      <c r="C1417" t="s">
        <v>23</v>
      </c>
      <c r="D1417" t="s">
        <v>54</v>
      </c>
      <c r="E1417" s="36">
        <v>45677</v>
      </c>
      <c r="F1417" t="s">
        <v>33</v>
      </c>
      <c r="G1417">
        <v>9</v>
      </c>
      <c r="H1417">
        <v>45000</v>
      </c>
      <c r="I1417">
        <v>414271</v>
      </c>
      <c r="J1417">
        <v>74569</v>
      </c>
    </row>
    <row r="1418" spans="1:10" x14ac:dyDescent="0.3">
      <c r="A1418" t="s">
        <v>37</v>
      </c>
      <c r="B1418" t="s">
        <v>38</v>
      </c>
      <c r="C1418" t="s">
        <v>23</v>
      </c>
      <c r="D1418" t="s">
        <v>198</v>
      </c>
      <c r="E1418" s="36">
        <v>46001</v>
      </c>
      <c r="F1418" t="s">
        <v>36</v>
      </c>
      <c r="G1418">
        <v>3</v>
      </c>
      <c r="H1418">
        <v>55000</v>
      </c>
      <c r="I1418">
        <v>172681</v>
      </c>
      <c r="J1418">
        <v>37990</v>
      </c>
    </row>
    <row r="1419" spans="1:10" x14ac:dyDescent="0.3">
      <c r="A1419" t="s">
        <v>18</v>
      </c>
      <c r="B1419" t="s">
        <v>38</v>
      </c>
      <c r="C1419" t="s">
        <v>23</v>
      </c>
      <c r="D1419" t="s">
        <v>150</v>
      </c>
      <c r="E1419" s="36">
        <v>45840</v>
      </c>
      <c r="F1419" t="s">
        <v>40</v>
      </c>
      <c r="G1419">
        <v>4</v>
      </c>
      <c r="H1419">
        <v>15000</v>
      </c>
      <c r="I1419">
        <v>57911</v>
      </c>
      <c r="J1419">
        <v>5791</v>
      </c>
    </row>
    <row r="1420" spans="1:10" x14ac:dyDescent="0.3">
      <c r="A1420" t="s">
        <v>41</v>
      </c>
      <c r="B1420" t="s">
        <v>38</v>
      </c>
      <c r="C1420" t="s">
        <v>23</v>
      </c>
      <c r="D1420" t="s">
        <v>150</v>
      </c>
      <c r="E1420" s="36">
        <v>45902</v>
      </c>
      <c r="F1420" t="s">
        <v>36</v>
      </c>
      <c r="G1420">
        <v>10</v>
      </c>
      <c r="H1420">
        <v>55000</v>
      </c>
      <c r="I1420">
        <v>594664</v>
      </c>
      <c r="J1420">
        <v>130826</v>
      </c>
    </row>
    <row r="1421" spans="1:10" x14ac:dyDescent="0.3">
      <c r="A1421" t="s">
        <v>18</v>
      </c>
      <c r="B1421" t="s">
        <v>38</v>
      </c>
      <c r="C1421" t="s">
        <v>23</v>
      </c>
      <c r="D1421" t="s">
        <v>198</v>
      </c>
      <c r="E1421" s="36">
        <v>45984</v>
      </c>
      <c r="F1421" t="s">
        <v>36</v>
      </c>
      <c r="G1421">
        <v>2</v>
      </c>
      <c r="H1421">
        <v>55000</v>
      </c>
      <c r="I1421">
        <v>116460</v>
      </c>
      <c r="J1421">
        <v>25621</v>
      </c>
    </row>
    <row r="1422" spans="1:10" x14ac:dyDescent="0.3">
      <c r="A1422" t="s">
        <v>18</v>
      </c>
      <c r="B1422" t="s">
        <v>38</v>
      </c>
      <c r="C1422" t="s">
        <v>23</v>
      </c>
      <c r="D1422" t="s">
        <v>203</v>
      </c>
      <c r="E1422" s="36">
        <v>46018</v>
      </c>
      <c r="F1422" t="s">
        <v>14</v>
      </c>
      <c r="G1422">
        <v>3</v>
      </c>
      <c r="H1422">
        <v>18500</v>
      </c>
      <c r="I1422">
        <v>54357</v>
      </c>
      <c r="J1422">
        <v>6523</v>
      </c>
    </row>
    <row r="1423" spans="1:10" x14ac:dyDescent="0.3">
      <c r="A1423" t="s">
        <v>10</v>
      </c>
      <c r="B1423" t="s">
        <v>38</v>
      </c>
      <c r="C1423" t="s">
        <v>23</v>
      </c>
      <c r="D1423" t="s">
        <v>154</v>
      </c>
      <c r="E1423" s="36">
        <v>45761</v>
      </c>
      <c r="F1423" t="s">
        <v>40</v>
      </c>
      <c r="G1423">
        <v>3</v>
      </c>
      <c r="H1423">
        <v>15000</v>
      </c>
      <c r="I1423">
        <v>46236</v>
      </c>
      <c r="J1423">
        <v>4624</v>
      </c>
    </row>
    <row r="1424" spans="1:10" x14ac:dyDescent="0.3">
      <c r="A1424" t="s">
        <v>10</v>
      </c>
      <c r="B1424" t="s">
        <v>38</v>
      </c>
      <c r="C1424" t="s">
        <v>23</v>
      </c>
      <c r="D1424" t="s">
        <v>156</v>
      </c>
      <c r="E1424" s="36">
        <v>46012</v>
      </c>
      <c r="F1424" t="s">
        <v>14</v>
      </c>
      <c r="G1424">
        <v>7</v>
      </c>
      <c r="H1424">
        <v>18500</v>
      </c>
      <c r="I1424">
        <v>141640</v>
      </c>
      <c r="J1424">
        <v>16997</v>
      </c>
    </row>
    <row r="1425" spans="1:10" x14ac:dyDescent="0.3">
      <c r="A1425" t="s">
        <v>37</v>
      </c>
      <c r="B1425" t="s">
        <v>38</v>
      </c>
      <c r="C1425" t="s">
        <v>23</v>
      </c>
      <c r="D1425" t="s">
        <v>224</v>
      </c>
      <c r="E1425" s="36">
        <v>45998</v>
      </c>
      <c r="F1425" t="s">
        <v>33</v>
      </c>
      <c r="G1425">
        <v>4</v>
      </c>
      <c r="H1425">
        <v>45000</v>
      </c>
      <c r="I1425">
        <v>167677</v>
      </c>
      <c r="J1425">
        <v>30182</v>
      </c>
    </row>
    <row r="1426" spans="1:10" x14ac:dyDescent="0.3">
      <c r="A1426" t="s">
        <v>10</v>
      </c>
      <c r="B1426" t="s">
        <v>38</v>
      </c>
      <c r="C1426" t="s">
        <v>23</v>
      </c>
      <c r="D1426" t="s">
        <v>74</v>
      </c>
      <c r="E1426" s="36">
        <v>45912</v>
      </c>
      <c r="F1426" t="s">
        <v>14</v>
      </c>
      <c r="G1426">
        <v>10</v>
      </c>
      <c r="H1426">
        <v>18500</v>
      </c>
      <c r="I1426">
        <v>175111</v>
      </c>
      <c r="J1426">
        <v>21013</v>
      </c>
    </row>
    <row r="1427" spans="1:10" x14ac:dyDescent="0.3">
      <c r="A1427" t="s">
        <v>15</v>
      </c>
      <c r="B1427" t="s">
        <v>38</v>
      </c>
      <c r="C1427" t="s">
        <v>23</v>
      </c>
      <c r="D1427" t="s">
        <v>187</v>
      </c>
      <c r="E1427" s="36">
        <v>45724</v>
      </c>
      <c r="F1427" t="s">
        <v>33</v>
      </c>
      <c r="G1427">
        <v>7</v>
      </c>
      <c r="H1427">
        <v>45000</v>
      </c>
      <c r="I1427">
        <v>326153</v>
      </c>
      <c r="J1427">
        <v>58708</v>
      </c>
    </row>
    <row r="1428" spans="1:10" x14ac:dyDescent="0.3">
      <c r="A1428" t="s">
        <v>15</v>
      </c>
      <c r="B1428" t="s">
        <v>38</v>
      </c>
      <c r="C1428" t="s">
        <v>23</v>
      </c>
      <c r="D1428" t="s">
        <v>190</v>
      </c>
      <c r="E1428" s="36">
        <v>45809</v>
      </c>
      <c r="F1428" t="s">
        <v>33</v>
      </c>
      <c r="G1428">
        <v>2</v>
      </c>
      <c r="H1428">
        <v>45000</v>
      </c>
      <c r="I1428">
        <v>86650</v>
      </c>
      <c r="J1428">
        <v>15597</v>
      </c>
    </row>
    <row r="1429" spans="1:10" x14ac:dyDescent="0.3">
      <c r="A1429" t="s">
        <v>10</v>
      </c>
      <c r="B1429" t="s">
        <v>38</v>
      </c>
      <c r="C1429" t="s">
        <v>23</v>
      </c>
      <c r="D1429" t="s">
        <v>78</v>
      </c>
      <c r="E1429" s="36">
        <v>45690</v>
      </c>
      <c r="F1429" t="s">
        <v>40</v>
      </c>
      <c r="G1429">
        <v>8</v>
      </c>
      <c r="H1429">
        <v>15000</v>
      </c>
      <c r="I1429">
        <v>130718</v>
      </c>
      <c r="J1429">
        <v>13072</v>
      </c>
    </row>
    <row r="1430" spans="1:10" x14ac:dyDescent="0.3">
      <c r="A1430" t="s">
        <v>18</v>
      </c>
      <c r="B1430" t="s">
        <v>38</v>
      </c>
      <c r="C1430" t="s">
        <v>23</v>
      </c>
      <c r="D1430" t="s">
        <v>255</v>
      </c>
      <c r="E1430" s="36">
        <v>45795</v>
      </c>
      <c r="F1430" t="s">
        <v>33</v>
      </c>
      <c r="G1430">
        <v>4</v>
      </c>
      <c r="H1430">
        <v>45000</v>
      </c>
      <c r="I1430">
        <v>182819</v>
      </c>
      <c r="J1430">
        <v>32907</v>
      </c>
    </row>
    <row r="1431" spans="1:10" x14ac:dyDescent="0.3">
      <c r="A1431" t="s">
        <v>18</v>
      </c>
      <c r="B1431" t="s">
        <v>38</v>
      </c>
      <c r="C1431" t="s">
        <v>23</v>
      </c>
      <c r="D1431" t="s">
        <v>237</v>
      </c>
      <c r="E1431" s="36">
        <v>45978</v>
      </c>
      <c r="F1431" t="s">
        <v>40</v>
      </c>
      <c r="G1431">
        <v>8</v>
      </c>
      <c r="H1431">
        <v>15000</v>
      </c>
      <c r="I1431">
        <v>119762</v>
      </c>
      <c r="J1431">
        <v>11976</v>
      </c>
    </row>
    <row r="1432" spans="1:10" x14ac:dyDescent="0.3">
      <c r="A1432" t="s">
        <v>18</v>
      </c>
      <c r="B1432" t="s">
        <v>38</v>
      </c>
      <c r="C1432" t="s">
        <v>23</v>
      </c>
      <c r="D1432" t="s">
        <v>169</v>
      </c>
      <c r="E1432" s="36">
        <v>45736</v>
      </c>
      <c r="F1432" t="s">
        <v>14</v>
      </c>
      <c r="G1432">
        <v>4</v>
      </c>
      <c r="H1432">
        <v>18500</v>
      </c>
      <c r="I1432">
        <v>76885</v>
      </c>
      <c r="J1432">
        <v>9226</v>
      </c>
    </row>
    <row r="1433" spans="1:10" x14ac:dyDescent="0.3">
      <c r="A1433" t="s">
        <v>41</v>
      </c>
      <c r="B1433" t="s">
        <v>38</v>
      </c>
      <c r="C1433" t="s">
        <v>23</v>
      </c>
      <c r="D1433" t="s">
        <v>241</v>
      </c>
      <c r="E1433" s="36">
        <v>45824</v>
      </c>
      <c r="F1433" t="s">
        <v>33</v>
      </c>
      <c r="G1433">
        <v>4</v>
      </c>
      <c r="H1433">
        <v>45000</v>
      </c>
      <c r="I1433">
        <v>176122</v>
      </c>
      <c r="J1433">
        <v>31702</v>
      </c>
    </row>
    <row r="1434" spans="1:10" x14ac:dyDescent="0.3">
      <c r="A1434" t="s">
        <v>10</v>
      </c>
      <c r="B1434" t="s">
        <v>38</v>
      </c>
      <c r="C1434" t="s">
        <v>23</v>
      </c>
      <c r="D1434" t="s">
        <v>179</v>
      </c>
      <c r="E1434" s="36">
        <v>45968</v>
      </c>
      <c r="F1434" t="s">
        <v>33</v>
      </c>
      <c r="G1434">
        <v>3</v>
      </c>
      <c r="H1434">
        <v>45000</v>
      </c>
      <c r="I1434">
        <v>128592</v>
      </c>
      <c r="J1434">
        <v>23147</v>
      </c>
    </row>
    <row r="1435" spans="1:10" x14ac:dyDescent="0.3">
      <c r="A1435" t="s">
        <v>18</v>
      </c>
      <c r="B1435" t="s">
        <v>38</v>
      </c>
      <c r="C1435" t="s">
        <v>23</v>
      </c>
      <c r="D1435" t="s">
        <v>190</v>
      </c>
      <c r="E1435" s="36">
        <v>46009</v>
      </c>
      <c r="F1435" t="s">
        <v>40</v>
      </c>
      <c r="G1435">
        <v>3</v>
      </c>
      <c r="H1435">
        <v>15000</v>
      </c>
      <c r="I1435">
        <v>40894</v>
      </c>
      <c r="J1435">
        <v>4089</v>
      </c>
    </row>
    <row r="1436" spans="1:10" x14ac:dyDescent="0.3">
      <c r="A1436" t="s">
        <v>18</v>
      </c>
      <c r="B1436" t="s">
        <v>38</v>
      </c>
      <c r="C1436" t="s">
        <v>23</v>
      </c>
      <c r="D1436" t="s">
        <v>205</v>
      </c>
      <c r="E1436" s="36">
        <v>45792</v>
      </c>
      <c r="F1436" t="s">
        <v>40</v>
      </c>
      <c r="G1436">
        <v>8</v>
      </c>
      <c r="H1436">
        <v>15000</v>
      </c>
      <c r="I1436">
        <v>118506</v>
      </c>
      <c r="J1436">
        <v>11851</v>
      </c>
    </row>
    <row r="1437" spans="1:10" x14ac:dyDescent="0.3">
      <c r="A1437" t="s">
        <v>15</v>
      </c>
      <c r="B1437" t="s">
        <v>38</v>
      </c>
      <c r="C1437" t="s">
        <v>23</v>
      </c>
      <c r="D1437" t="s">
        <v>208</v>
      </c>
      <c r="E1437" s="36">
        <v>45680</v>
      </c>
      <c r="F1437" t="s">
        <v>40</v>
      </c>
      <c r="G1437">
        <v>4</v>
      </c>
      <c r="H1437">
        <v>15000</v>
      </c>
      <c r="I1437">
        <v>59008</v>
      </c>
      <c r="J1437">
        <v>5901</v>
      </c>
    </row>
    <row r="1438" spans="1:10" x14ac:dyDescent="0.3">
      <c r="A1438" t="s">
        <v>37</v>
      </c>
      <c r="B1438" t="s">
        <v>38</v>
      </c>
      <c r="C1438" t="s">
        <v>23</v>
      </c>
      <c r="D1438" t="s">
        <v>85</v>
      </c>
      <c r="E1438" s="36">
        <v>45796</v>
      </c>
      <c r="F1438" t="s">
        <v>40</v>
      </c>
      <c r="G1438">
        <v>1</v>
      </c>
      <c r="H1438">
        <v>15000</v>
      </c>
      <c r="I1438">
        <v>15334</v>
      </c>
      <c r="J1438">
        <v>1533</v>
      </c>
    </row>
    <row r="1439" spans="1:10" x14ac:dyDescent="0.3">
      <c r="A1439" t="s">
        <v>15</v>
      </c>
      <c r="B1439" t="s">
        <v>38</v>
      </c>
      <c r="C1439" t="s">
        <v>23</v>
      </c>
      <c r="D1439" t="s">
        <v>54</v>
      </c>
      <c r="E1439" s="36">
        <v>45813</v>
      </c>
      <c r="F1439" t="s">
        <v>40</v>
      </c>
      <c r="G1439">
        <v>1</v>
      </c>
      <c r="H1439">
        <v>15000</v>
      </c>
      <c r="I1439">
        <v>14576</v>
      </c>
      <c r="J1439">
        <v>1458</v>
      </c>
    </row>
    <row r="1440" spans="1:10" x14ac:dyDescent="0.3">
      <c r="A1440" t="s">
        <v>37</v>
      </c>
      <c r="B1440" t="s">
        <v>38</v>
      </c>
      <c r="C1440" t="s">
        <v>23</v>
      </c>
      <c r="D1440" t="s">
        <v>234</v>
      </c>
      <c r="E1440" s="36">
        <v>45671</v>
      </c>
      <c r="F1440" t="s">
        <v>36</v>
      </c>
      <c r="G1440">
        <v>3</v>
      </c>
      <c r="H1440">
        <v>55000</v>
      </c>
      <c r="I1440">
        <v>164846</v>
      </c>
      <c r="J1440">
        <v>36266</v>
      </c>
    </row>
    <row r="1441" spans="1:10" x14ac:dyDescent="0.3">
      <c r="A1441" t="s">
        <v>41</v>
      </c>
      <c r="B1441" t="s">
        <v>38</v>
      </c>
      <c r="C1441" t="s">
        <v>23</v>
      </c>
      <c r="D1441" t="s">
        <v>98</v>
      </c>
      <c r="E1441" s="36">
        <v>45729</v>
      </c>
      <c r="F1441" t="s">
        <v>40</v>
      </c>
      <c r="G1441">
        <v>6</v>
      </c>
      <c r="H1441">
        <v>15000</v>
      </c>
      <c r="I1441">
        <v>93786</v>
      </c>
      <c r="J1441">
        <v>9379</v>
      </c>
    </row>
    <row r="1442" spans="1:10" x14ac:dyDescent="0.3">
      <c r="A1442" t="s">
        <v>41</v>
      </c>
      <c r="B1442" t="s">
        <v>38</v>
      </c>
      <c r="C1442" t="s">
        <v>23</v>
      </c>
      <c r="D1442" t="s">
        <v>76</v>
      </c>
      <c r="E1442" s="36">
        <v>45777</v>
      </c>
      <c r="F1442" t="s">
        <v>40</v>
      </c>
      <c r="G1442">
        <v>8</v>
      </c>
      <c r="H1442">
        <v>15000</v>
      </c>
      <c r="I1442">
        <v>127409</v>
      </c>
      <c r="J1442">
        <v>12741</v>
      </c>
    </row>
    <row r="1443" spans="1:10" x14ac:dyDescent="0.3">
      <c r="A1443" t="s">
        <v>41</v>
      </c>
      <c r="B1443" t="s">
        <v>38</v>
      </c>
      <c r="C1443" t="s">
        <v>23</v>
      </c>
      <c r="D1443" t="s">
        <v>114</v>
      </c>
      <c r="E1443" s="36">
        <v>45893</v>
      </c>
      <c r="F1443" t="s">
        <v>33</v>
      </c>
      <c r="G1443">
        <v>8</v>
      </c>
      <c r="H1443">
        <v>45000</v>
      </c>
      <c r="I1443">
        <v>369653</v>
      </c>
      <c r="J1443">
        <v>66538</v>
      </c>
    </row>
    <row r="1444" spans="1:10" x14ac:dyDescent="0.3">
      <c r="A1444" t="s">
        <v>41</v>
      </c>
      <c r="B1444" t="s">
        <v>38</v>
      </c>
      <c r="C1444" t="s">
        <v>23</v>
      </c>
      <c r="D1444" t="s">
        <v>225</v>
      </c>
      <c r="E1444" s="36">
        <v>45785</v>
      </c>
      <c r="F1444" t="s">
        <v>14</v>
      </c>
      <c r="G1444">
        <v>4</v>
      </c>
      <c r="H1444">
        <v>18500</v>
      </c>
      <c r="I1444">
        <v>69601</v>
      </c>
      <c r="J1444">
        <v>8352</v>
      </c>
    </row>
    <row r="1445" spans="1:10" x14ac:dyDescent="0.3">
      <c r="A1445" t="s">
        <v>41</v>
      </c>
      <c r="B1445" t="s">
        <v>38</v>
      </c>
      <c r="C1445" t="s">
        <v>23</v>
      </c>
      <c r="D1445" t="s">
        <v>189</v>
      </c>
      <c r="E1445" s="36">
        <v>45752</v>
      </c>
      <c r="F1445" t="s">
        <v>36</v>
      </c>
      <c r="G1445">
        <v>3</v>
      </c>
      <c r="H1445">
        <v>55000</v>
      </c>
      <c r="I1445">
        <v>164613</v>
      </c>
      <c r="J1445">
        <v>36215</v>
      </c>
    </row>
    <row r="1446" spans="1:10" x14ac:dyDescent="0.3">
      <c r="A1446" t="s">
        <v>41</v>
      </c>
      <c r="B1446" t="s">
        <v>38</v>
      </c>
      <c r="C1446" t="s">
        <v>23</v>
      </c>
      <c r="D1446" t="s">
        <v>185</v>
      </c>
      <c r="E1446" s="36">
        <v>45756</v>
      </c>
      <c r="F1446" t="s">
        <v>14</v>
      </c>
      <c r="G1446">
        <v>7</v>
      </c>
      <c r="H1446">
        <v>18500</v>
      </c>
      <c r="I1446">
        <v>117680</v>
      </c>
      <c r="J1446">
        <v>14122</v>
      </c>
    </row>
    <row r="1447" spans="1:10" x14ac:dyDescent="0.3">
      <c r="A1447" t="s">
        <v>10</v>
      </c>
      <c r="B1447" t="s">
        <v>38</v>
      </c>
      <c r="C1447" t="s">
        <v>23</v>
      </c>
      <c r="D1447" t="s">
        <v>149</v>
      </c>
      <c r="E1447" s="36">
        <v>45934</v>
      </c>
      <c r="F1447" t="s">
        <v>14</v>
      </c>
      <c r="G1447">
        <v>10</v>
      </c>
      <c r="H1447">
        <v>18500</v>
      </c>
      <c r="I1447">
        <v>170035</v>
      </c>
      <c r="J1447">
        <v>20404</v>
      </c>
    </row>
    <row r="1448" spans="1:10" x14ac:dyDescent="0.3">
      <c r="A1448" t="s">
        <v>10</v>
      </c>
      <c r="B1448" t="s">
        <v>38</v>
      </c>
      <c r="C1448" t="s">
        <v>23</v>
      </c>
      <c r="D1448" t="s">
        <v>240</v>
      </c>
      <c r="E1448" s="36">
        <v>45791</v>
      </c>
      <c r="F1448" t="s">
        <v>40</v>
      </c>
      <c r="G1448">
        <v>10</v>
      </c>
      <c r="H1448">
        <v>15000</v>
      </c>
      <c r="I1448">
        <v>140777</v>
      </c>
      <c r="J1448">
        <v>14078</v>
      </c>
    </row>
    <row r="1449" spans="1:10" x14ac:dyDescent="0.3">
      <c r="A1449" t="s">
        <v>18</v>
      </c>
      <c r="B1449" t="s">
        <v>38</v>
      </c>
      <c r="C1449" t="s">
        <v>23</v>
      </c>
      <c r="D1449" t="s">
        <v>112</v>
      </c>
      <c r="E1449" s="36">
        <v>45828</v>
      </c>
      <c r="F1449" t="s">
        <v>36</v>
      </c>
      <c r="G1449">
        <v>4</v>
      </c>
      <c r="H1449">
        <v>55000</v>
      </c>
      <c r="I1449">
        <v>208664</v>
      </c>
      <c r="J1449">
        <v>45906</v>
      </c>
    </row>
    <row r="1450" spans="1:10" x14ac:dyDescent="0.3">
      <c r="A1450" t="s">
        <v>41</v>
      </c>
      <c r="B1450" t="s">
        <v>38</v>
      </c>
      <c r="C1450" t="s">
        <v>23</v>
      </c>
      <c r="D1450" t="s">
        <v>64</v>
      </c>
      <c r="E1450" s="36">
        <v>45725</v>
      </c>
      <c r="F1450" t="s">
        <v>33</v>
      </c>
      <c r="G1450">
        <v>6</v>
      </c>
      <c r="H1450">
        <v>45000</v>
      </c>
      <c r="I1450">
        <v>276202</v>
      </c>
      <c r="J1450">
        <v>49716</v>
      </c>
    </row>
    <row r="1451" spans="1:10" x14ac:dyDescent="0.3">
      <c r="A1451" t="s">
        <v>41</v>
      </c>
      <c r="B1451" t="s">
        <v>38</v>
      </c>
      <c r="C1451" t="s">
        <v>23</v>
      </c>
      <c r="D1451" t="s">
        <v>166</v>
      </c>
      <c r="E1451" s="36">
        <v>45977</v>
      </c>
      <c r="F1451" t="s">
        <v>33</v>
      </c>
      <c r="G1451">
        <v>1</v>
      </c>
      <c r="H1451">
        <v>45000</v>
      </c>
      <c r="I1451">
        <v>41342</v>
      </c>
      <c r="J1451">
        <v>7442</v>
      </c>
    </row>
    <row r="1452" spans="1:10" x14ac:dyDescent="0.3">
      <c r="A1452" t="s">
        <v>37</v>
      </c>
      <c r="B1452" t="s">
        <v>38</v>
      </c>
      <c r="C1452" t="s">
        <v>23</v>
      </c>
      <c r="D1452" t="s">
        <v>35</v>
      </c>
      <c r="E1452" s="36">
        <v>45955</v>
      </c>
      <c r="F1452" t="s">
        <v>36</v>
      </c>
      <c r="G1452">
        <v>9</v>
      </c>
      <c r="H1452">
        <v>55000</v>
      </c>
      <c r="I1452">
        <v>484538</v>
      </c>
      <c r="J1452">
        <v>106598</v>
      </c>
    </row>
    <row r="1453" spans="1:10" x14ac:dyDescent="0.3">
      <c r="A1453" t="s">
        <v>15</v>
      </c>
      <c r="B1453" t="s">
        <v>38</v>
      </c>
      <c r="C1453" t="s">
        <v>23</v>
      </c>
      <c r="D1453" t="s">
        <v>58</v>
      </c>
      <c r="E1453" s="36">
        <v>45868</v>
      </c>
      <c r="F1453" t="s">
        <v>33</v>
      </c>
      <c r="G1453">
        <v>3</v>
      </c>
      <c r="H1453">
        <v>45000</v>
      </c>
      <c r="I1453">
        <v>137764</v>
      </c>
      <c r="J1453">
        <v>24798</v>
      </c>
    </row>
    <row r="1454" spans="1:10" x14ac:dyDescent="0.3">
      <c r="A1454" t="s">
        <v>37</v>
      </c>
      <c r="B1454" t="s">
        <v>38</v>
      </c>
      <c r="C1454" t="s">
        <v>23</v>
      </c>
      <c r="D1454" t="s">
        <v>204</v>
      </c>
      <c r="E1454" s="36">
        <v>46008</v>
      </c>
      <c r="F1454" t="s">
        <v>14</v>
      </c>
      <c r="G1454">
        <v>1</v>
      </c>
      <c r="H1454">
        <v>18500</v>
      </c>
      <c r="I1454">
        <v>19313</v>
      </c>
      <c r="J1454">
        <v>2318</v>
      </c>
    </row>
    <row r="1455" spans="1:10" x14ac:dyDescent="0.3">
      <c r="A1455" t="s">
        <v>18</v>
      </c>
      <c r="B1455" t="s">
        <v>38</v>
      </c>
      <c r="C1455" t="s">
        <v>23</v>
      </c>
      <c r="D1455" t="s">
        <v>145</v>
      </c>
      <c r="E1455" s="36">
        <v>45998</v>
      </c>
      <c r="F1455" t="s">
        <v>36</v>
      </c>
      <c r="G1455">
        <v>9</v>
      </c>
      <c r="H1455">
        <v>55000</v>
      </c>
      <c r="I1455">
        <v>467799</v>
      </c>
      <c r="J1455">
        <v>102916</v>
      </c>
    </row>
    <row r="1456" spans="1:10" x14ac:dyDescent="0.3">
      <c r="A1456" t="s">
        <v>18</v>
      </c>
      <c r="B1456" t="s">
        <v>38</v>
      </c>
      <c r="C1456" t="s">
        <v>23</v>
      </c>
      <c r="D1456" t="s">
        <v>13</v>
      </c>
      <c r="E1456" s="36">
        <v>46005</v>
      </c>
      <c r="F1456" t="s">
        <v>36</v>
      </c>
      <c r="G1456">
        <v>7</v>
      </c>
      <c r="H1456">
        <v>55000</v>
      </c>
      <c r="I1456">
        <v>403180</v>
      </c>
      <c r="J1456">
        <v>88700</v>
      </c>
    </row>
    <row r="1457" spans="1:10" x14ac:dyDescent="0.3">
      <c r="A1457" t="s">
        <v>37</v>
      </c>
      <c r="B1457" t="s">
        <v>38</v>
      </c>
      <c r="C1457" t="s">
        <v>23</v>
      </c>
      <c r="D1457" t="s">
        <v>161</v>
      </c>
      <c r="E1457" s="36">
        <v>45818</v>
      </c>
      <c r="F1457" t="s">
        <v>36</v>
      </c>
      <c r="G1457">
        <v>4</v>
      </c>
      <c r="H1457">
        <v>55000</v>
      </c>
      <c r="I1457">
        <v>215614</v>
      </c>
      <c r="J1457">
        <v>47435</v>
      </c>
    </row>
    <row r="1458" spans="1:10" x14ac:dyDescent="0.3">
      <c r="A1458" t="s">
        <v>37</v>
      </c>
      <c r="B1458" t="s">
        <v>38</v>
      </c>
      <c r="C1458" t="s">
        <v>23</v>
      </c>
      <c r="D1458" t="s">
        <v>238</v>
      </c>
      <c r="E1458" s="36">
        <v>45964</v>
      </c>
      <c r="F1458" t="s">
        <v>33</v>
      </c>
      <c r="G1458">
        <v>3</v>
      </c>
      <c r="H1458">
        <v>45000</v>
      </c>
      <c r="I1458">
        <v>123013</v>
      </c>
      <c r="J1458">
        <v>22142</v>
      </c>
    </row>
    <row r="1459" spans="1:10" x14ac:dyDescent="0.3">
      <c r="A1459" t="s">
        <v>18</v>
      </c>
      <c r="B1459" t="s">
        <v>38</v>
      </c>
      <c r="C1459" t="s">
        <v>23</v>
      </c>
      <c r="D1459" t="s">
        <v>90</v>
      </c>
      <c r="E1459" s="36">
        <v>45915</v>
      </c>
      <c r="F1459" t="s">
        <v>14</v>
      </c>
      <c r="G1459">
        <v>2</v>
      </c>
      <c r="H1459">
        <v>18500</v>
      </c>
      <c r="I1459">
        <v>37078</v>
      </c>
      <c r="J1459">
        <v>4449</v>
      </c>
    </row>
    <row r="1460" spans="1:10" x14ac:dyDescent="0.3">
      <c r="A1460" t="s">
        <v>10</v>
      </c>
      <c r="B1460" t="s">
        <v>38</v>
      </c>
      <c r="C1460" t="s">
        <v>23</v>
      </c>
      <c r="D1460" t="s">
        <v>48</v>
      </c>
      <c r="E1460" s="36">
        <v>45898</v>
      </c>
      <c r="F1460" t="s">
        <v>36</v>
      </c>
      <c r="G1460">
        <v>2</v>
      </c>
      <c r="H1460">
        <v>55000</v>
      </c>
      <c r="I1460">
        <v>103838</v>
      </c>
      <c r="J1460">
        <v>22844</v>
      </c>
    </row>
    <row r="1461" spans="1:10" x14ac:dyDescent="0.3">
      <c r="A1461" t="s">
        <v>10</v>
      </c>
      <c r="B1461" t="s">
        <v>38</v>
      </c>
      <c r="C1461" t="s">
        <v>23</v>
      </c>
      <c r="D1461" t="s">
        <v>178</v>
      </c>
      <c r="E1461" s="36">
        <v>45721</v>
      </c>
      <c r="F1461" t="s">
        <v>36</v>
      </c>
      <c r="G1461">
        <v>9</v>
      </c>
      <c r="H1461">
        <v>55000</v>
      </c>
      <c r="I1461">
        <v>515568</v>
      </c>
      <c r="J1461">
        <v>113425</v>
      </c>
    </row>
    <row r="1462" spans="1:10" x14ac:dyDescent="0.3">
      <c r="A1462" t="s">
        <v>10</v>
      </c>
      <c r="B1462" t="s">
        <v>38</v>
      </c>
      <c r="C1462" t="s">
        <v>23</v>
      </c>
      <c r="D1462" t="s">
        <v>83</v>
      </c>
      <c r="E1462" s="36">
        <v>45705</v>
      </c>
      <c r="F1462" t="s">
        <v>33</v>
      </c>
      <c r="G1462">
        <v>5</v>
      </c>
      <c r="H1462">
        <v>45000</v>
      </c>
      <c r="I1462">
        <v>211745</v>
      </c>
      <c r="J1462">
        <v>38114</v>
      </c>
    </row>
    <row r="1463" spans="1:10" x14ac:dyDescent="0.3">
      <c r="A1463" t="s">
        <v>37</v>
      </c>
      <c r="B1463" t="s">
        <v>38</v>
      </c>
      <c r="C1463" t="s">
        <v>23</v>
      </c>
      <c r="D1463" t="s">
        <v>66</v>
      </c>
      <c r="E1463" s="36">
        <v>45769</v>
      </c>
      <c r="F1463" t="s">
        <v>14</v>
      </c>
      <c r="G1463">
        <v>6</v>
      </c>
      <c r="H1463">
        <v>18500</v>
      </c>
      <c r="I1463">
        <v>113151</v>
      </c>
      <c r="J1463">
        <v>13578</v>
      </c>
    </row>
    <row r="1464" spans="1:10" x14ac:dyDescent="0.3">
      <c r="A1464" t="s">
        <v>18</v>
      </c>
      <c r="B1464" t="s">
        <v>38</v>
      </c>
      <c r="C1464" t="s">
        <v>23</v>
      </c>
      <c r="D1464" t="s">
        <v>92</v>
      </c>
      <c r="E1464" s="36">
        <v>45671</v>
      </c>
      <c r="F1464" t="s">
        <v>14</v>
      </c>
      <c r="G1464">
        <v>5</v>
      </c>
      <c r="H1464">
        <v>18500</v>
      </c>
      <c r="I1464">
        <v>92617</v>
      </c>
      <c r="J1464">
        <v>11114</v>
      </c>
    </row>
    <row r="1465" spans="1:10" x14ac:dyDescent="0.3">
      <c r="A1465" t="s">
        <v>18</v>
      </c>
      <c r="B1465" t="s">
        <v>38</v>
      </c>
      <c r="C1465" t="s">
        <v>23</v>
      </c>
      <c r="D1465" t="s">
        <v>150</v>
      </c>
      <c r="E1465" s="36">
        <v>45813</v>
      </c>
      <c r="F1465" t="s">
        <v>36</v>
      </c>
      <c r="G1465">
        <v>7</v>
      </c>
      <c r="H1465">
        <v>55000</v>
      </c>
      <c r="I1465">
        <v>412072</v>
      </c>
      <c r="J1465">
        <v>90656</v>
      </c>
    </row>
    <row r="1466" spans="1:10" x14ac:dyDescent="0.3">
      <c r="A1466" t="s">
        <v>18</v>
      </c>
      <c r="B1466" t="s">
        <v>38</v>
      </c>
      <c r="C1466" t="s">
        <v>23</v>
      </c>
      <c r="D1466" t="s">
        <v>210</v>
      </c>
      <c r="E1466" s="36">
        <v>45903</v>
      </c>
      <c r="F1466" t="s">
        <v>33</v>
      </c>
      <c r="G1466">
        <v>4</v>
      </c>
      <c r="H1466">
        <v>45000</v>
      </c>
      <c r="I1466">
        <v>195261</v>
      </c>
      <c r="J1466">
        <v>35147</v>
      </c>
    </row>
    <row r="1467" spans="1:10" x14ac:dyDescent="0.3">
      <c r="A1467" t="s">
        <v>15</v>
      </c>
      <c r="B1467" t="s">
        <v>38</v>
      </c>
      <c r="C1467" t="s">
        <v>23</v>
      </c>
      <c r="D1467" t="s">
        <v>139</v>
      </c>
      <c r="E1467" s="36">
        <v>45707</v>
      </c>
      <c r="F1467" t="s">
        <v>36</v>
      </c>
      <c r="G1467">
        <v>2</v>
      </c>
      <c r="H1467">
        <v>55000</v>
      </c>
      <c r="I1467">
        <v>112028</v>
      </c>
      <c r="J1467">
        <v>24646</v>
      </c>
    </row>
    <row r="1468" spans="1:10" x14ac:dyDescent="0.3">
      <c r="A1468" t="s">
        <v>41</v>
      </c>
      <c r="B1468" t="s">
        <v>38</v>
      </c>
      <c r="C1468" t="s">
        <v>23</v>
      </c>
      <c r="D1468" t="s">
        <v>172</v>
      </c>
      <c r="E1468" s="36">
        <v>45869</v>
      </c>
      <c r="F1468" t="s">
        <v>40</v>
      </c>
      <c r="G1468">
        <v>7</v>
      </c>
      <c r="H1468">
        <v>15000</v>
      </c>
      <c r="I1468">
        <v>111783</v>
      </c>
      <c r="J1468">
        <v>11178</v>
      </c>
    </row>
    <row r="1469" spans="1:10" x14ac:dyDescent="0.3">
      <c r="A1469" t="s">
        <v>15</v>
      </c>
      <c r="B1469" t="s">
        <v>38</v>
      </c>
      <c r="C1469" t="s">
        <v>23</v>
      </c>
      <c r="D1469" t="s">
        <v>203</v>
      </c>
      <c r="E1469" s="36">
        <v>45754</v>
      </c>
      <c r="F1469" t="s">
        <v>36</v>
      </c>
      <c r="G1469">
        <v>7</v>
      </c>
      <c r="H1469">
        <v>55000</v>
      </c>
      <c r="I1469">
        <v>422914</v>
      </c>
      <c r="J1469">
        <v>93041</v>
      </c>
    </row>
    <row r="1470" spans="1:10" x14ac:dyDescent="0.3">
      <c r="A1470" t="s">
        <v>18</v>
      </c>
      <c r="B1470" t="s">
        <v>38</v>
      </c>
      <c r="C1470" t="s">
        <v>23</v>
      </c>
      <c r="D1470" t="s">
        <v>73</v>
      </c>
      <c r="E1470" s="36">
        <v>45768</v>
      </c>
      <c r="F1470" t="s">
        <v>33</v>
      </c>
      <c r="G1470">
        <v>6</v>
      </c>
      <c r="H1470">
        <v>45000</v>
      </c>
      <c r="I1470">
        <v>291623</v>
      </c>
      <c r="J1470">
        <v>52492</v>
      </c>
    </row>
    <row r="1471" spans="1:10" x14ac:dyDescent="0.3">
      <c r="A1471" t="s">
        <v>18</v>
      </c>
      <c r="B1471" t="s">
        <v>38</v>
      </c>
      <c r="C1471" t="s">
        <v>23</v>
      </c>
      <c r="D1471" t="s">
        <v>135</v>
      </c>
      <c r="E1471" s="36">
        <v>45969</v>
      </c>
      <c r="F1471" t="s">
        <v>36</v>
      </c>
      <c r="G1471">
        <v>2</v>
      </c>
      <c r="H1471">
        <v>55000</v>
      </c>
      <c r="I1471">
        <v>117608</v>
      </c>
      <c r="J1471">
        <v>25874</v>
      </c>
    </row>
    <row r="1472" spans="1:10" x14ac:dyDescent="0.3">
      <c r="A1472" t="s">
        <v>15</v>
      </c>
      <c r="B1472" t="s">
        <v>38</v>
      </c>
      <c r="C1472" t="s">
        <v>23</v>
      </c>
      <c r="D1472" t="s">
        <v>173</v>
      </c>
      <c r="E1472" s="36">
        <v>45705</v>
      </c>
      <c r="F1472" t="s">
        <v>36</v>
      </c>
      <c r="G1472">
        <v>9</v>
      </c>
      <c r="H1472">
        <v>55000</v>
      </c>
      <c r="I1472">
        <v>457158</v>
      </c>
      <c r="J1472">
        <v>100575</v>
      </c>
    </row>
    <row r="1473" spans="1:10" x14ac:dyDescent="0.3">
      <c r="A1473" t="s">
        <v>41</v>
      </c>
      <c r="B1473" t="s">
        <v>38</v>
      </c>
      <c r="C1473" t="s">
        <v>23</v>
      </c>
      <c r="D1473" t="s">
        <v>241</v>
      </c>
      <c r="E1473" s="36">
        <v>46007</v>
      </c>
      <c r="F1473" t="s">
        <v>40</v>
      </c>
      <c r="G1473">
        <v>3</v>
      </c>
      <c r="H1473">
        <v>15000</v>
      </c>
      <c r="I1473">
        <v>45908</v>
      </c>
      <c r="J1473">
        <v>4591</v>
      </c>
    </row>
    <row r="1474" spans="1:10" x14ac:dyDescent="0.3">
      <c r="A1474" t="s">
        <v>41</v>
      </c>
      <c r="B1474" t="s">
        <v>38</v>
      </c>
      <c r="C1474" t="s">
        <v>23</v>
      </c>
      <c r="D1474" t="s">
        <v>184</v>
      </c>
      <c r="E1474" s="36">
        <v>45802</v>
      </c>
      <c r="F1474" t="s">
        <v>14</v>
      </c>
      <c r="G1474">
        <v>8</v>
      </c>
      <c r="H1474">
        <v>18500</v>
      </c>
      <c r="I1474">
        <v>140087</v>
      </c>
      <c r="J1474">
        <v>16810</v>
      </c>
    </row>
    <row r="1475" spans="1:10" x14ac:dyDescent="0.3">
      <c r="A1475" t="s">
        <v>18</v>
      </c>
      <c r="B1475" t="s">
        <v>38</v>
      </c>
      <c r="C1475" t="s">
        <v>23</v>
      </c>
      <c r="D1475" t="s">
        <v>165</v>
      </c>
      <c r="E1475" s="36">
        <v>45731</v>
      </c>
      <c r="F1475" t="s">
        <v>14</v>
      </c>
      <c r="G1475">
        <v>6</v>
      </c>
      <c r="H1475">
        <v>18500</v>
      </c>
      <c r="I1475">
        <v>111333</v>
      </c>
      <c r="J1475">
        <v>13360</v>
      </c>
    </row>
    <row r="1476" spans="1:10" x14ac:dyDescent="0.3">
      <c r="A1476" t="s">
        <v>10</v>
      </c>
      <c r="B1476" t="s">
        <v>38</v>
      </c>
      <c r="C1476" t="s">
        <v>23</v>
      </c>
      <c r="D1476" t="s">
        <v>79</v>
      </c>
      <c r="E1476" s="36">
        <v>45670</v>
      </c>
      <c r="F1476" t="s">
        <v>40</v>
      </c>
      <c r="G1476">
        <v>1</v>
      </c>
      <c r="H1476">
        <v>15000</v>
      </c>
      <c r="I1476">
        <v>14692</v>
      </c>
      <c r="J1476">
        <v>1469</v>
      </c>
    </row>
    <row r="1477" spans="1:10" x14ac:dyDescent="0.3">
      <c r="A1477" t="s">
        <v>10</v>
      </c>
      <c r="B1477" t="s">
        <v>38</v>
      </c>
      <c r="C1477" t="s">
        <v>23</v>
      </c>
      <c r="D1477" t="s">
        <v>204</v>
      </c>
      <c r="E1477" s="36">
        <v>45725</v>
      </c>
      <c r="F1477" t="s">
        <v>36</v>
      </c>
      <c r="G1477">
        <v>5</v>
      </c>
      <c r="H1477">
        <v>55000</v>
      </c>
      <c r="I1477">
        <v>301924</v>
      </c>
      <c r="J1477">
        <v>66423</v>
      </c>
    </row>
    <row r="1478" spans="1:10" x14ac:dyDescent="0.3">
      <c r="A1478" t="s">
        <v>15</v>
      </c>
      <c r="B1478" t="s">
        <v>38</v>
      </c>
      <c r="C1478" t="s">
        <v>23</v>
      </c>
      <c r="D1478" t="s">
        <v>108</v>
      </c>
      <c r="E1478" s="36">
        <v>46005</v>
      </c>
      <c r="F1478" t="s">
        <v>40</v>
      </c>
      <c r="G1478">
        <v>1</v>
      </c>
      <c r="H1478">
        <v>15000</v>
      </c>
      <c r="I1478">
        <v>13964</v>
      </c>
      <c r="J1478">
        <v>1396</v>
      </c>
    </row>
    <row r="1479" spans="1:10" x14ac:dyDescent="0.3">
      <c r="A1479" t="s">
        <v>15</v>
      </c>
      <c r="B1479" t="s">
        <v>38</v>
      </c>
      <c r="C1479" t="s">
        <v>23</v>
      </c>
      <c r="D1479" t="s">
        <v>156</v>
      </c>
      <c r="E1479" s="36">
        <v>45661</v>
      </c>
      <c r="F1479" t="s">
        <v>14</v>
      </c>
      <c r="G1479">
        <v>2</v>
      </c>
      <c r="H1479">
        <v>18500</v>
      </c>
      <c r="I1479">
        <v>34887</v>
      </c>
      <c r="J1479">
        <v>4186</v>
      </c>
    </row>
    <row r="1480" spans="1:10" x14ac:dyDescent="0.3">
      <c r="A1480" t="s">
        <v>18</v>
      </c>
      <c r="B1480" t="s">
        <v>38</v>
      </c>
      <c r="C1480" t="s">
        <v>23</v>
      </c>
      <c r="D1480" t="s">
        <v>208</v>
      </c>
      <c r="E1480" s="36">
        <v>45716</v>
      </c>
      <c r="F1480" t="s">
        <v>33</v>
      </c>
      <c r="G1480">
        <v>6</v>
      </c>
      <c r="H1480">
        <v>45000</v>
      </c>
      <c r="I1480">
        <v>257027</v>
      </c>
      <c r="J1480">
        <v>46265</v>
      </c>
    </row>
    <row r="1481" spans="1:10" x14ac:dyDescent="0.3">
      <c r="A1481" t="s">
        <v>15</v>
      </c>
      <c r="B1481" t="s">
        <v>38</v>
      </c>
      <c r="C1481" t="s">
        <v>23</v>
      </c>
      <c r="D1481" t="s">
        <v>43</v>
      </c>
      <c r="E1481" s="36">
        <v>45720</v>
      </c>
      <c r="F1481" t="s">
        <v>36</v>
      </c>
      <c r="G1481">
        <v>8</v>
      </c>
      <c r="H1481">
        <v>55000</v>
      </c>
      <c r="I1481">
        <v>456928</v>
      </c>
      <c r="J1481">
        <v>100524</v>
      </c>
    </row>
    <row r="1482" spans="1:10" x14ac:dyDescent="0.3">
      <c r="A1482" t="s">
        <v>10</v>
      </c>
      <c r="B1482" t="s">
        <v>38</v>
      </c>
      <c r="C1482" t="s">
        <v>23</v>
      </c>
      <c r="D1482" t="s">
        <v>232</v>
      </c>
      <c r="E1482" s="36">
        <v>45775</v>
      </c>
      <c r="F1482" t="s">
        <v>33</v>
      </c>
      <c r="G1482">
        <v>8</v>
      </c>
      <c r="H1482">
        <v>45000</v>
      </c>
      <c r="I1482">
        <v>331528</v>
      </c>
      <c r="J1482">
        <v>59675</v>
      </c>
    </row>
    <row r="1483" spans="1:10" x14ac:dyDescent="0.3">
      <c r="A1483" t="s">
        <v>15</v>
      </c>
      <c r="B1483" t="s">
        <v>38</v>
      </c>
      <c r="C1483" t="s">
        <v>23</v>
      </c>
      <c r="D1483" t="s">
        <v>80</v>
      </c>
      <c r="E1483" s="36">
        <v>45904</v>
      </c>
      <c r="F1483" t="s">
        <v>40</v>
      </c>
      <c r="G1483">
        <v>10</v>
      </c>
      <c r="H1483">
        <v>15000</v>
      </c>
      <c r="I1483">
        <v>141720</v>
      </c>
      <c r="J1483">
        <v>14172</v>
      </c>
    </row>
    <row r="1484" spans="1:10" x14ac:dyDescent="0.3">
      <c r="A1484" t="s">
        <v>37</v>
      </c>
      <c r="B1484" t="s">
        <v>38</v>
      </c>
      <c r="C1484" t="s">
        <v>23</v>
      </c>
      <c r="D1484" t="s">
        <v>258</v>
      </c>
      <c r="E1484" s="36">
        <v>45979</v>
      </c>
      <c r="F1484" t="s">
        <v>33</v>
      </c>
      <c r="G1484">
        <v>6</v>
      </c>
      <c r="H1484">
        <v>45000</v>
      </c>
      <c r="I1484">
        <v>264993</v>
      </c>
      <c r="J1484">
        <v>47699</v>
      </c>
    </row>
    <row r="1485" spans="1:10" x14ac:dyDescent="0.3">
      <c r="A1485" t="s">
        <v>10</v>
      </c>
      <c r="B1485" t="s">
        <v>38</v>
      </c>
      <c r="C1485" t="s">
        <v>23</v>
      </c>
      <c r="D1485" t="s">
        <v>119</v>
      </c>
      <c r="E1485" s="36">
        <v>45750</v>
      </c>
      <c r="F1485" t="s">
        <v>14</v>
      </c>
      <c r="G1485">
        <v>9</v>
      </c>
      <c r="H1485">
        <v>18500</v>
      </c>
      <c r="I1485">
        <v>154650</v>
      </c>
      <c r="J1485">
        <v>18558</v>
      </c>
    </row>
    <row r="1486" spans="1:10" x14ac:dyDescent="0.3">
      <c r="A1486" t="s">
        <v>37</v>
      </c>
      <c r="B1486" t="s">
        <v>38</v>
      </c>
      <c r="C1486" t="s">
        <v>23</v>
      </c>
      <c r="D1486" t="s">
        <v>196</v>
      </c>
      <c r="E1486" s="36">
        <v>45929</v>
      </c>
      <c r="F1486" t="s">
        <v>33</v>
      </c>
      <c r="G1486">
        <v>1</v>
      </c>
      <c r="H1486">
        <v>45000</v>
      </c>
      <c r="I1486">
        <v>47472</v>
      </c>
      <c r="J1486">
        <v>8545</v>
      </c>
    </row>
    <row r="1487" spans="1:10" x14ac:dyDescent="0.3">
      <c r="A1487" t="s">
        <v>10</v>
      </c>
      <c r="B1487" t="s">
        <v>38</v>
      </c>
      <c r="C1487" t="s">
        <v>23</v>
      </c>
      <c r="D1487" t="s">
        <v>182</v>
      </c>
      <c r="E1487" s="36">
        <v>45686</v>
      </c>
      <c r="F1487" t="s">
        <v>36</v>
      </c>
      <c r="G1487">
        <v>10</v>
      </c>
      <c r="H1487">
        <v>55000</v>
      </c>
      <c r="I1487">
        <v>594000</v>
      </c>
      <c r="J1487">
        <v>130680</v>
      </c>
    </row>
    <row r="1488" spans="1:10" x14ac:dyDescent="0.3">
      <c r="A1488" t="s">
        <v>15</v>
      </c>
      <c r="B1488" t="s">
        <v>38</v>
      </c>
      <c r="C1488" t="s">
        <v>23</v>
      </c>
      <c r="D1488" t="s">
        <v>90</v>
      </c>
      <c r="E1488" s="36">
        <v>45838</v>
      </c>
      <c r="F1488" t="s">
        <v>40</v>
      </c>
      <c r="G1488">
        <v>6</v>
      </c>
      <c r="H1488">
        <v>15000</v>
      </c>
      <c r="I1488">
        <v>97177</v>
      </c>
      <c r="J1488">
        <v>9718</v>
      </c>
    </row>
    <row r="1489" spans="1:10" x14ac:dyDescent="0.3">
      <c r="A1489" t="s">
        <v>18</v>
      </c>
      <c r="B1489" t="s">
        <v>38</v>
      </c>
      <c r="C1489" t="s">
        <v>23</v>
      </c>
      <c r="D1489" t="s">
        <v>183</v>
      </c>
      <c r="E1489" s="36">
        <v>45791</v>
      </c>
      <c r="F1489" t="s">
        <v>14</v>
      </c>
      <c r="G1489">
        <v>1</v>
      </c>
      <c r="H1489">
        <v>18500</v>
      </c>
      <c r="I1489">
        <v>17567</v>
      </c>
      <c r="J1489">
        <v>2108</v>
      </c>
    </row>
    <row r="1490" spans="1:10" x14ac:dyDescent="0.3">
      <c r="A1490" t="s">
        <v>37</v>
      </c>
      <c r="B1490" t="s">
        <v>38</v>
      </c>
      <c r="C1490" t="s">
        <v>23</v>
      </c>
      <c r="D1490" t="s">
        <v>61</v>
      </c>
      <c r="E1490" s="36">
        <v>45835</v>
      </c>
      <c r="F1490" t="s">
        <v>36</v>
      </c>
      <c r="G1490">
        <v>1</v>
      </c>
      <c r="H1490">
        <v>55000</v>
      </c>
      <c r="I1490">
        <v>50566</v>
      </c>
      <c r="J1490">
        <v>11125</v>
      </c>
    </row>
    <row r="1491" spans="1:10" x14ac:dyDescent="0.3">
      <c r="A1491" t="s">
        <v>15</v>
      </c>
      <c r="B1491" t="s">
        <v>38</v>
      </c>
      <c r="C1491" t="s">
        <v>23</v>
      </c>
      <c r="D1491" t="s">
        <v>63</v>
      </c>
      <c r="E1491" s="36">
        <v>45699</v>
      </c>
      <c r="F1491" t="s">
        <v>36</v>
      </c>
      <c r="G1491">
        <v>7</v>
      </c>
      <c r="H1491">
        <v>55000</v>
      </c>
      <c r="I1491">
        <v>373490</v>
      </c>
      <c r="J1491">
        <v>82168</v>
      </c>
    </row>
    <row r="1492" spans="1:10" x14ac:dyDescent="0.3">
      <c r="A1492" t="s">
        <v>41</v>
      </c>
      <c r="B1492" t="s">
        <v>38</v>
      </c>
      <c r="C1492" t="s">
        <v>23</v>
      </c>
      <c r="D1492" t="s">
        <v>223</v>
      </c>
      <c r="E1492" s="36">
        <v>45765</v>
      </c>
      <c r="F1492" t="s">
        <v>40</v>
      </c>
      <c r="G1492">
        <v>1</v>
      </c>
      <c r="H1492">
        <v>15000</v>
      </c>
      <c r="I1492">
        <v>15322</v>
      </c>
      <c r="J1492">
        <v>1532</v>
      </c>
    </row>
    <row r="1493" spans="1:10" x14ac:dyDescent="0.3">
      <c r="A1493" t="s">
        <v>18</v>
      </c>
      <c r="B1493" t="s">
        <v>38</v>
      </c>
      <c r="C1493" t="s">
        <v>23</v>
      </c>
      <c r="D1493" t="s">
        <v>171</v>
      </c>
      <c r="E1493" s="36">
        <v>45858</v>
      </c>
      <c r="F1493" t="s">
        <v>33</v>
      </c>
      <c r="G1493">
        <v>10</v>
      </c>
      <c r="H1493">
        <v>45000</v>
      </c>
      <c r="I1493">
        <v>462148</v>
      </c>
      <c r="J1493">
        <v>83187</v>
      </c>
    </row>
    <row r="1494" spans="1:10" x14ac:dyDescent="0.3">
      <c r="A1494" t="s">
        <v>37</v>
      </c>
      <c r="B1494" t="s">
        <v>38</v>
      </c>
      <c r="C1494" t="s">
        <v>23</v>
      </c>
      <c r="D1494" t="s">
        <v>226</v>
      </c>
      <c r="E1494" s="36">
        <v>45778</v>
      </c>
      <c r="F1494" t="s">
        <v>36</v>
      </c>
      <c r="G1494">
        <v>8</v>
      </c>
      <c r="H1494">
        <v>55000</v>
      </c>
      <c r="I1494">
        <v>450151</v>
      </c>
      <c r="J1494">
        <v>99033</v>
      </c>
    </row>
    <row r="1495" spans="1:10" x14ac:dyDescent="0.3">
      <c r="A1495" t="s">
        <v>10</v>
      </c>
      <c r="B1495" t="s">
        <v>38</v>
      </c>
      <c r="C1495" t="s">
        <v>23</v>
      </c>
      <c r="D1495" t="s">
        <v>111</v>
      </c>
      <c r="E1495" s="36">
        <v>45982</v>
      </c>
      <c r="F1495" t="s">
        <v>40</v>
      </c>
      <c r="G1495">
        <v>8</v>
      </c>
      <c r="H1495">
        <v>15000</v>
      </c>
      <c r="I1495">
        <v>123146</v>
      </c>
      <c r="J1495">
        <v>12315</v>
      </c>
    </row>
    <row r="1496" spans="1:10" x14ac:dyDescent="0.3">
      <c r="A1496" t="s">
        <v>37</v>
      </c>
      <c r="B1496" t="s">
        <v>38</v>
      </c>
      <c r="C1496" t="s">
        <v>23</v>
      </c>
      <c r="D1496" t="s">
        <v>235</v>
      </c>
      <c r="E1496" s="36">
        <v>45709</v>
      </c>
      <c r="F1496" t="s">
        <v>36</v>
      </c>
      <c r="G1496">
        <v>3</v>
      </c>
      <c r="H1496">
        <v>55000</v>
      </c>
      <c r="I1496">
        <v>172704</v>
      </c>
      <c r="J1496">
        <v>37995</v>
      </c>
    </row>
    <row r="1497" spans="1:10" x14ac:dyDescent="0.3">
      <c r="A1497" t="s">
        <v>37</v>
      </c>
      <c r="B1497" t="s">
        <v>38</v>
      </c>
      <c r="C1497" t="s">
        <v>23</v>
      </c>
      <c r="D1497" t="s">
        <v>120</v>
      </c>
      <c r="E1497" s="36">
        <v>45871</v>
      </c>
      <c r="F1497" t="s">
        <v>33</v>
      </c>
      <c r="G1497">
        <v>7</v>
      </c>
      <c r="H1497">
        <v>45000</v>
      </c>
      <c r="I1497">
        <v>284814</v>
      </c>
      <c r="J1497">
        <v>51267</v>
      </c>
    </row>
    <row r="1498" spans="1:10" x14ac:dyDescent="0.3">
      <c r="A1498" t="s">
        <v>10</v>
      </c>
      <c r="B1498" t="s">
        <v>38</v>
      </c>
      <c r="C1498" t="s">
        <v>23</v>
      </c>
      <c r="D1498" t="s">
        <v>161</v>
      </c>
      <c r="E1498" s="36">
        <v>45972</v>
      </c>
      <c r="F1498" t="s">
        <v>14</v>
      </c>
      <c r="G1498">
        <v>10</v>
      </c>
      <c r="H1498">
        <v>18500</v>
      </c>
      <c r="I1498">
        <v>191873</v>
      </c>
      <c r="J1498">
        <v>23025</v>
      </c>
    </row>
    <row r="1499" spans="1:10" x14ac:dyDescent="0.3">
      <c r="A1499" t="s">
        <v>37</v>
      </c>
      <c r="B1499" t="s">
        <v>38</v>
      </c>
      <c r="C1499" t="s">
        <v>23</v>
      </c>
      <c r="D1499" t="s">
        <v>121</v>
      </c>
      <c r="E1499" s="36">
        <v>45783</v>
      </c>
      <c r="F1499" t="s">
        <v>14</v>
      </c>
      <c r="G1499">
        <v>2</v>
      </c>
      <c r="H1499">
        <v>18500</v>
      </c>
      <c r="I1499">
        <v>33463</v>
      </c>
      <c r="J1499">
        <v>4016</v>
      </c>
    </row>
    <row r="1500" spans="1:10" x14ac:dyDescent="0.3">
      <c r="A1500" t="s">
        <v>37</v>
      </c>
      <c r="B1500" t="s">
        <v>38</v>
      </c>
      <c r="C1500" t="s">
        <v>23</v>
      </c>
      <c r="D1500" t="s">
        <v>177</v>
      </c>
      <c r="E1500" s="36">
        <v>45970</v>
      </c>
      <c r="F1500" t="s">
        <v>40</v>
      </c>
      <c r="G1500">
        <v>9</v>
      </c>
      <c r="H1500">
        <v>15000</v>
      </c>
      <c r="I1500">
        <v>135286</v>
      </c>
      <c r="J1500">
        <v>13529</v>
      </c>
    </row>
    <row r="1501" spans="1:10" x14ac:dyDescent="0.3">
      <c r="A1501" t="s">
        <v>37</v>
      </c>
      <c r="B1501" t="s">
        <v>38</v>
      </c>
      <c r="C1501" t="s">
        <v>23</v>
      </c>
      <c r="D1501" t="s">
        <v>236</v>
      </c>
      <c r="E1501" s="36">
        <v>45772</v>
      </c>
      <c r="F1501" t="s">
        <v>36</v>
      </c>
      <c r="G1501">
        <v>8</v>
      </c>
      <c r="H1501">
        <v>55000</v>
      </c>
      <c r="I1501">
        <v>458148</v>
      </c>
      <c r="J1501">
        <v>100793</v>
      </c>
    </row>
    <row r="1502" spans="1:10" x14ac:dyDescent="0.3">
      <c r="A1502" t="s">
        <v>10</v>
      </c>
      <c r="B1502" t="s">
        <v>38</v>
      </c>
      <c r="C1502" t="s">
        <v>23</v>
      </c>
      <c r="D1502" t="s">
        <v>67</v>
      </c>
      <c r="E1502" s="36">
        <v>45957</v>
      </c>
      <c r="F1502" t="s">
        <v>33</v>
      </c>
      <c r="G1502">
        <v>9</v>
      </c>
      <c r="H1502">
        <v>45000</v>
      </c>
      <c r="I1502">
        <v>372160</v>
      </c>
      <c r="J1502">
        <v>66989</v>
      </c>
    </row>
    <row r="1503" spans="1:10" x14ac:dyDescent="0.3">
      <c r="A1503" t="s">
        <v>41</v>
      </c>
      <c r="B1503" t="s">
        <v>38</v>
      </c>
      <c r="C1503" t="s">
        <v>23</v>
      </c>
      <c r="D1503" t="s">
        <v>248</v>
      </c>
      <c r="E1503" s="36">
        <v>45743</v>
      </c>
      <c r="F1503" t="s">
        <v>40</v>
      </c>
      <c r="G1503">
        <v>8</v>
      </c>
      <c r="H1503">
        <v>15000</v>
      </c>
      <c r="I1503">
        <v>111575</v>
      </c>
      <c r="J1503">
        <v>11158</v>
      </c>
    </row>
    <row r="1504" spans="1:10" x14ac:dyDescent="0.3">
      <c r="A1504" t="s">
        <v>10</v>
      </c>
      <c r="B1504" t="s">
        <v>22</v>
      </c>
      <c r="C1504" t="s">
        <v>23</v>
      </c>
      <c r="D1504" t="s">
        <v>35</v>
      </c>
      <c r="E1504" s="36">
        <v>46006</v>
      </c>
      <c r="F1504" t="s">
        <v>36</v>
      </c>
      <c r="G1504">
        <v>10</v>
      </c>
      <c r="H1504">
        <v>55000</v>
      </c>
      <c r="I1504">
        <v>534621</v>
      </c>
      <c r="J1504">
        <v>117617</v>
      </c>
    </row>
    <row r="1505" spans="1:10" x14ac:dyDescent="0.3">
      <c r="A1505" t="s">
        <v>10</v>
      </c>
      <c r="B1505" t="s">
        <v>22</v>
      </c>
      <c r="C1505" t="s">
        <v>23</v>
      </c>
      <c r="D1505" t="s">
        <v>48</v>
      </c>
      <c r="E1505" s="36">
        <v>45852</v>
      </c>
      <c r="F1505" t="s">
        <v>14</v>
      </c>
      <c r="G1505">
        <v>4</v>
      </c>
      <c r="H1505">
        <v>18500</v>
      </c>
      <c r="I1505">
        <v>71482</v>
      </c>
      <c r="J1505">
        <v>8578</v>
      </c>
    </row>
    <row r="1506" spans="1:10" x14ac:dyDescent="0.3">
      <c r="A1506" t="s">
        <v>41</v>
      </c>
      <c r="B1506" t="s">
        <v>22</v>
      </c>
      <c r="C1506" t="s">
        <v>23</v>
      </c>
      <c r="D1506" t="s">
        <v>53</v>
      </c>
      <c r="E1506" s="36">
        <v>45869</v>
      </c>
      <c r="F1506" t="s">
        <v>33</v>
      </c>
      <c r="G1506">
        <v>3</v>
      </c>
      <c r="H1506">
        <v>45000</v>
      </c>
      <c r="I1506">
        <v>129072</v>
      </c>
      <c r="J1506">
        <v>23233</v>
      </c>
    </row>
    <row r="1507" spans="1:10" x14ac:dyDescent="0.3">
      <c r="A1507" t="s">
        <v>10</v>
      </c>
      <c r="B1507" t="s">
        <v>22</v>
      </c>
      <c r="C1507" t="s">
        <v>23</v>
      </c>
      <c r="D1507" t="s">
        <v>101</v>
      </c>
      <c r="E1507" s="36">
        <v>45706</v>
      </c>
      <c r="F1507" t="s">
        <v>33</v>
      </c>
      <c r="G1507">
        <v>7</v>
      </c>
      <c r="H1507">
        <v>45000</v>
      </c>
      <c r="I1507">
        <v>326843</v>
      </c>
      <c r="J1507">
        <v>58832</v>
      </c>
    </row>
    <row r="1508" spans="1:10" x14ac:dyDescent="0.3">
      <c r="A1508" t="s">
        <v>41</v>
      </c>
      <c r="B1508" t="s">
        <v>22</v>
      </c>
      <c r="C1508" t="s">
        <v>23</v>
      </c>
      <c r="D1508" t="s">
        <v>119</v>
      </c>
      <c r="E1508" s="36">
        <v>45939</v>
      </c>
      <c r="F1508" t="s">
        <v>14</v>
      </c>
      <c r="G1508">
        <v>8</v>
      </c>
      <c r="H1508">
        <v>18500</v>
      </c>
      <c r="I1508">
        <v>151317</v>
      </c>
      <c r="J1508">
        <v>18158</v>
      </c>
    </row>
    <row r="1509" spans="1:10" x14ac:dyDescent="0.3">
      <c r="A1509" t="s">
        <v>15</v>
      </c>
      <c r="B1509" t="s">
        <v>22</v>
      </c>
      <c r="C1509" t="s">
        <v>23</v>
      </c>
      <c r="D1509" t="s">
        <v>123</v>
      </c>
      <c r="E1509" s="36">
        <v>45968</v>
      </c>
      <c r="F1509" t="s">
        <v>36</v>
      </c>
      <c r="G1509">
        <v>6</v>
      </c>
      <c r="H1509">
        <v>55000</v>
      </c>
      <c r="I1509">
        <v>329623</v>
      </c>
      <c r="J1509">
        <v>72517</v>
      </c>
    </row>
    <row r="1510" spans="1:10" x14ac:dyDescent="0.3">
      <c r="A1510" t="s">
        <v>10</v>
      </c>
      <c r="B1510" t="s">
        <v>22</v>
      </c>
      <c r="C1510" t="s">
        <v>23</v>
      </c>
      <c r="D1510" t="s">
        <v>129</v>
      </c>
      <c r="E1510" s="36">
        <v>46021</v>
      </c>
      <c r="F1510" t="s">
        <v>33</v>
      </c>
      <c r="G1510">
        <v>5</v>
      </c>
      <c r="H1510">
        <v>45000</v>
      </c>
      <c r="I1510">
        <v>245181</v>
      </c>
      <c r="J1510">
        <v>44133</v>
      </c>
    </row>
    <row r="1511" spans="1:10" x14ac:dyDescent="0.3">
      <c r="A1511" t="s">
        <v>37</v>
      </c>
      <c r="B1511" t="s">
        <v>22</v>
      </c>
      <c r="C1511" t="s">
        <v>23</v>
      </c>
      <c r="D1511" t="s">
        <v>144</v>
      </c>
      <c r="E1511" s="36">
        <v>45944</v>
      </c>
      <c r="F1511" t="s">
        <v>33</v>
      </c>
      <c r="G1511">
        <v>8</v>
      </c>
      <c r="H1511">
        <v>45000</v>
      </c>
      <c r="I1511">
        <v>333830</v>
      </c>
      <c r="J1511">
        <v>60089</v>
      </c>
    </row>
    <row r="1512" spans="1:10" x14ac:dyDescent="0.3">
      <c r="A1512" t="s">
        <v>10</v>
      </c>
      <c r="B1512" t="s">
        <v>22</v>
      </c>
      <c r="C1512" t="s">
        <v>23</v>
      </c>
      <c r="D1512" t="s">
        <v>50</v>
      </c>
      <c r="E1512" s="36">
        <v>45762</v>
      </c>
      <c r="F1512" t="s">
        <v>40</v>
      </c>
      <c r="G1512">
        <v>7</v>
      </c>
      <c r="H1512">
        <v>15000</v>
      </c>
      <c r="I1512">
        <v>114355</v>
      </c>
      <c r="J1512">
        <v>11436</v>
      </c>
    </row>
    <row r="1513" spans="1:10" x14ac:dyDescent="0.3">
      <c r="A1513" t="s">
        <v>41</v>
      </c>
      <c r="B1513" t="s">
        <v>22</v>
      </c>
      <c r="C1513" t="s">
        <v>23</v>
      </c>
      <c r="D1513" t="s">
        <v>149</v>
      </c>
      <c r="E1513" s="36">
        <v>45875</v>
      </c>
      <c r="F1513" t="s">
        <v>33</v>
      </c>
      <c r="G1513">
        <v>2</v>
      </c>
      <c r="H1513">
        <v>45000</v>
      </c>
      <c r="I1513">
        <v>82375</v>
      </c>
      <c r="J1513">
        <v>14828</v>
      </c>
    </row>
    <row r="1514" spans="1:10" x14ac:dyDescent="0.3">
      <c r="A1514" t="s">
        <v>18</v>
      </c>
      <c r="B1514" t="s">
        <v>22</v>
      </c>
      <c r="C1514" t="s">
        <v>23</v>
      </c>
      <c r="D1514" t="s">
        <v>162</v>
      </c>
      <c r="E1514" s="36">
        <v>45740</v>
      </c>
      <c r="F1514" t="s">
        <v>40</v>
      </c>
      <c r="G1514">
        <v>6</v>
      </c>
      <c r="H1514">
        <v>15000</v>
      </c>
      <c r="I1514">
        <v>84394</v>
      </c>
      <c r="J1514">
        <v>8439</v>
      </c>
    </row>
    <row r="1515" spans="1:10" x14ac:dyDescent="0.3">
      <c r="A1515" t="s">
        <v>37</v>
      </c>
      <c r="B1515" t="s">
        <v>22</v>
      </c>
      <c r="C1515" t="s">
        <v>23</v>
      </c>
      <c r="D1515" t="s">
        <v>89</v>
      </c>
      <c r="E1515" s="36">
        <v>45999</v>
      </c>
      <c r="F1515" t="s">
        <v>33</v>
      </c>
      <c r="G1515">
        <v>3</v>
      </c>
      <c r="H1515">
        <v>45000</v>
      </c>
      <c r="I1515">
        <v>136941</v>
      </c>
      <c r="J1515">
        <v>24649</v>
      </c>
    </row>
    <row r="1516" spans="1:10" x14ac:dyDescent="0.3">
      <c r="A1516" t="s">
        <v>18</v>
      </c>
      <c r="B1516" t="s">
        <v>22</v>
      </c>
      <c r="C1516" t="s">
        <v>23</v>
      </c>
      <c r="D1516" t="s">
        <v>100</v>
      </c>
      <c r="E1516" s="36">
        <v>45726</v>
      </c>
      <c r="F1516" t="s">
        <v>33</v>
      </c>
      <c r="G1516">
        <v>1</v>
      </c>
      <c r="H1516">
        <v>45000</v>
      </c>
      <c r="I1516">
        <v>45730</v>
      </c>
      <c r="J1516">
        <v>8231</v>
      </c>
    </row>
    <row r="1517" spans="1:10" x14ac:dyDescent="0.3">
      <c r="A1517" t="s">
        <v>10</v>
      </c>
      <c r="B1517" t="s">
        <v>22</v>
      </c>
      <c r="C1517" t="s">
        <v>23</v>
      </c>
      <c r="D1517" t="s">
        <v>158</v>
      </c>
      <c r="E1517" s="36">
        <v>45825</v>
      </c>
      <c r="F1517" t="s">
        <v>33</v>
      </c>
      <c r="G1517">
        <v>1</v>
      </c>
      <c r="H1517">
        <v>45000</v>
      </c>
      <c r="I1517">
        <v>43331</v>
      </c>
      <c r="J1517">
        <v>7800</v>
      </c>
    </row>
    <row r="1518" spans="1:10" x14ac:dyDescent="0.3">
      <c r="A1518" t="s">
        <v>37</v>
      </c>
      <c r="B1518" t="s">
        <v>22</v>
      </c>
      <c r="C1518" t="s">
        <v>23</v>
      </c>
      <c r="D1518" t="s">
        <v>159</v>
      </c>
      <c r="E1518" s="36">
        <v>45681</v>
      </c>
      <c r="F1518" t="s">
        <v>33</v>
      </c>
      <c r="G1518">
        <v>8</v>
      </c>
      <c r="H1518">
        <v>45000</v>
      </c>
      <c r="I1518">
        <v>350726</v>
      </c>
      <c r="J1518">
        <v>63131</v>
      </c>
    </row>
    <row r="1519" spans="1:10" x14ac:dyDescent="0.3">
      <c r="A1519" t="s">
        <v>37</v>
      </c>
      <c r="B1519" t="s">
        <v>22</v>
      </c>
      <c r="C1519" t="s">
        <v>23</v>
      </c>
      <c r="D1519" t="s">
        <v>124</v>
      </c>
      <c r="E1519" s="36">
        <v>45916</v>
      </c>
      <c r="F1519" t="s">
        <v>14</v>
      </c>
      <c r="G1519">
        <v>1</v>
      </c>
      <c r="H1519">
        <v>18500</v>
      </c>
      <c r="I1519">
        <v>19425</v>
      </c>
      <c r="J1519">
        <v>2331</v>
      </c>
    </row>
    <row r="1520" spans="1:10" x14ac:dyDescent="0.3">
      <c r="A1520" t="s">
        <v>15</v>
      </c>
      <c r="B1520" t="s">
        <v>22</v>
      </c>
      <c r="C1520" t="s">
        <v>23</v>
      </c>
      <c r="D1520" t="s">
        <v>157</v>
      </c>
      <c r="E1520" s="36">
        <v>45700</v>
      </c>
      <c r="F1520" t="s">
        <v>40</v>
      </c>
      <c r="G1520">
        <v>5</v>
      </c>
      <c r="H1520">
        <v>15000</v>
      </c>
      <c r="I1520">
        <v>76796</v>
      </c>
      <c r="J1520">
        <v>7680</v>
      </c>
    </row>
    <row r="1521" spans="1:10" x14ac:dyDescent="0.3">
      <c r="A1521" t="s">
        <v>18</v>
      </c>
      <c r="B1521" t="s">
        <v>22</v>
      </c>
      <c r="C1521" t="s">
        <v>23</v>
      </c>
      <c r="D1521" t="s">
        <v>152</v>
      </c>
      <c r="E1521" s="36">
        <v>45813</v>
      </c>
      <c r="F1521" t="s">
        <v>14</v>
      </c>
      <c r="G1521">
        <v>5</v>
      </c>
      <c r="H1521">
        <v>18500</v>
      </c>
      <c r="I1521">
        <v>87445</v>
      </c>
      <c r="J1521">
        <v>10493</v>
      </c>
    </row>
    <row r="1522" spans="1:10" x14ac:dyDescent="0.3">
      <c r="A1522" t="s">
        <v>15</v>
      </c>
      <c r="B1522" t="s">
        <v>22</v>
      </c>
      <c r="C1522" t="s">
        <v>23</v>
      </c>
      <c r="D1522" t="s">
        <v>156</v>
      </c>
      <c r="E1522" s="36">
        <v>45830</v>
      </c>
      <c r="F1522" t="s">
        <v>33</v>
      </c>
      <c r="G1522">
        <v>1</v>
      </c>
      <c r="H1522">
        <v>45000</v>
      </c>
      <c r="I1522">
        <v>41050</v>
      </c>
      <c r="J1522">
        <v>7389</v>
      </c>
    </row>
    <row r="1523" spans="1:10" x14ac:dyDescent="0.3">
      <c r="A1523" t="s">
        <v>37</v>
      </c>
      <c r="B1523" t="s">
        <v>22</v>
      </c>
      <c r="C1523" t="s">
        <v>23</v>
      </c>
      <c r="D1523" t="s">
        <v>216</v>
      </c>
      <c r="E1523" s="36">
        <v>45920</v>
      </c>
      <c r="F1523" t="s">
        <v>14</v>
      </c>
      <c r="G1523">
        <v>3</v>
      </c>
      <c r="H1523">
        <v>18500</v>
      </c>
      <c r="I1523">
        <v>57305</v>
      </c>
      <c r="J1523">
        <v>6877</v>
      </c>
    </row>
    <row r="1524" spans="1:10" x14ac:dyDescent="0.3">
      <c r="A1524" t="s">
        <v>37</v>
      </c>
      <c r="B1524" t="s">
        <v>22</v>
      </c>
      <c r="C1524" t="s">
        <v>23</v>
      </c>
      <c r="D1524" t="s">
        <v>170</v>
      </c>
      <c r="E1524" s="36">
        <v>46006</v>
      </c>
      <c r="F1524" t="s">
        <v>36</v>
      </c>
      <c r="G1524">
        <v>7</v>
      </c>
      <c r="H1524">
        <v>55000</v>
      </c>
      <c r="I1524">
        <v>414733</v>
      </c>
      <c r="J1524">
        <v>91241</v>
      </c>
    </row>
    <row r="1525" spans="1:10" x14ac:dyDescent="0.3">
      <c r="A1525" t="s">
        <v>15</v>
      </c>
      <c r="B1525" t="s">
        <v>22</v>
      </c>
      <c r="C1525" t="s">
        <v>23</v>
      </c>
      <c r="D1525" t="s">
        <v>106</v>
      </c>
      <c r="E1525" s="36">
        <v>45826</v>
      </c>
      <c r="F1525" t="s">
        <v>40</v>
      </c>
      <c r="G1525">
        <v>9</v>
      </c>
      <c r="H1525">
        <v>15000</v>
      </c>
      <c r="I1525">
        <v>122038</v>
      </c>
      <c r="J1525">
        <v>12204</v>
      </c>
    </row>
    <row r="1526" spans="1:10" x14ac:dyDescent="0.3">
      <c r="A1526" t="s">
        <v>18</v>
      </c>
      <c r="B1526" t="s">
        <v>22</v>
      </c>
      <c r="C1526" t="s">
        <v>23</v>
      </c>
      <c r="D1526" t="s">
        <v>155</v>
      </c>
      <c r="E1526" s="36">
        <v>45926</v>
      </c>
      <c r="F1526" t="s">
        <v>33</v>
      </c>
      <c r="G1526">
        <v>5</v>
      </c>
      <c r="H1526">
        <v>45000</v>
      </c>
      <c r="I1526">
        <v>244364</v>
      </c>
      <c r="J1526">
        <v>43986</v>
      </c>
    </row>
    <row r="1527" spans="1:10" x14ac:dyDescent="0.3">
      <c r="A1527" t="s">
        <v>37</v>
      </c>
      <c r="B1527" t="s">
        <v>22</v>
      </c>
      <c r="C1527" t="s">
        <v>23</v>
      </c>
      <c r="D1527" t="s">
        <v>97</v>
      </c>
      <c r="E1527" s="36">
        <v>45854</v>
      </c>
      <c r="F1527" t="s">
        <v>40</v>
      </c>
      <c r="G1527">
        <v>7</v>
      </c>
      <c r="H1527">
        <v>15000</v>
      </c>
      <c r="I1527">
        <v>114120</v>
      </c>
      <c r="J1527">
        <v>11412</v>
      </c>
    </row>
    <row r="1528" spans="1:10" x14ac:dyDescent="0.3">
      <c r="A1528" t="s">
        <v>18</v>
      </c>
      <c r="B1528" t="s">
        <v>22</v>
      </c>
      <c r="C1528" t="s">
        <v>23</v>
      </c>
      <c r="D1528" t="s">
        <v>162</v>
      </c>
      <c r="E1528" s="36">
        <v>45757</v>
      </c>
      <c r="F1528" t="s">
        <v>40</v>
      </c>
      <c r="G1528">
        <v>10</v>
      </c>
      <c r="H1528">
        <v>15000</v>
      </c>
      <c r="I1528">
        <v>153407</v>
      </c>
      <c r="J1528">
        <v>15341</v>
      </c>
    </row>
    <row r="1529" spans="1:10" x14ac:dyDescent="0.3">
      <c r="A1529" t="s">
        <v>18</v>
      </c>
      <c r="B1529" t="s">
        <v>22</v>
      </c>
      <c r="C1529" t="s">
        <v>23</v>
      </c>
      <c r="D1529" t="s">
        <v>170</v>
      </c>
      <c r="E1529" s="36">
        <v>45850</v>
      </c>
      <c r="F1529" t="s">
        <v>33</v>
      </c>
      <c r="G1529">
        <v>9</v>
      </c>
      <c r="H1529">
        <v>45000</v>
      </c>
      <c r="I1529">
        <v>392761</v>
      </c>
      <c r="J1529">
        <v>70697</v>
      </c>
    </row>
    <row r="1530" spans="1:10" x14ac:dyDescent="0.3">
      <c r="A1530" t="s">
        <v>10</v>
      </c>
      <c r="B1530" t="s">
        <v>22</v>
      </c>
      <c r="C1530" t="s">
        <v>23</v>
      </c>
      <c r="D1530" t="s">
        <v>208</v>
      </c>
      <c r="E1530" s="36">
        <v>45907</v>
      </c>
      <c r="F1530" t="s">
        <v>33</v>
      </c>
      <c r="G1530">
        <v>5</v>
      </c>
      <c r="H1530">
        <v>45000</v>
      </c>
      <c r="I1530">
        <v>211952</v>
      </c>
      <c r="J1530">
        <v>38151</v>
      </c>
    </row>
    <row r="1531" spans="1:10" x14ac:dyDescent="0.3">
      <c r="A1531" t="s">
        <v>41</v>
      </c>
      <c r="B1531" t="s">
        <v>22</v>
      </c>
      <c r="C1531" t="s">
        <v>23</v>
      </c>
      <c r="D1531" t="s">
        <v>187</v>
      </c>
      <c r="E1531" s="36">
        <v>45689</v>
      </c>
      <c r="F1531" t="s">
        <v>36</v>
      </c>
      <c r="G1531">
        <v>9</v>
      </c>
      <c r="H1531">
        <v>55000</v>
      </c>
      <c r="I1531">
        <v>488423</v>
      </c>
      <c r="J1531">
        <v>107453</v>
      </c>
    </row>
    <row r="1532" spans="1:10" x14ac:dyDescent="0.3">
      <c r="A1532" t="s">
        <v>37</v>
      </c>
      <c r="B1532" t="s">
        <v>22</v>
      </c>
      <c r="C1532" t="s">
        <v>23</v>
      </c>
      <c r="D1532" t="s">
        <v>117</v>
      </c>
      <c r="E1532" s="36">
        <v>45829</v>
      </c>
      <c r="F1532" t="s">
        <v>14</v>
      </c>
      <c r="G1532">
        <v>4</v>
      </c>
      <c r="H1532">
        <v>18500</v>
      </c>
      <c r="I1532">
        <v>67596</v>
      </c>
      <c r="J1532">
        <v>8112</v>
      </c>
    </row>
    <row r="1533" spans="1:10" x14ac:dyDescent="0.3">
      <c r="A1533" t="s">
        <v>18</v>
      </c>
      <c r="B1533" t="s">
        <v>22</v>
      </c>
      <c r="C1533" t="s">
        <v>23</v>
      </c>
      <c r="D1533" t="s">
        <v>157</v>
      </c>
      <c r="E1533" s="36">
        <v>45966</v>
      </c>
      <c r="F1533" t="s">
        <v>33</v>
      </c>
      <c r="G1533">
        <v>4</v>
      </c>
      <c r="H1533">
        <v>45000</v>
      </c>
      <c r="I1533">
        <v>184519</v>
      </c>
      <c r="J1533">
        <v>33213</v>
      </c>
    </row>
    <row r="1534" spans="1:10" x14ac:dyDescent="0.3">
      <c r="A1534" t="s">
        <v>15</v>
      </c>
      <c r="B1534" t="s">
        <v>22</v>
      </c>
      <c r="C1534" t="s">
        <v>23</v>
      </c>
      <c r="D1534" t="s">
        <v>111</v>
      </c>
      <c r="E1534" s="36">
        <v>45710</v>
      </c>
      <c r="F1534" t="s">
        <v>40</v>
      </c>
      <c r="G1534">
        <v>6</v>
      </c>
      <c r="H1534">
        <v>15000</v>
      </c>
      <c r="I1534">
        <v>98159</v>
      </c>
      <c r="J1534">
        <v>9816</v>
      </c>
    </row>
    <row r="1535" spans="1:10" x14ac:dyDescent="0.3">
      <c r="A1535" t="s">
        <v>15</v>
      </c>
      <c r="B1535" t="s">
        <v>22</v>
      </c>
      <c r="C1535" t="s">
        <v>23</v>
      </c>
      <c r="D1535" t="s">
        <v>71</v>
      </c>
      <c r="E1535" s="36">
        <v>46002</v>
      </c>
      <c r="F1535" t="s">
        <v>14</v>
      </c>
      <c r="G1535">
        <v>9</v>
      </c>
      <c r="H1535">
        <v>18500</v>
      </c>
      <c r="I1535">
        <v>182603</v>
      </c>
      <c r="J1535">
        <v>21912</v>
      </c>
    </row>
    <row r="1536" spans="1:10" x14ac:dyDescent="0.3">
      <c r="A1536" t="s">
        <v>15</v>
      </c>
      <c r="B1536" t="s">
        <v>22</v>
      </c>
      <c r="C1536" t="s">
        <v>23</v>
      </c>
      <c r="D1536" t="s">
        <v>183</v>
      </c>
      <c r="E1536" s="36">
        <v>45936</v>
      </c>
      <c r="F1536" t="s">
        <v>36</v>
      </c>
      <c r="G1536">
        <v>2</v>
      </c>
      <c r="H1536">
        <v>55000</v>
      </c>
      <c r="I1536">
        <v>112022</v>
      </c>
      <c r="J1536">
        <v>24645</v>
      </c>
    </row>
    <row r="1537" spans="1:10" x14ac:dyDescent="0.3">
      <c r="A1537" t="s">
        <v>41</v>
      </c>
      <c r="B1537" t="s">
        <v>22</v>
      </c>
      <c r="C1537" t="s">
        <v>23</v>
      </c>
      <c r="D1537" t="s">
        <v>175</v>
      </c>
      <c r="E1537" s="36">
        <v>45965</v>
      </c>
      <c r="F1537" t="s">
        <v>33</v>
      </c>
      <c r="G1537">
        <v>3</v>
      </c>
      <c r="H1537">
        <v>45000</v>
      </c>
      <c r="I1537">
        <v>139616</v>
      </c>
      <c r="J1537">
        <v>25131</v>
      </c>
    </row>
    <row r="1538" spans="1:10" x14ac:dyDescent="0.3">
      <c r="A1538" t="s">
        <v>10</v>
      </c>
      <c r="B1538" t="s">
        <v>22</v>
      </c>
      <c r="C1538" t="s">
        <v>23</v>
      </c>
      <c r="D1538" t="s">
        <v>204</v>
      </c>
      <c r="E1538" s="36">
        <v>45822</v>
      </c>
      <c r="F1538" t="s">
        <v>14</v>
      </c>
      <c r="G1538">
        <v>9</v>
      </c>
      <c r="H1538">
        <v>18500</v>
      </c>
      <c r="I1538">
        <v>181602</v>
      </c>
      <c r="J1538">
        <v>21792</v>
      </c>
    </row>
    <row r="1539" spans="1:10" x14ac:dyDescent="0.3">
      <c r="A1539" t="s">
        <v>18</v>
      </c>
      <c r="B1539" t="s">
        <v>22</v>
      </c>
      <c r="C1539" t="s">
        <v>23</v>
      </c>
      <c r="D1539" t="s">
        <v>245</v>
      </c>
      <c r="E1539" s="36">
        <v>45882</v>
      </c>
      <c r="F1539" t="s">
        <v>33</v>
      </c>
      <c r="G1539">
        <v>8</v>
      </c>
      <c r="H1539">
        <v>45000</v>
      </c>
      <c r="I1539">
        <v>354781</v>
      </c>
      <c r="J1539">
        <v>63861</v>
      </c>
    </row>
    <row r="1540" spans="1:10" x14ac:dyDescent="0.3">
      <c r="A1540" t="s">
        <v>10</v>
      </c>
      <c r="B1540" t="s">
        <v>22</v>
      </c>
      <c r="C1540" t="s">
        <v>23</v>
      </c>
      <c r="D1540" t="s">
        <v>109</v>
      </c>
      <c r="E1540" s="36">
        <v>45980</v>
      </c>
      <c r="F1540" t="s">
        <v>40</v>
      </c>
      <c r="G1540">
        <v>7</v>
      </c>
      <c r="H1540">
        <v>15000</v>
      </c>
      <c r="I1540">
        <v>99129</v>
      </c>
      <c r="J1540">
        <v>9913</v>
      </c>
    </row>
    <row r="1541" spans="1:10" x14ac:dyDescent="0.3">
      <c r="A1541" t="s">
        <v>18</v>
      </c>
      <c r="B1541" t="s">
        <v>22</v>
      </c>
      <c r="C1541" t="s">
        <v>23</v>
      </c>
      <c r="D1541" t="s">
        <v>223</v>
      </c>
      <c r="E1541" s="36">
        <v>45801</v>
      </c>
      <c r="F1541" t="s">
        <v>36</v>
      </c>
      <c r="G1541">
        <v>4</v>
      </c>
      <c r="H1541">
        <v>55000</v>
      </c>
      <c r="I1541">
        <v>201344</v>
      </c>
      <c r="J1541">
        <v>44296</v>
      </c>
    </row>
    <row r="1542" spans="1:10" x14ac:dyDescent="0.3">
      <c r="A1542" t="s">
        <v>15</v>
      </c>
      <c r="B1542" t="s">
        <v>22</v>
      </c>
      <c r="C1542" t="s">
        <v>23</v>
      </c>
      <c r="D1542" t="s">
        <v>238</v>
      </c>
      <c r="E1542" s="36">
        <v>45949</v>
      </c>
      <c r="F1542" t="s">
        <v>14</v>
      </c>
      <c r="G1542">
        <v>6</v>
      </c>
      <c r="H1542">
        <v>18500</v>
      </c>
      <c r="I1542">
        <v>112514</v>
      </c>
      <c r="J1542">
        <v>13502</v>
      </c>
    </row>
    <row r="1543" spans="1:10" x14ac:dyDescent="0.3">
      <c r="A1543" t="s">
        <v>37</v>
      </c>
      <c r="B1543" t="s">
        <v>22</v>
      </c>
      <c r="C1543" t="s">
        <v>23</v>
      </c>
      <c r="D1543" t="s">
        <v>124</v>
      </c>
      <c r="E1543" s="36">
        <v>45980</v>
      </c>
      <c r="F1543" t="s">
        <v>40</v>
      </c>
      <c r="G1543">
        <v>6</v>
      </c>
      <c r="H1543">
        <v>15000</v>
      </c>
      <c r="I1543">
        <v>85632</v>
      </c>
      <c r="J1543">
        <v>8563</v>
      </c>
    </row>
    <row r="1544" spans="1:10" x14ac:dyDescent="0.3">
      <c r="A1544" t="s">
        <v>41</v>
      </c>
      <c r="B1544" t="s">
        <v>22</v>
      </c>
      <c r="C1544" t="s">
        <v>23</v>
      </c>
      <c r="D1544" t="s">
        <v>98</v>
      </c>
      <c r="E1544" s="36">
        <v>45876</v>
      </c>
      <c r="F1544" t="s">
        <v>40</v>
      </c>
      <c r="G1544">
        <v>7</v>
      </c>
      <c r="H1544">
        <v>15000</v>
      </c>
      <c r="I1544">
        <v>110168</v>
      </c>
      <c r="J1544">
        <v>11017</v>
      </c>
    </row>
    <row r="1545" spans="1:10" x14ac:dyDescent="0.3">
      <c r="A1545" t="s">
        <v>10</v>
      </c>
      <c r="B1545" t="s">
        <v>22</v>
      </c>
      <c r="C1545" t="s">
        <v>23</v>
      </c>
      <c r="D1545" t="s">
        <v>221</v>
      </c>
      <c r="E1545" s="36">
        <v>45994</v>
      </c>
      <c r="F1545" t="s">
        <v>14</v>
      </c>
      <c r="G1545">
        <v>6</v>
      </c>
      <c r="H1545">
        <v>18500</v>
      </c>
      <c r="I1545">
        <v>105199</v>
      </c>
      <c r="J1545">
        <v>12624</v>
      </c>
    </row>
    <row r="1546" spans="1:10" x14ac:dyDescent="0.3">
      <c r="A1546" t="s">
        <v>18</v>
      </c>
      <c r="B1546" t="s">
        <v>22</v>
      </c>
      <c r="C1546" t="s">
        <v>23</v>
      </c>
      <c r="D1546" t="s">
        <v>87</v>
      </c>
      <c r="E1546" s="36">
        <v>45768</v>
      </c>
      <c r="F1546" t="s">
        <v>14</v>
      </c>
      <c r="G1546">
        <v>9</v>
      </c>
      <c r="H1546">
        <v>18500</v>
      </c>
      <c r="I1546">
        <v>155391</v>
      </c>
      <c r="J1546">
        <v>18647</v>
      </c>
    </row>
    <row r="1547" spans="1:10" x14ac:dyDescent="0.3">
      <c r="A1547" t="s">
        <v>15</v>
      </c>
      <c r="B1547" t="s">
        <v>22</v>
      </c>
      <c r="C1547" t="s">
        <v>23</v>
      </c>
      <c r="D1547" t="s">
        <v>107</v>
      </c>
      <c r="E1547" s="36">
        <v>45769</v>
      </c>
      <c r="F1547" t="s">
        <v>14</v>
      </c>
      <c r="G1547">
        <v>1</v>
      </c>
      <c r="H1547">
        <v>18500</v>
      </c>
      <c r="I1547">
        <v>18117</v>
      </c>
      <c r="J1547">
        <v>2174</v>
      </c>
    </row>
    <row r="1548" spans="1:10" x14ac:dyDescent="0.3">
      <c r="A1548" t="s">
        <v>15</v>
      </c>
      <c r="B1548" t="s">
        <v>22</v>
      </c>
      <c r="C1548" t="s">
        <v>23</v>
      </c>
      <c r="D1548" t="s">
        <v>240</v>
      </c>
      <c r="E1548" s="36">
        <v>45762</v>
      </c>
      <c r="F1548" t="s">
        <v>14</v>
      </c>
      <c r="G1548">
        <v>8</v>
      </c>
      <c r="H1548">
        <v>18500</v>
      </c>
      <c r="I1548">
        <v>140832</v>
      </c>
      <c r="J1548">
        <v>16900</v>
      </c>
    </row>
    <row r="1549" spans="1:10" x14ac:dyDescent="0.3">
      <c r="A1549" t="s">
        <v>10</v>
      </c>
      <c r="B1549" t="s">
        <v>22</v>
      </c>
      <c r="C1549" t="s">
        <v>23</v>
      </c>
      <c r="D1549" t="s">
        <v>200</v>
      </c>
      <c r="E1549" s="36">
        <v>45804</v>
      </c>
      <c r="F1549" t="s">
        <v>36</v>
      </c>
      <c r="G1549">
        <v>6</v>
      </c>
      <c r="H1549">
        <v>55000</v>
      </c>
      <c r="I1549">
        <v>299668</v>
      </c>
      <c r="J1549">
        <v>65927</v>
      </c>
    </row>
    <row r="1550" spans="1:10" x14ac:dyDescent="0.3">
      <c r="A1550" t="s">
        <v>41</v>
      </c>
      <c r="B1550" t="s">
        <v>22</v>
      </c>
      <c r="C1550" t="s">
        <v>23</v>
      </c>
      <c r="D1550" t="s">
        <v>153</v>
      </c>
      <c r="E1550" s="36">
        <v>45906</v>
      </c>
      <c r="F1550" t="s">
        <v>14</v>
      </c>
      <c r="G1550">
        <v>1</v>
      </c>
      <c r="H1550">
        <v>18500</v>
      </c>
      <c r="I1550">
        <v>18759</v>
      </c>
      <c r="J1550">
        <v>2251</v>
      </c>
    </row>
    <row r="1551" spans="1:10" x14ac:dyDescent="0.3">
      <c r="A1551" t="s">
        <v>18</v>
      </c>
      <c r="B1551" t="s">
        <v>22</v>
      </c>
      <c r="C1551" t="s">
        <v>23</v>
      </c>
      <c r="D1551" t="s">
        <v>53</v>
      </c>
      <c r="E1551" s="36">
        <v>45926</v>
      </c>
      <c r="F1551" t="s">
        <v>14</v>
      </c>
      <c r="G1551">
        <v>8</v>
      </c>
      <c r="H1551">
        <v>18500</v>
      </c>
      <c r="I1551">
        <v>146897</v>
      </c>
      <c r="J1551">
        <v>17628</v>
      </c>
    </row>
    <row r="1552" spans="1:10" x14ac:dyDescent="0.3">
      <c r="A1552" t="s">
        <v>18</v>
      </c>
      <c r="B1552" t="s">
        <v>22</v>
      </c>
      <c r="C1552" t="s">
        <v>23</v>
      </c>
      <c r="D1552" t="s">
        <v>224</v>
      </c>
      <c r="E1552" s="36">
        <v>45921</v>
      </c>
      <c r="F1552" t="s">
        <v>14</v>
      </c>
      <c r="G1552">
        <v>8</v>
      </c>
      <c r="H1552">
        <v>18500</v>
      </c>
      <c r="I1552">
        <v>149247</v>
      </c>
      <c r="J1552">
        <v>17910</v>
      </c>
    </row>
    <row r="1553" spans="1:10" x14ac:dyDescent="0.3">
      <c r="A1553" t="s">
        <v>41</v>
      </c>
      <c r="B1553" t="s">
        <v>22</v>
      </c>
      <c r="C1553" t="s">
        <v>23</v>
      </c>
      <c r="D1553" t="s">
        <v>228</v>
      </c>
      <c r="E1553" s="36">
        <v>45777</v>
      </c>
      <c r="F1553" t="s">
        <v>40</v>
      </c>
      <c r="G1553">
        <v>5</v>
      </c>
      <c r="H1553">
        <v>15000</v>
      </c>
      <c r="I1553">
        <v>69441</v>
      </c>
      <c r="J1553">
        <v>6944</v>
      </c>
    </row>
    <row r="1554" spans="1:10" x14ac:dyDescent="0.3">
      <c r="A1554" t="s">
        <v>18</v>
      </c>
      <c r="B1554" t="s">
        <v>22</v>
      </c>
      <c r="C1554" t="s">
        <v>23</v>
      </c>
      <c r="D1554" t="s">
        <v>144</v>
      </c>
      <c r="E1554" s="36">
        <v>45996</v>
      </c>
      <c r="F1554" t="s">
        <v>14</v>
      </c>
      <c r="G1554">
        <v>8</v>
      </c>
      <c r="H1554">
        <v>18500</v>
      </c>
      <c r="I1554">
        <v>160444</v>
      </c>
      <c r="J1554">
        <v>19253</v>
      </c>
    </row>
    <row r="1555" spans="1:10" x14ac:dyDescent="0.3">
      <c r="A1555" t="s">
        <v>10</v>
      </c>
      <c r="B1555" t="s">
        <v>22</v>
      </c>
      <c r="C1555" t="s">
        <v>23</v>
      </c>
      <c r="D1555" t="s">
        <v>66</v>
      </c>
      <c r="E1555" s="36">
        <v>45839</v>
      </c>
      <c r="F1555" t="s">
        <v>40</v>
      </c>
      <c r="G1555">
        <v>7</v>
      </c>
      <c r="H1555">
        <v>15000</v>
      </c>
      <c r="I1555">
        <v>98580</v>
      </c>
      <c r="J1555">
        <v>9858</v>
      </c>
    </row>
    <row r="1556" spans="1:10" x14ac:dyDescent="0.3">
      <c r="A1556" t="s">
        <v>10</v>
      </c>
      <c r="B1556" t="s">
        <v>22</v>
      </c>
      <c r="C1556" t="s">
        <v>23</v>
      </c>
      <c r="D1556" t="s">
        <v>190</v>
      </c>
      <c r="E1556" s="36">
        <v>45806</v>
      </c>
      <c r="F1556" t="s">
        <v>36</v>
      </c>
      <c r="G1556">
        <v>10</v>
      </c>
      <c r="H1556">
        <v>55000</v>
      </c>
      <c r="I1556">
        <v>508731</v>
      </c>
      <c r="J1556">
        <v>111921</v>
      </c>
    </row>
    <row r="1557" spans="1:10" x14ac:dyDescent="0.3">
      <c r="A1557" t="s">
        <v>15</v>
      </c>
      <c r="B1557" t="s">
        <v>22</v>
      </c>
      <c r="C1557" t="s">
        <v>23</v>
      </c>
      <c r="D1557" t="s">
        <v>200</v>
      </c>
      <c r="E1557" s="36">
        <v>45984</v>
      </c>
      <c r="F1557" t="s">
        <v>36</v>
      </c>
      <c r="G1557">
        <v>9</v>
      </c>
      <c r="H1557">
        <v>55000</v>
      </c>
      <c r="I1557">
        <v>507273</v>
      </c>
      <c r="J1557">
        <v>111600</v>
      </c>
    </row>
    <row r="1558" spans="1:10" x14ac:dyDescent="0.3">
      <c r="A1558" t="s">
        <v>15</v>
      </c>
      <c r="B1558" t="s">
        <v>22</v>
      </c>
      <c r="C1558" t="s">
        <v>23</v>
      </c>
      <c r="D1558" t="s">
        <v>128</v>
      </c>
      <c r="E1558" s="36">
        <v>45887</v>
      </c>
      <c r="F1558" t="s">
        <v>36</v>
      </c>
      <c r="G1558">
        <v>9</v>
      </c>
      <c r="H1558">
        <v>55000</v>
      </c>
      <c r="I1558">
        <v>508919</v>
      </c>
      <c r="J1558">
        <v>111962</v>
      </c>
    </row>
    <row r="1559" spans="1:10" x14ac:dyDescent="0.3">
      <c r="A1559" t="s">
        <v>10</v>
      </c>
      <c r="B1559" t="s">
        <v>22</v>
      </c>
      <c r="C1559" t="s">
        <v>23</v>
      </c>
      <c r="D1559" t="s">
        <v>138</v>
      </c>
      <c r="E1559" s="36">
        <v>45742</v>
      </c>
      <c r="F1559" t="s">
        <v>36</v>
      </c>
      <c r="G1559">
        <v>2</v>
      </c>
      <c r="H1559">
        <v>55000</v>
      </c>
      <c r="I1559">
        <v>116704</v>
      </c>
      <c r="J1559">
        <v>25675</v>
      </c>
    </row>
    <row r="1560" spans="1:10" x14ac:dyDescent="0.3">
      <c r="A1560" t="s">
        <v>18</v>
      </c>
      <c r="B1560" t="s">
        <v>22</v>
      </c>
      <c r="C1560" t="s">
        <v>23</v>
      </c>
      <c r="D1560" t="s">
        <v>218</v>
      </c>
      <c r="E1560" s="36">
        <v>45992</v>
      </c>
      <c r="F1560" t="s">
        <v>33</v>
      </c>
      <c r="G1560">
        <v>8</v>
      </c>
      <c r="H1560">
        <v>45000</v>
      </c>
      <c r="I1560">
        <v>331452</v>
      </c>
      <c r="J1560">
        <v>59661</v>
      </c>
    </row>
    <row r="1561" spans="1:10" x14ac:dyDescent="0.3">
      <c r="A1561" t="s">
        <v>18</v>
      </c>
      <c r="B1561" t="s">
        <v>22</v>
      </c>
      <c r="C1561" t="s">
        <v>23</v>
      </c>
      <c r="D1561" t="s">
        <v>120</v>
      </c>
      <c r="E1561" s="36">
        <v>45676</v>
      </c>
      <c r="F1561" t="s">
        <v>36</v>
      </c>
      <c r="G1561">
        <v>6</v>
      </c>
      <c r="H1561">
        <v>55000</v>
      </c>
      <c r="I1561">
        <v>346361</v>
      </c>
      <c r="J1561">
        <v>76199</v>
      </c>
    </row>
    <row r="1562" spans="1:10" x14ac:dyDescent="0.3">
      <c r="A1562" t="s">
        <v>18</v>
      </c>
      <c r="B1562" t="s">
        <v>22</v>
      </c>
      <c r="C1562" t="s">
        <v>23</v>
      </c>
      <c r="D1562" t="s">
        <v>71</v>
      </c>
      <c r="E1562" s="36">
        <v>45969</v>
      </c>
      <c r="F1562" t="s">
        <v>33</v>
      </c>
      <c r="G1562">
        <v>2</v>
      </c>
      <c r="H1562">
        <v>45000</v>
      </c>
      <c r="I1562">
        <v>94329</v>
      </c>
      <c r="J1562">
        <v>16979</v>
      </c>
    </row>
    <row r="1563" spans="1:10" x14ac:dyDescent="0.3">
      <c r="A1563" t="s">
        <v>10</v>
      </c>
      <c r="B1563" t="s">
        <v>22</v>
      </c>
      <c r="C1563" t="s">
        <v>23</v>
      </c>
      <c r="D1563" t="s">
        <v>103</v>
      </c>
      <c r="E1563" s="36">
        <v>45867</v>
      </c>
      <c r="F1563" t="s">
        <v>36</v>
      </c>
      <c r="G1563">
        <v>7</v>
      </c>
      <c r="H1563">
        <v>55000</v>
      </c>
      <c r="I1563">
        <v>377989</v>
      </c>
      <c r="J1563">
        <v>83158</v>
      </c>
    </row>
    <row r="1564" spans="1:10" x14ac:dyDescent="0.3">
      <c r="A1564" t="s">
        <v>18</v>
      </c>
      <c r="B1564" t="s">
        <v>22</v>
      </c>
      <c r="C1564" t="s">
        <v>23</v>
      </c>
      <c r="D1564" t="s">
        <v>204</v>
      </c>
      <c r="E1564" s="36">
        <v>45721</v>
      </c>
      <c r="F1564" t="s">
        <v>36</v>
      </c>
      <c r="G1564">
        <v>2</v>
      </c>
      <c r="H1564">
        <v>55000</v>
      </c>
      <c r="I1564">
        <v>119941</v>
      </c>
      <c r="J1564">
        <v>26387</v>
      </c>
    </row>
    <row r="1565" spans="1:10" x14ac:dyDescent="0.3">
      <c r="A1565" t="s">
        <v>41</v>
      </c>
      <c r="B1565" t="s">
        <v>22</v>
      </c>
      <c r="C1565" t="s">
        <v>23</v>
      </c>
      <c r="D1565" t="s">
        <v>230</v>
      </c>
      <c r="E1565" s="36">
        <v>45875</v>
      </c>
      <c r="F1565" t="s">
        <v>40</v>
      </c>
      <c r="G1565">
        <v>7</v>
      </c>
      <c r="H1565">
        <v>15000</v>
      </c>
      <c r="I1565">
        <v>105818</v>
      </c>
      <c r="J1565">
        <v>10582</v>
      </c>
    </row>
    <row r="1566" spans="1:10" x14ac:dyDescent="0.3">
      <c r="A1566" t="s">
        <v>10</v>
      </c>
      <c r="B1566" t="s">
        <v>22</v>
      </c>
      <c r="C1566" t="s">
        <v>23</v>
      </c>
      <c r="D1566" t="s">
        <v>199</v>
      </c>
      <c r="E1566" s="36">
        <v>45872</v>
      </c>
      <c r="F1566" t="s">
        <v>40</v>
      </c>
      <c r="G1566">
        <v>8</v>
      </c>
      <c r="H1566">
        <v>15000</v>
      </c>
      <c r="I1566">
        <v>124917</v>
      </c>
      <c r="J1566">
        <v>12492</v>
      </c>
    </row>
    <row r="1567" spans="1:10" x14ac:dyDescent="0.3">
      <c r="A1567" t="s">
        <v>15</v>
      </c>
      <c r="B1567" t="s">
        <v>22</v>
      </c>
      <c r="C1567" t="s">
        <v>23</v>
      </c>
      <c r="D1567" t="s">
        <v>139</v>
      </c>
      <c r="E1567" s="36">
        <v>45985</v>
      </c>
      <c r="F1567" t="s">
        <v>14</v>
      </c>
      <c r="G1567">
        <v>3</v>
      </c>
      <c r="H1567">
        <v>18500</v>
      </c>
      <c r="I1567">
        <v>50869</v>
      </c>
      <c r="J1567">
        <v>6104</v>
      </c>
    </row>
    <row r="1568" spans="1:10" x14ac:dyDescent="0.3">
      <c r="A1568" t="s">
        <v>41</v>
      </c>
      <c r="B1568" t="s">
        <v>22</v>
      </c>
      <c r="C1568" t="s">
        <v>23</v>
      </c>
      <c r="D1568" t="s">
        <v>133</v>
      </c>
      <c r="E1568" s="36">
        <v>45760</v>
      </c>
      <c r="F1568" t="s">
        <v>36</v>
      </c>
      <c r="G1568">
        <v>7</v>
      </c>
      <c r="H1568">
        <v>55000</v>
      </c>
      <c r="I1568">
        <v>405818</v>
      </c>
      <c r="J1568">
        <v>89280</v>
      </c>
    </row>
    <row r="1569" spans="1:10" x14ac:dyDescent="0.3">
      <c r="A1569" t="s">
        <v>41</v>
      </c>
      <c r="B1569" t="s">
        <v>22</v>
      </c>
      <c r="C1569" t="s">
        <v>23</v>
      </c>
      <c r="D1569" t="s">
        <v>166</v>
      </c>
      <c r="E1569" s="36">
        <v>45825</v>
      </c>
      <c r="F1569" t="s">
        <v>33</v>
      </c>
      <c r="G1569">
        <v>8</v>
      </c>
      <c r="H1569">
        <v>45000</v>
      </c>
      <c r="I1569">
        <v>333295</v>
      </c>
      <c r="J1569">
        <v>59993</v>
      </c>
    </row>
    <row r="1570" spans="1:10" x14ac:dyDescent="0.3">
      <c r="A1570" t="s">
        <v>10</v>
      </c>
      <c r="B1570" t="s">
        <v>22</v>
      </c>
      <c r="C1570" t="s">
        <v>23</v>
      </c>
      <c r="D1570" t="s">
        <v>48</v>
      </c>
      <c r="E1570" s="36">
        <v>45782</v>
      </c>
      <c r="F1570" t="s">
        <v>36</v>
      </c>
      <c r="G1570">
        <v>1</v>
      </c>
      <c r="H1570">
        <v>55000</v>
      </c>
      <c r="I1570">
        <v>57881</v>
      </c>
      <c r="J1570">
        <v>12734</v>
      </c>
    </row>
    <row r="1571" spans="1:10" x14ac:dyDescent="0.3">
      <c r="A1571" t="s">
        <v>41</v>
      </c>
      <c r="B1571" t="s">
        <v>22</v>
      </c>
      <c r="C1571" t="s">
        <v>23</v>
      </c>
      <c r="D1571" t="s">
        <v>239</v>
      </c>
      <c r="E1571" s="36">
        <v>45695</v>
      </c>
      <c r="F1571" t="s">
        <v>40</v>
      </c>
      <c r="G1571">
        <v>10</v>
      </c>
      <c r="H1571">
        <v>15000</v>
      </c>
      <c r="I1571">
        <v>154890</v>
      </c>
      <c r="J1571">
        <v>15489</v>
      </c>
    </row>
    <row r="1572" spans="1:10" x14ac:dyDescent="0.3">
      <c r="A1572" t="s">
        <v>10</v>
      </c>
      <c r="B1572" t="s">
        <v>22</v>
      </c>
      <c r="C1572" t="s">
        <v>23</v>
      </c>
      <c r="D1572" t="s">
        <v>62</v>
      </c>
      <c r="E1572" s="36">
        <v>45867</v>
      </c>
      <c r="F1572" t="s">
        <v>36</v>
      </c>
      <c r="G1572">
        <v>8</v>
      </c>
      <c r="H1572">
        <v>55000</v>
      </c>
      <c r="I1572">
        <v>423561</v>
      </c>
      <c r="J1572">
        <v>93183</v>
      </c>
    </row>
    <row r="1573" spans="1:10" x14ac:dyDescent="0.3">
      <c r="A1573" t="s">
        <v>37</v>
      </c>
      <c r="B1573" t="s">
        <v>22</v>
      </c>
      <c r="C1573" t="s">
        <v>23</v>
      </c>
      <c r="D1573" t="s">
        <v>184</v>
      </c>
      <c r="E1573" s="36">
        <v>45683</v>
      </c>
      <c r="F1573" t="s">
        <v>36</v>
      </c>
      <c r="G1573">
        <v>10</v>
      </c>
      <c r="H1573">
        <v>55000</v>
      </c>
      <c r="I1573">
        <v>566702</v>
      </c>
      <c r="J1573">
        <v>124674</v>
      </c>
    </row>
    <row r="1574" spans="1:10" x14ac:dyDescent="0.3">
      <c r="A1574" t="s">
        <v>41</v>
      </c>
      <c r="B1574" t="s">
        <v>22</v>
      </c>
      <c r="C1574" t="s">
        <v>23</v>
      </c>
      <c r="D1574" t="s">
        <v>191</v>
      </c>
      <c r="E1574" s="36">
        <v>45894</v>
      </c>
      <c r="F1574" t="s">
        <v>33</v>
      </c>
      <c r="G1574">
        <v>2</v>
      </c>
      <c r="H1574">
        <v>45000</v>
      </c>
      <c r="I1574">
        <v>86960</v>
      </c>
      <c r="J1574">
        <v>15653</v>
      </c>
    </row>
    <row r="1575" spans="1:10" x14ac:dyDescent="0.3">
      <c r="A1575" t="s">
        <v>10</v>
      </c>
      <c r="B1575" t="s">
        <v>22</v>
      </c>
      <c r="C1575" t="s">
        <v>23</v>
      </c>
      <c r="D1575" t="s">
        <v>120</v>
      </c>
      <c r="E1575" s="36">
        <v>45791</v>
      </c>
      <c r="F1575" t="s">
        <v>33</v>
      </c>
      <c r="G1575">
        <v>8</v>
      </c>
      <c r="H1575">
        <v>45000</v>
      </c>
      <c r="I1575">
        <v>385269</v>
      </c>
      <c r="J1575">
        <v>69348</v>
      </c>
    </row>
    <row r="1576" spans="1:10" x14ac:dyDescent="0.3">
      <c r="A1576" t="s">
        <v>10</v>
      </c>
      <c r="B1576" t="s">
        <v>22</v>
      </c>
      <c r="C1576" t="s">
        <v>23</v>
      </c>
      <c r="D1576" t="s">
        <v>240</v>
      </c>
      <c r="E1576" s="36">
        <v>45885</v>
      </c>
      <c r="F1576" t="s">
        <v>33</v>
      </c>
      <c r="G1576">
        <v>9</v>
      </c>
      <c r="H1576">
        <v>45000</v>
      </c>
      <c r="I1576">
        <v>433541</v>
      </c>
      <c r="J1576">
        <v>78037</v>
      </c>
    </row>
    <row r="1577" spans="1:10" x14ac:dyDescent="0.3">
      <c r="A1577" t="s">
        <v>18</v>
      </c>
      <c r="B1577" t="s">
        <v>22</v>
      </c>
      <c r="C1577" t="s">
        <v>23</v>
      </c>
      <c r="D1577" t="s">
        <v>34</v>
      </c>
      <c r="E1577" s="36">
        <v>45765</v>
      </c>
      <c r="F1577" t="s">
        <v>40</v>
      </c>
      <c r="G1577">
        <v>3</v>
      </c>
      <c r="H1577">
        <v>15000</v>
      </c>
      <c r="I1577">
        <v>45590</v>
      </c>
      <c r="J1577">
        <v>4559</v>
      </c>
    </row>
    <row r="1578" spans="1:10" x14ac:dyDescent="0.3">
      <c r="A1578" t="s">
        <v>10</v>
      </c>
      <c r="B1578" t="s">
        <v>22</v>
      </c>
      <c r="C1578" t="s">
        <v>23</v>
      </c>
      <c r="D1578" t="s">
        <v>260</v>
      </c>
      <c r="E1578" s="36">
        <v>45779</v>
      </c>
      <c r="F1578" t="s">
        <v>33</v>
      </c>
      <c r="G1578">
        <v>10</v>
      </c>
      <c r="H1578">
        <v>45000</v>
      </c>
      <c r="I1578">
        <v>421299</v>
      </c>
      <c r="J1578">
        <v>75834</v>
      </c>
    </row>
    <row r="1579" spans="1:10" x14ac:dyDescent="0.3">
      <c r="A1579" t="s">
        <v>18</v>
      </c>
      <c r="B1579" t="s">
        <v>22</v>
      </c>
      <c r="C1579" t="s">
        <v>23</v>
      </c>
      <c r="D1579" t="s">
        <v>140</v>
      </c>
      <c r="E1579" s="36">
        <v>46014</v>
      </c>
      <c r="F1579" t="s">
        <v>36</v>
      </c>
      <c r="G1579">
        <v>9</v>
      </c>
      <c r="H1579">
        <v>55000</v>
      </c>
      <c r="I1579">
        <v>457858</v>
      </c>
      <c r="J1579">
        <v>100729</v>
      </c>
    </row>
    <row r="1580" spans="1:10" x14ac:dyDescent="0.3">
      <c r="A1580" t="s">
        <v>15</v>
      </c>
      <c r="B1580" t="s">
        <v>22</v>
      </c>
      <c r="C1580" t="s">
        <v>23</v>
      </c>
      <c r="D1580" t="s">
        <v>191</v>
      </c>
      <c r="E1580" s="36">
        <v>45885</v>
      </c>
      <c r="F1580" t="s">
        <v>36</v>
      </c>
      <c r="G1580">
        <v>10</v>
      </c>
      <c r="H1580">
        <v>55000</v>
      </c>
      <c r="I1580">
        <v>596995</v>
      </c>
      <c r="J1580">
        <v>131339</v>
      </c>
    </row>
    <row r="1581" spans="1:10" x14ac:dyDescent="0.3">
      <c r="A1581" t="s">
        <v>18</v>
      </c>
      <c r="B1581" t="s">
        <v>22</v>
      </c>
      <c r="C1581" t="s">
        <v>23</v>
      </c>
      <c r="D1581" t="s">
        <v>141</v>
      </c>
      <c r="E1581" s="36">
        <v>45979</v>
      </c>
      <c r="F1581" t="s">
        <v>33</v>
      </c>
      <c r="G1581">
        <v>1</v>
      </c>
      <c r="H1581">
        <v>45000</v>
      </c>
      <c r="I1581">
        <v>44720</v>
      </c>
      <c r="J1581">
        <v>8050</v>
      </c>
    </row>
    <row r="1582" spans="1:10" x14ac:dyDescent="0.3">
      <c r="A1582" t="s">
        <v>10</v>
      </c>
      <c r="B1582" t="s">
        <v>22</v>
      </c>
      <c r="C1582" t="s">
        <v>23</v>
      </c>
      <c r="D1582" t="s">
        <v>50</v>
      </c>
      <c r="E1582" s="36">
        <v>45942</v>
      </c>
      <c r="F1582" t="s">
        <v>36</v>
      </c>
      <c r="G1582">
        <v>5</v>
      </c>
      <c r="H1582">
        <v>55000</v>
      </c>
      <c r="I1582">
        <v>290750</v>
      </c>
      <c r="J1582">
        <v>63965</v>
      </c>
    </row>
    <row r="1583" spans="1:10" x14ac:dyDescent="0.3">
      <c r="A1583" t="s">
        <v>10</v>
      </c>
      <c r="B1583" t="s">
        <v>22</v>
      </c>
      <c r="C1583" t="s">
        <v>23</v>
      </c>
      <c r="D1583" t="s">
        <v>96</v>
      </c>
      <c r="E1583" s="36">
        <v>45743</v>
      </c>
      <c r="F1583" t="s">
        <v>36</v>
      </c>
      <c r="G1583">
        <v>6</v>
      </c>
      <c r="H1583">
        <v>55000</v>
      </c>
      <c r="I1583">
        <v>322815</v>
      </c>
      <c r="J1583">
        <v>71019</v>
      </c>
    </row>
    <row r="1584" spans="1:10" x14ac:dyDescent="0.3">
      <c r="A1584" t="s">
        <v>41</v>
      </c>
      <c r="B1584" t="s">
        <v>22</v>
      </c>
      <c r="C1584" t="s">
        <v>23</v>
      </c>
      <c r="D1584" t="s">
        <v>75</v>
      </c>
      <c r="E1584" s="36">
        <v>45661</v>
      </c>
      <c r="F1584" t="s">
        <v>33</v>
      </c>
      <c r="G1584">
        <v>4</v>
      </c>
      <c r="H1584">
        <v>45000</v>
      </c>
      <c r="I1584">
        <v>169355</v>
      </c>
      <c r="J1584">
        <v>30484</v>
      </c>
    </row>
    <row r="1585" spans="1:10" x14ac:dyDescent="0.3">
      <c r="A1585" t="s">
        <v>15</v>
      </c>
      <c r="B1585" t="s">
        <v>22</v>
      </c>
      <c r="C1585" t="s">
        <v>23</v>
      </c>
      <c r="D1585" t="s">
        <v>50</v>
      </c>
      <c r="E1585" s="36">
        <v>45820</v>
      </c>
      <c r="F1585" t="s">
        <v>33</v>
      </c>
      <c r="G1585">
        <v>7</v>
      </c>
      <c r="H1585">
        <v>45000</v>
      </c>
      <c r="I1585">
        <v>324736</v>
      </c>
      <c r="J1585">
        <v>58452</v>
      </c>
    </row>
    <row r="1586" spans="1:10" x14ac:dyDescent="0.3">
      <c r="A1586" t="s">
        <v>37</v>
      </c>
      <c r="B1586" t="s">
        <v>22</v>
      </c>
      <c r="C1586" t="s">
        <v>23</v>
      </c>
      <c r="D1586" t="s">
        <v>181</v>
      </c>
      <c r="E1586" s="36">
        <v>45696</v>
      </c>
      <c r="F1586" t="s">
        <v>40</v>
      </c>
      <c r="G1586">
        <v>6</v>
      </c>
      <c r="H1586">
        <v>15000</v>
      </c>
      <c r="I1586">
        <v>92090</v>
      </c>
      <c r="J1586">
        <v>9209</v>
      </c>
    </row>
    <row r="1587" spans="1:10" x14ac:dyDescent="0.3">
      <c r="A1587" t="s">
        <v>37</v>
      </c>
      <c r="B1587" t="s">
        <v>22</v>
      </c>
      <c r="C1587" t="s">
        <v>23</v>
      </c>
      <c r="D1587" t="s">
        <v>72</v>
      </c>
      <c r="E1587" s="36">
        <v>45760</v>
      </c>
      <c r="F1587" t="s">
        <v>36</v>
      </c>
      <c r="G1587">
        <v>2</v>
      </c>
      <c r="H1587">
        <v>55000</v>
      </c>
      <c r="I1587">
        <v>109023</v>
      </c>
      <c r="J1587">
        <v>23985</v>
      </c>
    </row>
    <row r="1588" spans="1:10" x14ac:dyDescent="0.3">
      <c r="A1588" t="s">
        <v>15</v>
      </c>
      <c r="B1588" t="s">
        <v>22</v>
      </c>
      <c r="C1588" t="s">
        <v>23</v>
      </c>
      <c r="D1588" t="s">
        <v>148</v>
      </c>
      <c r="E1588" s="36">
        <v>45946</v>
      </c>
      <c r="F1588" t="s">
        <v>33</v>
      </c>
      <c r="G1588">
        <v>9</v>
      </c>
      <c r="H1588">
        <v>45000</v>
      </c>
      <c r="I1588">
        <v>400449</v>
      </c>
      <c r="J1588">
        <v>72081</v>
      </c>
    </row>
    <row r="1589" spans="1:10" x14ac:dyDescent="0.3">
      <c r="A1589" t="s">
        <v>41</v>
      </c>
      <c r="B1589" t="s">
        <v>22</v>
      </c>
      <c r="C1589" t="s">
        <v>23</v>
      </c>
      <c r="D1589" t="s">
        <v>182</v>
      </c>
      <c r="E1589" s="36">
        <v>46000</v>
      </c>
      <c r="F1589" t="s">
        <v>33</v>
      </c>
      <c r="G1589">
        <v>3</v>
      </c>
      <c r="H1589">
        <v>45000</v>
      </c>
      <c r="I1589">
        <v>141458</v>
      </c>
      <c r="J1589">
        <v>25462</v>
      </c>
    </row>
    <row r="1590" spans="1:10" x14ac:dyDescent="0.3">
      <c r="A1590" t="s">
        <v>10</v>
      </c>
      <c r="B1590" t="s">
        <v>22</v>
      </c>
      <c r="C1590" t="s">
        <v>23</v>
      </c>
      <c r="D1590" t="s">
        <v>73</v>
      </c>
      <c r="E1590" s="36">
        <v>45732</v>
      </c>
      <c r="F1590" t="s">
        <v>33</v>
      </c>
      <c r="G1590">
        <v>9</v>
      </c>
      <c r="H1590">
        <v>45000</v>
      </c>
      <c r="I1590">
        <v>373355</v>
      </c>
      <c r="J1590">
        <v>67204</v>
      </c>
    </row>
    <row r="1591" spans="1:10" x14ac:dyDescent="0.3">
      <c r="A1591" t="s">
        <v>15</v>
      </c>
      <c r="B1591" t="s">
        <v>22</v>
      </c>
      <c r="C1591" t="s">
        <v>23</v>
      </c>
      <c r="D1591" t="s">
        <v>235</v>
      </c>
      <c r="E1591" s="36">
        <v>46021</v>
      </c>
      <c r="F1591" t="s">
        <v>33</v>
      </c>
      <c r="G1591">
        <v>6</v>
      </c>
      <c r="H1591">
        <v>45000</v>
      </c>
      <c r="I1591">
        <v>273875</v>
      </c>
      <c r="J1591">
        <v>49298</v>
      </c>
    </row>
    <row r="1592" spans="1:10" x14ac:dyDescent="0.3">
      <c r="A1592" t="s">
        <v>15</v>
      </c>
      <c r="B1592" t="s">
        <v>22</v>
      </c>
      <c r="C1592" t="s">
        <v>23</v>
      </c>
      <c r="D1592" t="s">
        <v>261</v>
      </c>
      <c r="E1592" s="36">
        <v>45683</v>
      </c>
      <c r="F1592" t="s">
        <v>33</v>
      </c>
      <c r="G1592">
        <v>8</v>
      </c>
      <c r="H1592">
        <v>45000</v>
      </c>
      <c r="I1592">
        <v>386872</v>
      </c>
      <c r="J1592">
        <v>69637</v>
      </c>
    </row>
    <row r="1593" spans="1:10" x14ac:dyDescent="0.3">
      <c r="A1593" t="s">
        <v>10</v>
      </c>
      <c r="B1593" t="s">
        <v>22</v>
      </c>
      <c r="C1593" t="s">
        <v>23</v>
      </c>
      <c r="D1593" t="s">
        <v>101</v>
      </c>
      <c r="E1593" s="36">
        <v>46012</v>
      </c>
      <c r="F1593" t="s">
        <v>40</v>
      </c>
      <c r="G1593">
        <v>8</v>
      </c>
      <c r="H1593">
        <v>15000</v>
      </c>
      <c r="I1593">
        <v>112092</v>
      </c>
      <c r="J1593">
        <v>11209</v>
      </c>
    </row>
    <row r="1594" spans="1:10" x14ac:dyDescent="0.3">
      <c r="A1594" t="s">
        <v>37</v>
      </c>
      <c r="B1594" t="s">
        <v>22</v>
      </c>
      <c r="C1594" t="s">
        <v>23</v>
      </c>
      <c r="D1594" t="s">
        <v>28</v>
      </c>
      <c r="E1594" s="36">
        <v>45962</v>
      </c>
      <c r="F1594" t="s">
        <v>40</v>
      </c>
      <c r="G1594">
        <v>1</v>
      </c>
      <c r="H1594">
        <v>15000</v>
      </c>
      <c r="I1594">
        <v>16337</v>
      </c>
      <c r="J1594">
        <v>1634</v>
      </c>
    </row>
    <row r="1595" spans="1:10" x14ac:dyDescent="0.3">
      <c r="A1595" t="s">
        <v>41</v>
      </c>
      <c r="B1595" t="s">
        <v>22</v>
      </c>
      <c r="C1595" t="s">
        <v>23</v>
      </c>
      <c r="D1595" t="s">
        <v>129</v>
      </c>
      <c r="E1595" s="36">
        <v>45935</v>
      </c>
      <c r="F1595" t="s">
        <v>33</v>
      </c>
      <c r="G1595">
        <v>5</v>
      </c>
      <c r="H1595">
        <v>45000</v>
      </c>
      <c r="I1595">
        <v>218887</v>
      </c>
      <c r="J1595">
        <v>39400</v>
      </c>
    </row>
    <row r="1596" spans="1:10" x14ac:dyDescent="0.3">
      <c r="A1596" t="s">
        <v>18</v>
      </c>
      <c r="B1596" t="s">
        <v>22</v>
      </c>
      <c r="C1596" t="s">
        <v>23</v>
      </c>
      <c r="D1596" t="s">
        <v>106</v>
      </c>
      <c r="E1596" s="36">
        <v>45990</v>
      </c>
      <c r="F1596" t="s">
        <v>40</v>
      </c>
      <c r="G1596">
        <v>7</v>
      </c>
      <c r="H1596">
        <v>15000</v>
      </c>
      <c r="I1596">
        <v>95919</v>
      </c>
      <c r="J1596">
        <v>9592</v>
      </c>
    </row>
    <row r="1597" spans="1:10" x14ac:dyDescent="0.3">
      <c r="A1597" t="s">
        <v>41</v>
      </c>
      <c r="B1597" t="s">
        <v>22</v>
      </c>
      <c r="C1597" t="s">
        <v>23</v>
      </c>
      <c r="D1597" t="s">
        <v>59</v>
      </c>
      <c r="E1597" s="36">
        <v>45703</v>
      </c>
      <c r="F1597" t="s">
        <v>36</v>
      </c>
      <c r="G1597">
        <v>2</v>
      </c>
      <c r="H1597">
        <v>55000</v>
      </c>
      <c r="I1597">
        <v>102165</v>
      </c>
      <c r="J1597">
        <v>22476</v>
      </c>
    </row>
    <row r="1598" spans="1:10" x14ac:dyDescent="0.3">
      <c r="A1598" t="s">
        <v>18</v>
      </c>
      <c r="B1598" t="s">
        <v>22</v>
      </c>
      <c r="C1598" t="s">
        <v>23</v>
      </c>
      <c r="D1598" t="s">
        <v>94</v>
      </c>
      <c r="E1598" s="36">
        <v>45717</v>
      </c>
      <c r="F1598" t="s">
        <v>40</v>
      </c>
      <c r="G1598">
        <v>6</v>
      </c>
      <c r="H1598">
        <v>15000</v>
      </c>
      <c r="I1598">
        <v>88170</v>
      </c>
      <c r="J1598">
        <v>8817</v>
      </c>
    </row>
    <row r="1599" spans="1:10" x14ac:dyDescent="0.3">
      <c r="A1599" t="s">
        <v>41</v>
      </c>
      <c r="B1599" t="s">
        <v>22</v>
      </c>
      <c r="C1599" t="s">
        <v>23</v>
      </c>
      <c r="D1599" t="s">
        <v>66</v>
      </c>
      <c r="E1599" s="36">
        <v>45839</v>
      </c>
      <c r="F1599" t="s">
        <v>33</v>
      </c>
      <c r="G1599">
        <v>6</v>
      </c>
      <c r="H1599">
        <v>45000</v>
      </c>
      <c r="I1599">
        <v>280465</v>
      </c>
      <c r="J1599">
        <v>50484</v>
      </c>
    </row>
    <row r="1600" spans="1:10" x14ac:dyDescent="0.3">
      <c r="A1600" t="s">
        <v>18</v>
      </c>
      <c r="B1600" t="s">
        <v>22</v>
      </c>
      <c r="C1600" t="s">
        <v>23</v>
      </c>
      <c r="D1600" t="s">
        <v>175</v>
      </c>
      <c r="E1600" s="36">
        <v>45696</v>
      </c>
      <c r="F1600" t="s">
        <v>33</v>
      </c>
      <c r="G1600">
        <v>5</v>
      </c>
      <c r="H1600">
        <v>45000</v>
      </c>
      <c r="I1600">
        <v>243731</v>
      </c>
      <c r="J1600">
        <v>43872</v>
      </c>
    </row>
    <row r="1601" spans="1:10" x14ac:dyDescent="0.3">
      <c r="A1601" t="s">
        <v>15</v>
      </c>
      <c r="B1601" t="s">
        <v>22</v>
      </c>
      <c r="C1601" t="s">
        <v>23</v>
      </c>
      <c r="D1601" t="s">
        <v>150</v>
      </c>
      <c r="E1601" s="36">
        <v>45865</v>
      </c>
      <c r="F1601" t="s">
        <v>33</v>
      </c>
      <c r="G1601">
        <v>8</v>
      </c>
      <c r="H1601">
        <v>45000</v>
      </c>
      <c r="I1601">
        <v>376133</v>
      </c>
      <c r="J1601">
        <v>67704</v>
      </c>
    </row>
    <row r="1602" spans="1:10" x14ac:dyDescent="0.3">
      <c r="A1602" t="s">
        <v>15</v>
      </c>
      <c r="B1602" t="s">
        <v>22</v>
      </c>
      <c r="C1602" t="s">
        <v>23</v>
      </c>
      <c r="D1602" t="s">
        <v>141</v>
      </c>
      <c r="E1602" s="36">
        <v>45812</v>
      </c>
      <c r="F1602" t="s">
        <v>36</v>
      </c>
      <c r="G1602">
        <v>6</v>
      </c>
      <c r="H1602">
        <v>55000</v>
      </c>
      <c r="I1602">
        <v>360737</v>
      </c>
      <c r="J1602">
        <v>79362</v>
      </c>
    </row>
    <row r="1603" spans="1:10" x14ac:dyDescent="0.3">
      <c r="A1603" t="s">
        <v>10</v>
      </c>
      <c r="B1603" t="s">
        <v>22</v>
      </c>
      <c r="C1603" t="s">
        <v>23</v>
      </c>
      <c r="D1603" t="s">
        <v>219</v>
      </c>
      <c r="E1603" s="36">
        <v>45896</v>
      </c>
      <c r="F1603" t="s">
        <v>33</v>
      </c>
      <c r="G1603">
        <v>8</v>
      </c>
      <c r="H1603">
        <v>45000</v>
      </c>
      <c r="I1603">
        <v>381527</v>
      </c>
      <c r="J1603">
        <v>68675</v>
      </c>
    </row>
    <row r="1604" spans="1:10" x14ac:dyDescent="0.3">
      <c r="A1604" t="s">
        <v>41</v>
      </c>
      <c r="B1604" t="s">
        <v>22</v>
      </c>
      <c r="C1604" t="s">
        <v>23</v>
      </c>
      <c r="D1604" t="s">
        <v>224</v>
      </c>
      <c r="E1604" s="36">
        <v>46013</v>
      </c>
      <c r="F1604" t="s">
        <v>40</v>
      </c>
      <c r="G1604">
        <v>10</v>
      </c>
      <c r="H1604">
        <v>15000</v>
      </c>
      <c r="I1604">
        <v>145129</v>
      </c>
      <c r="J1604">
        <v>14513</v>
      </c>
    </row>
    <row r="1605" spans="1:10" x14ac:dyDescent="0.3">
      <c r="A1605" t="s">
        <v>10</v>
      </c>
      <c r="B1605" t="s">
        <v>22</v>
      </c>
      <c r="C1605" t="s">
        <v>23</v>
      </c>
      <c r="D1605" t="s">
        <v>185</v>
      </c>
      <c r="E1605" s="36">
        <v>45765</v>
      </c>
      <c r="F1605" t="s">
        <v>14</v>
      </c>
      <c r="G1605">
        <v>1</v>
      </c>
      <c r="H1605">
        <v>18500</v>
      </c>
      <c r="I1605">
        <v>17979</v>
      </c>
      <c r="J1605">
        <v>2157</v>
      </c>
    </row>
    <row r="1606" spans="1:10" x14ac:dyDescent="0.3">
      <c r="A1606" t="s">
        <v>10</v>
      </c>
      <c r="B1606" t="s">
        <v>22</v>
      </c>
      <c r="C1606" t="s">
        <v>23</v>
      </c>
      <c r="D1606" t="s">
        <v>103</v>
      </c>
      <c r="E1606" s="36">
        <v>45918</v>
      </c>
      <c r="F1606" t="s">
        <v>33</v>
      </c>
      <c r="G1606">
        <v>8</v>
      </c>
      <c r="H1606">
        <v>45000</v>
      </c>
      <c r="I1606">
        <v>386062</v>
      </c>
      <c r="J1606">
        <v>69491</v>
      </c>
    </row>
    <row r="1607" spans="1:10" x14ac:dyDescent="0.3">
      <c r="A1607" t="s">
        <v>10</v>
      </c>
      <c r="B1607" t="s">
        <v>22</v>
      </c>
      <c r="C1607" t="s">
        <v>23</v>
      </c>
      <c r="D1607" t="s">
        <v>188</v>
      </c>
      <c r="E1607" s="36">
        <v>45837</v>
      </c>
      <c r="F1607" t="s">
        <v>36</v>
      </c>
      <c r="G1607">
        <v>7</v>
      </c>
      <c r="H1607">
        <v>55000</v>
      </c>
      <c r="I1607">
        <v>371174</v>
      </c>
      <c r="J1607">
        <v>81658</v>
      </c>
    </row>
    <row r="1608" spans="1:10" x14ac:dyDescent="0.3">
      <c r="A1608" t="s">
        <v>10</v>
      </c>
      <c r="B1608" t="s">
        <v>22</v>
      </c>
      <c r="C1608" t="s">
        <v>23</v>
      </c>
      <c r="D1608" t="s">
        <v>195</v>
      </c>
      <c r="E1608" s="36">
        <v>45698</v>
      </c>
      <c r="F1608" t="s">
        <v>14</v>
      </c>
      <c r="G1608">
        <v>4</v>
      </c>
      <c r="H1608">
        <v>18500</v>
      </c>
      <c r="I1608">
        <v>68383</v>
      </c>
      <c r="J1608">
        <v>8206</v>
      </c>
    </row>
    <row r="1609" spans="1:10" x14ac:dyDescent="0.3">
      <c r="A1609" t="s">
        <v>18</v>
      </c>
      <c r="B1609" t="s">
        <v>22</v>
      </c>
      <c r="C1609" t="s">
        <v>23</v>
      </c>
      <c r="D1609" t="s">
        <v>230</v>
      </c>
      <c r="E1609" s="36">
        <v>45866</v>
      </c>
      <c r="F1609" t="s">
        <v>36</v>
      </c>
      <c r="G1609">
        <v>7</v>
      </c>
      <c r="H1609">
        <v>55000</v>
      </c>
      <c r="I1609">
        <v>374628</v>
      </c>
      <c r="J1609">
        <v>82418</v>
      </c>
    </row>
    <row r="1610" spans="1:10" x14ac:dyDescent="0.3">
      <c r="A1610" t="s">
        <v>18</v>
      </c>
      <c r="B1610" t="s">
        <v>22</v>
      </c>
      <c r="C1610" t="s">
        <v>23</v>
      </c>
      <c r="D1610" t="s">
        <v>159</v>
      </c>
      <c r="E1610" s="36">
        <v>45939</v>
      </c>
      <c r="F1610" t="s">
        <v>36</v>
      </c>
      <c r="G1610">
        <v>9</v>
      </c>
      <c r="H1610">
        <v>55000</v>
      </c>
      <c r="I1610">
        <v>509999</v>
      </c>
      <c r="J1610">
        <v>112200</v>
      </c>
    </row>
    <row r="1611" spans="1:10" x14ac:dyDescent="0.3">
      <c r="A1611" t="s">
        <v>41</v>
      </c>
      <c r="B1611" t="s">
        <v>22</v>
      </c>
      <c r="C1611" t="s">
        <v>23</v>
      </c>
      <c r="D1611" t="s">
        <v>66</v>
      </c>
      <c r="E1611" s="36">
        <v>46018</v>
      </c>
      <c r="F1611" t="s">
        <v>40</v>
      </c>
      <c r="G1611">
        <v>5</v>
      </c>
      <c r="H1611">
        <v>15000</v>
      </c>
      <c r="I1611">
        <v>70234</v>
      </c>
      <c r="J1611">
        <v>7023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FEC129F-AE74-4AEA-A428-F50F6141C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Données</vt:lpstr>
      <vt:lpstr>Traitement</vt:lpstr>
      <vt:lpstr>Tableau de bord</vt:lpstr>
      <vt:lpstr>Cleaned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 Bahi</dc:creator>
  <cp:lastModifiedBy>Damidye Faton</cp:lastModifiedBy>
  <dcterms:created xsi:type="dcterms:W3CDTF">2020-05-13T19:45:19Z</dcterms:created>
  <dcterms:modified xsi:type="dcterms:W3CDTF">2026-03-20T23:05:14Z</dcterms:modified>
</cp:coreProperties>
</file>